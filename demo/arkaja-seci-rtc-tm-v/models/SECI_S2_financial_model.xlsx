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Tender conditions" state="visible" r:id="rId6"/>
    <sheet sheetId="4" name="Inputs" state="visible" r:id="rId7"/>
    <sheet sheetId="5" name="Plant and capex" state="visible" r:id="rId8"/>
    <sheet sheetId="6" name="Revenue and costs (values)" state="visible" r:id="rId9"/>
    <sheet sheetId="7" name="Financial model (values)" state="visible" r:id="rId10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>
        <r>
          <t>Escalates with O&amp;M</t>
        </r>
      </text>
    </comment>
    <comment ref="A69" authorId="0">
      <text>
        <r>
          <t>wdv: written-down value at the WDV rate; slm: the book depreciation</t>
        </r>
      </text>
    </comment>
    <comment ref="A86" authorId="0">
      <text>
        <r>
          <t>The PPA term the optimiser dispatched; one column per year</t>
        </r>
      </text>
    </comment>
    <comment ref="A109" authorId="0">
      <text>
        <r>
          <t>Delivered MU × tariff ₹/kWh ÷ 10 = ₹ crore</t>
        </r>
      </text>
    </comment>
    <comment ref="A115" authorId="0">
      <text>
        <r>
          <t>Size × ₹ lakh ÷ 100 = ₹ crore, escalated</t>
        </r>
      </text>
    </comment>
    <comment ref="A116" authorId="0">
      <text>
        <r>
          <t>Size × ₹ lakh ÷ 100 = ₹ crore, escalated</t>
        </r>
      </text>
    </comment>
    <comment ref="A117" authorId="0">
      <text>
        <r>
          <t>Size × ₹ lakh ÷ 100 = ₹ crore, escalated</t>
        </r>
      </text>
    </comment>
    <comment ref="A125" authorId="0">
      <text>
        <r>
          <t>annual: each year from year 2 replaces the year's fade (MWh × fade × the year's battery price); oneTime: the fade to that year (at most 60%), once</t>
        </r>
      </text>
    </comment>
    <comment ref="A129" authorId="0">
      <text>
        <r>
          <t>Augmentation is depreciated over the years left</t>
        </r>
      </text>
    </comment>
    <comment ref="A151" authorId="0">
      <text>
        <r>
          <t>EBITDA − interest − tax depreciation</t>
        </r>
      </text>
    </comment>
    <comment ref="A160" authorId="0">
      <text>
        <r>
          <t>Revenue × receivable days ÷ 365, held at the year end</t>
        </r>
      </text>
    </comment>
    <comment ref="A162" authorId="0">
      <text>
        <r>
          <t>EBITDA − tax − working capital − battery augmentation</t>
        </r>
      </text>
    </comment>
    <comment ref="A169" authorId="0">
      <text>
        <r>
          <t>The payback year is the first year marked here</t>
        </r>
      </text>
    </comment>
    <comment ref="A170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<sst xmlns="http://schemas.openxmlformats.org/spreadsheetml/2006/main" count="926" uniqueCount="352">
  <si>
    <t>SECI RTC-TM · bid financial model</t>
  </si>
  <si>
    <t>SECI/C&amp;P/IPP/13/0020/25-26 · 200 MW round the clock · 25 years</t>
  </si>
  <si>
    <t>Prepared 2026-10-24 by Demo · Tender to Bid (TenderOS)</t>
  </si>
  <si>
    <t>The key results below are linked to the Live model tab: change an input there (blue cells) and they follow.</t>
  </si>
  <si>
    <t>Key results</t>
  </si>
  <si>
    <t>Bid 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</si>
  <si>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</si>
  <si>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</si>
  <si>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</si>
  <si>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</si>
  <si>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</si>
  <si>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</si>
  <si>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</si>
  <si>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</si>
  <si>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</si>
  <si>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₹43.81 cr per contracted MW</t>
  </si>
  <si>
    <t>Debt (₹ cr)</t>
  </si>
  <si>
    <t>Equity (₹ cr)</t>
  </si>
  <si>
    <t>Levelised cost of supply (₹/kWh)</t>
  </si>
  <si>
    <t>at a 10.0% discount rate</t>
  </si>
  <si>
    <t>Least-tariff sizing (HiGHS, ₹/kWh)</t>
  </si>
  <si>
    <t>Screening tariff of the sizing; the bid tariff is from the full financial model</t>
  </si>
  <si>
    <t>Year-1 supply (MU)</t>
  </si>
  <si>
    <t>99.4% of contracted</t>
  </si>
  <si>
    <t>Year-1 market sale (MU)</t>
  </si>
  <si>
    <t>Revenue over 25 years (₹ cr)</t>
  </si>
  <si>
    <t>Tender conditions</t>
  </si>
  <si>
    <t>7 met, 0 not met</t>
  </si>
  <si>
    <t>Plant</t>
  </si>
  <si>
    <t>Contracted capacity (MW)</t>
  </si>
  <si>
    <t>bid capacity</t>
  </si>
  <si>
    <t>Solar (MW)</t>
  </si>
  <si>
    <t>sized by the optimizer</t>
  </si>
  <si>
    <t>Wind (MW)</t>
  </si>
  <si>
    <t>Battery power (MW)</t>
  </si>
  <si>
    <t>Battery energy (MWh)</t>
  </si>
  <si>
    <t>Key inputs</t>
  </si>
  <si>
    <t>Bid capacity (MW)</t>
  </si>
  <si>
    <t>Solar</t>
  </si>
  <si>
    <t>CUF (AC) 25.0% · Capex 4 ₹ cr/MW · O&amp;M 4 ₹ lakh/MW/yr</t>
  </si>
  <si>
    <t>Wind</t>
  </si>
  <si>
    <t>CUF 33.0% · Capex 6.5 ₹ cr/MW · O&amp;M 9 ₹ lakh/MW/yr</t>
  </si>
  <si>
    <t>Battery storage</t>
  </si>
  <si>
    <t>Discharge duration 4 hours · Round-trip efficiency 87.0% · Capex 1.2 ₹ cr/MWh · O&amp;M 1.2 ₹ lakh/MWh/yr</t>
  </si>
  <si>
    <t>Financing</t>
  </si>
  <si>
    <t>equity IRR 14.0% · debt 70% at 9.00% for 15 years · tax 25.17%</t>
  </si>
  <si>
    <t>Market sale</t>
  </si>
  <si>
    <t>none</t>
  </si>
  <si>
    <t>Tender</t>
  </si>
  <si>
    <t>Procurer</t>
  </si>
  <si>
    <t>Solar Energy Corporation of India Limited (SECI)</t>
  </si>
  <si>
    <t>SECI/C&amp;P/IPP/13/0020/25-26</t>
  </si>
  <si>
    <t>Supply of 1000 MW Round-the-Clock Thermal Mimic (RTC-TM) power from ISTS-connected RE projects</t>
  </si>
  <si>
    <t>Capacity</t>
  </si>
  <si>
    <t>1000 MW</t>
  </si>
  <si>
    <t>Supply floors</t>
  </si>
  <si>
    <t>Peak Hours floor (every block) 90% · Off-peak floor (every block) 70%</t>
  </si>
  <si>
    <t>Least green share</t>
  </si>
  <si>
    <t>Not stated</t>
  </si>
  <si>
    <t>Mandatory solar</t>
  </si>
  <si>
    <t>PPA term</t>
  </si>
  <si>
    <t>25 years</t>
  </si>
  <si>
    <t>Supply start</t>
  </si>
  <si>
    <t>07.08.2028</t>
  </si>
  <si>
    <t>Ceiling tariff</t>
  </si>
  <si>
    <t>Every tender condition comes from the tender reading, with its page and quote (sheet Tender conditions).</t>
  </si>
  <si>
    <t>Inputs marked "Industry benchmark" are industry benchmark (CERC norms, 2025–26 market prices), not from the tender; the rest are the bidder's own (sheet Inputs).</t>
  </si>
  <si>
    <t>Every number below is a formula on the blue inputs and the optimiser's energy (green). Change a blue cell: the whole model, the returns and the Cover move with it.</t>
  </si>
  <si>
    <t>Colour key</t>
  </si>
  <si>
    <t>Input</t>
  </si>
  <si>
    <t>Optimiser</t>
  </si>
  <si>
    <t>Formula</t>
  </si>
  <si>
    <t>The optimiser's energy comes from the hourly HiGHS dispatch of every year; changing a plant size here moves its cost, not its energy (size the plant again in TenderOS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</si>
  <si>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</si>
  <si>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</si>
  <si>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</si>
  <si>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</si>
  <si>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</si>
  <si>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</si>
  <si>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</si>
  <si>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</si>
  <si>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Bid 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</si>
  <si>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</si>
  <si>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</si>
  <si>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</si>
  <si>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</si>
  <si>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</si>
  <si>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</si>
  <si>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</si>
  <si>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</si>
  <si>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</si>
  <si>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</si>
  <si>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</si>
  <si>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</si>
  <si>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</si>
  <si>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</si>
  <si>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</si>
  <si>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</si>
  <si>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bid again after changing an input: Data › What-If Analysis › Goal Seek, set the cell "Equity IRR less the target" to 0 by changing the bid tariff.</t>
  </si>
  <si>
    <t>Inputs</t>
  </si>
  <si>
    <t>Tariff</t>
  </si>
  <si>
    <t>Solved in TenderOS for the target equity IRR</t>
  </si>
  <si>
    <t>Tariff escalation</t>
  </si>
  <si>
    <t>%/yr</t>
  </si>
  <si>
    <t>Industry benchmark</t>
  </si>
  <si>
    <t>Plant (sized by the optimiser)</t>
  </si>
  <si>
    <t>MW</t>
  </si>
  <si>
    <t>HiGHS sizing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</si>
  <si>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</si>
  <si>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</si>
  <si>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</si>
  <si>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</si>
  <si>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</si>
  <si>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</si>
  <si>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</si>
  <si>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Included in the energy price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</si>
  <si>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</si>
  <si>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</si>
  <si>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</si>
  <si>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</si>
  <si>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</si>
  <si>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</si>
  <si>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Wind O&amp;M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</si>
  <si>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</si>
  <si>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</si>
  <si>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</si>
  <si>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</si>
  <si>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</si>
  <si>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</si>
  <si>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</si>
  <si>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Model default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</si>
  <si>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</si>
  <si>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</si>
  <si>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</si>
  <si>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</si>
  <si>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</si>
  <si>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</si>
  <si>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</si>
  <si>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</si>
  <si>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</si>
  <si>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</si>
  <si>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</si>
  <si>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</si>
  <si>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</si>
  <si>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</si>
  <si>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</si>
  <si>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</si>
  <si>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Model default (used with oneTime)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</si>
  <si>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</si>
  <si>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</si>
  <si>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</si>
  <si>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</si>
  <si>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</si>
  <si>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</si>
  <si>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</si>
  <si>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</si>
  <si>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</si>
  <si>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</si>
  <si>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</si>
  <si>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</si>
  <si>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</si>
  <si>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</si>
  <si>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</si>
  <si>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</si>
  <si>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</si>
  <si>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</si>
  <si>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</si>
  <si>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</si>
  <si>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</si>
  <si>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</si>
  <si>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</si>
  <si>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</si>
  <si>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</si>
  <si>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</si>
  <si>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</si>
  <si>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</si>
  <si>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</si>
  <si>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</si>
  <si>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optimiser's hourly dispatch, summed by year)</t>
  </si>
  <si>
    <t>Contracted energy</t>
  </si>
  <si>
    <t>MU</t>
  </si>
  <si>
    <t>Delivered to the procurer</t>
  </si>
  <si>
    <t>Delivered ÷ contracted</t>
  </si>
  <si>
    <t>Short of the annual floor</t>
  </si>
  <si>
    <t>Sold in the market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</si>
  <si>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</si>
  <si>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</si>
  <si>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</si>
  <si>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</si>
  <si>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</si>
  <si>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</si>
  <si>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</si>
  <si>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</si>
  <si>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</si>
  <si>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</si>
  <si>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</si>
  <si>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</si>
  <si>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</si>
  <si>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</si>
  <si>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</si>
  <si>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</si>
  <si>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</si>
  <si>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</si>
  <si>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</si>
  <si>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</si>
  <si>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</si>
  <si>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</si>
  <si>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</si>
  <si>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</si>
  <si>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</si>
  <si>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</si>
  <si>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</si>
  <si>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</si>
  <si>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</si>
  <si>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</si>
  <si>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</si>
  <si>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</si>
  <si>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</si>
  <si>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</si>
  <si>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</si>
  <si>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</si>
  <si>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</si>
  <si>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</si>
  <si>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</si>
  <si>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</si>
  <si>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</si>
  <si>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</si>
  <si>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</si>
  <si>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</si>
  <si>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</si>
  <si>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</si>
  <si>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</si>
  <si>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</si>
  <si>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</si>
  <si>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</si>
  <si>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</si>
  <si>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</si>
  <si>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</si>
  <si>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</si>
  <si>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</si>
  <si>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</si>
  <si>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</si>
  <si>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</si>
  <si>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</si>
  <si>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</si>
  <si>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</si>
  <si>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</si>
  <si>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</si>
  <si>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Condition</t>
  </si>
  <si>
    <t>Tender says</t>
  </si>
  <si>
    <t>Page</t>
  </si>
  <si>
    <t>Quote</t>
  </si>
  <si>
    <t>Plant and bid</t>
  </si>
  <si>
    <t>Status</t>
  </si>
  <si>
    <t>Bid capacity</t>
  </si>
  <si>
    <t>1,000 MW; one bidder 50–500 MW</t>
  </si>
  <si>
    <t>a minimum quantum of cumulative Contracted Capacity of 50 MW and a maximum quantum of 500 MW</t>
  </si>
  <si>
    <t>200 MW bid</t>
  </si>
  <si>
    <t>Met</t>
  </si>
  <si>
    <t>Peak Hours floor (every block)</t>
  </si>
  <si>
    <t>At least 90% of contracted capacity in every peak time-block; no shortfall allowed</t>
  </si>
  <si>
    <t>(i) a minimum DFR of 90% in each time-block during the Peak Hours</t>
  </si>
  <si>
    <t>100.0% of the hours at the floor; 0.00 MU short in the worst modelled year</t>
  </si>
  <si>
    <t>Off-peak floor (every block)</t>
  </si>
  <si>
    <t>At least 70% of contracted capacity in every off-peak time-block; no shortfall allowed</t>
  </si>
  <si>
    <t>(ii) a minimum DFR of 70% in each time-block during the off-Peak Hours.</t>
  </si>
  <si>
    <t>Peak hours</t>
  </si>
  <si>
    <t>Any 6 of the 16 hours (the Buying Entity picks 6 hours between 18:00 and 10:00, day-ahead) a day</t>
  </si>
  <si>
    <t>The Buying Entity shall choose any 6 hours, on a daily basis, between 18:00 Hrs. in the evening of a day and 10:00 Hrs. in the morning of the subsequent day</t>
  </si>
  <si>
    <t>Checked in the chosen window</t>
  </si>
  <si>
    <t>Energy storage</t>
  </si>
  <si>
    <t>Mandatory</t>
  </si>
  <si>
    <t>Energy Storage Systems (ESS) shall mandatorily constitute part of the Project. It is clarified that ESS charged using a source other than RE power would not qualify as RE power.</t>
  </si>
  <si>
    <t>727 MW / 2,908 MWh</t>
  </si>
  <si>
    <t>What may be sold in the market</t>
  </si>
  <si>
    <t>Free to sell to any third party or power exchange, no NOC needed</t>
  </si>
  <si>
    <t>the SECI/RPD is free to sell power in excess of the Contracted Capacity in any time-block, to any third party or power exchange, without requiring any NOC from Buying Entity.</t>
  </si>
  <si>
    <t>Nothing sold</t>
  </si>
  <si>
    <t>The PPAs shall be valid for a period of 25 years from the SCSD.</t>
  </si>
  <si>
    <t>Modelled and financed over 25 years</t>
  </si>
  <si>
    <t>SECI reserves the right to cancel any or all of the bids in view of higher tariff discovered after e-RA.</t>
  </si>
  <si>
    <t>Bid tariff ₹7.894/kWh</t>
  </si>
  <si>
    <t>Not required</t>
  </si>
  <si>
    <t>The Scheduled Commencement of Supply Date (SCSD) for supplying power from the full Project capacity shall be the date as on 24 months from the Effective Date of the PPA</t>
  </si>
  <si>
    <t>Build schedule is not modelled</t>
  </si>
  <si>
    <t>Noted</t>
  </si>
  <si>
    <t>Group</t>
  </si>
  <si>
    <t>Value</t>
  </si>
  <si>
    <t>Source</t>
  </si>
  <si>
    <t>Bid</t>
  </si>
  <si>
    <t>Your input</t>
  </si>
  <si>
    <t>Sized for the greenshoe</t>
  </si>
  <si>
    <t>automatic limit</t>
  </si>
  <si>
    <t>Upper limit for the optimizer</t>
  </si>
  <si>
    <t>CUF (AC)</t>
  </si>
  <si>
    <t>DC:AC ratio</t>
  </si>
  <si>
    <t>Annual degradation</t>
  </si>
  <si>
    <t>Capex</t>
  </si>
  <si>
    <t>O&amp;M</t>
  </si>
  <si>
    <t>CUF</t>
  </si>
  <si>
    <t>Discharge duration</t>
  </si>
  <si>
    <t>4 hours</t>
  </si>
  <si>
    <t>Round-trip efficiency</t>
  </si>
  <si>
    <t>Minimum state of charge</t>
  </si>
  <si>
    <t>Maximum state of charge</t>
  </si>
  <si>
    <t>Capacity fade</t>
  </si>
  <si>
    <t>Every year</t>
  </si>
  <si>
    <t>Pre-operative &amp; IDC</t>
  </si>
  <si>
    <t>Model default (editable on Financials)</t>
  </si>
  <si>
    <t>Discount rate (LCOE, NPV)</t>
  </si>
  <si>
    <t>Market</t>
  </si>
  <si>
    <t>Sell in the market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</si>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</sst>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22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  <font>
      <i/>
      <color rgb="FFB26A00"/>
    </font>
    <font>
      <b/>
      <color rgb="FF1E7B34"/>
    </font>
    <font>
      <b/>
      <color rgb="FF666666"/>
    </font>
    <font>
      <color rgb="FFB26A00"/>
    </font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0" fontId="18" fillId="0" borderId="0" xfId="0" applyFont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70" fontId="0" fillId="0" borderId="0" xfId="0" applyNumberFormat="1"/>
    <xf numFmtId="10" fontId="0" fillId="0" borderId="0" xfId="0" applyNumberFormat="1"/>
    <xf numFmtId="0" fontId="2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54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7.894047640160928</v>
      </c>
      <c r="C10" t="s">
        <v>6</v>
      </c>
    </row>
    <row r="11" spans="1:3" x14ac:dyDescent="0.25">
      <c r="A11" t="s">
        <v>7</v>
      </c>
      <c r="B11" s="7">
        <f>'Live model'!$C$10</f>
        <v>0.13999999993597156</v>
      </c>
      <c r="C11" t="s">
        <v>8</v>
      </c>
    </row>
    <row r="12" spans="1:3" x14ac:dyDescent="0.25">
      <c r="A12" t="s">
        <v>9</v>
      </c>
      <c r="B12" s="7">
        <f>'Live model'!$C$12</f>
        <v>0.09989827646990307</v>
      </c>
      <c r="C12" t="s">
        <v>8</v>
      </c>
    </row>
    <row r="13" spans="1:3" x14ac:dyDescent="0.25">
      <c r="A13" t="s">
        <v>10</v>
      </c>
      <c r="B13" s="8">
        <f>'Live model'!$C$13</f>
        <v>4.831690603168681e-13</v>
      </c>
      <c r="C13" t="s">
        <v>8</v>
      </c>
    </row>
    <row r="14" spans="1:3" x14ac:dyDescent="0.25">
      <c r="A14" t="s">
        <v>11</v>
      </c>
      <c r="B14" s="9">
        <f>'Live model'!$C$15</f>
        <v>1.1337970758308547</v>
      </c>
      <c r="C14" t="s">
        <v>8</v>
      </c>
    </row>
    <row r="15" spans="1:3" x14ac:dyDescent="0.25">
      <c r="A15" t="s">
        <v>12</v>
      </c>
      <c r="B15" s="9">
        <f>'Live model'!$C$16</f>
        <v>1.5616203875263572</v>
      </c>
      <c r="C15" t="s">
        <v>8</v>
      </c>
    </row>
    <row r="16" spans="1:3" x14ac:dyDescent="0.25">
      <c r="A16" t="s">
        <v>13</v>
      </c>
      <c r="B16" s="10">
        <f>'Live model'!$C$19</f>
        <v>9</v>
      </c>
      <c r="C16" t="s">
        <v>8</v>
      </c>
    </row>
    <row r="17" spans="1:3" x14ac:dyDescent="0.25">
      <c r="A17" t="s">
        <v>14</v>
      </c>
      <c r="B17" s="8">
        <f>'Live model'!$C$20</f>
        <v>8761.255396840166</v>
      </c>
      <c r="C17" t="s">
        <v>15</v>
      </c>
    </row>
    <row r="18" spans="1:3" x14ac:dyDescent="0.25">
      <c r="A18" t="s">
        <v>16</v>
      </c>
      <c r="B18" s="8">
        <f>'Live model'!$C$21</f>
        <v>6132.878777788116</v>
      </c>
      <c r="C18" t="s">
        <v>8</v>
      </c>
    </row>
    <row r="19" spans="1:3" x14ac:dyDescent="0.25">
      <c r="A19" t="s">
        <v>17</v>
      </c>
      <c r="B19" s="8">
        <f>'Live model'!$C$22</f>
        <v>2628.37661905205</v>
      </c>
      <c r="C19" t="s">
        <v>8</v>
      </c>
    </row>
    <row r="20" spans="1:3" x14ac:dyDescent="0.25">
      <c r="A20" t="s">
        <v>18</v>
      </c>
      <c r="B20" s="6">
        <f>'Live model'!$C$17</f>
        <v>6.86059803336539</v>
      </c>
      <c r="C20" t="s">
        <v>19</v>
      </c>
    </row>
    <row r="21" spans="1:3" x14ac:dyDescent="0.25">
      <c r="A21" t="s">
        <v>20</v>
      </c>
      <c r="B21" s="6">
        <v>7.894047640160923</v>
      </c>
      <c r="C21" t="s">
        <v>21</v>
      </c>
    </row>
    <row r="22" spans="1:3" x14ac:dyDescent="0.25">
      <c r="A22" t="s">
        <v>22</v>
      </c>
      <c r="B22" s="11">
        <v>1741.469237255195</v>
      </c>
      <c r="C22" t="s">
        <v>23</v>
      </c>
    </row>
    <row r="23" spans="1:3" x14ac:dyDescent="0.25">
      <c r="A23" t="s">
        <v>24</v>
      </c>
      <c r="B23" s="11">
        <v>0</v>
      </c>
      <c r="C23" t="s">
        <v>8</v>
      </c>
    </row>
    <row r="24" spans="1:3" x14ac:dyDescent="0.25">
      <c r="A24" t="s">
        <v>25</v>
      </c>
      <c r="B24" s="8">
        <f>'Live model'!$C$23</f>
        <v>34177.472283711344</v>
      </c>
      <c r="C24" t="s">
        <v>8</v>
      </c>
    </row>
    <row r="25" spans="1:3" x14ac:dyDescent="0.25">
      <c r="A25" t="s">
        <v>26</v>
      </c>
      <c r="B25" s="12" t="s">
        <v>27</v>
      </c>
      <c r="C25" t="s">
        <v>8</v>
      </c>
    </row>
    <row r="27" spans="1:1" s="5" customFormat="1" x14ac:dyDescent="0.25">
      <c r="A27" s="5" t="s">
        <v>28</v>
      </c>
    </row>
    <row r="28" spans="1:3" x14ac:dyDescent="0.25">
      <c r="A28" t="s">
        <v>29</v>
      </c>
      <c r="B28" s="11">
        <v>200</v>
      </c>
      <c r="C28" t="s">
        <v>30</v>
      </c>
    </row>
    <row r="29" spans="1:3" x14ac:dyDescent="0.25">
      <c r="A29" t="s">
        <v>31</v>
      </c>
      <c r="B29" s="11">
        <v>733.053371508033</v>
      </c>
      <c r="C29" t="s">
        <v>32</v>
      </c>
    </row>
    <row r="30" spans="1:3" x14ac:dyDescent="0.25">
      <c r="A30" t="s">
        <v>33</v>
      </c>
      <c r="B30" s="11">
        <v>295.70485949607377</v>
      </c>
      <c r="C30" t="s">
        <v>32</v>
      </c>
    </row>
    <row r="31" spans="1:3" x14ac:dyDescent="0.25">
      <c r="A31" t="s">
        <v>34</v>
      </c>
      <c r="B31" s="11">
        <v>727.0328512789135</v>
      </c>
      <c r="C31" t="s">
        <v>8</v>
      </c>
    </row>
    <row r="32" spans="1:3" x14ac:dyDescent="0.25">
      <c r="A32" t="s">
        <v>35</v>
      </c>
      <c r="B32" s="11">
        <v>2908.131405115654</v>
      </c>
      <c r="C32" t="s">
        <v>8</v>
      </c>
    </row>
    <row r="34" spans="1:1" s="5" customFormat="1" x14ac:dyDescent="0.25">
      <c r="A34" s="5" t="s">
        <v>36</v>
      </c>
    </row>
    <row r="35" spans="1:3" x14ac:dyDescent="0.25">
      <c r="A35" t="s">
        <v>37</v>
      </c>
      <c r="B35" s="11">
        <v>200</v>
      </c>
      <c r="C35" t="s">
        <v>8</v>
      </c>
    </row>
    <row r="36" spans="1:3" x14ac:dyDescent="0.25">
      <c r="A36" t="s">
        <v>38</v>
      </c>
      <c r="B36" s="12" t="s">
        <v>39</v>
      </c>
      <c r="C36" t="s">
        <v>8</v>
      </c>
    </row>
    <row r="37" spans="1:3" x14ac:dyDescent="0.25">
      <c r="A37" t="s">
        <v>40</v>
      </c>
      <c r="B37" s="12" t="s">
        <v>41</v>
      </c>
      <c r="C37" t="s">
        <v>8</v>
      </c>
    </row>
    <row r="38" spans="1:3" x14ac:dyDescent="0.25">
      <c r="A38" t="s">
        <v>42</v>
      </c>
      <c r="B38" s="12" t="s">
        <v>43</v>
      </c>
      <c r="C38" t="s">
        <v>8</v>
      </c>
    </row>
    <row r="39" spans="1:3" x14ac:dyDescent="0.25">
      <c r="A39" t="s">
        <v>44</v>
      </c>
      <c r="B39" s="12" t="s">
        <v>45</v>
      </c>
      <c r="C39" t="s">
        <v>8</v>
      </c>
    </row>
    <row r="40" spans="1:3" x14ac:dyDescent="0.25">
      <c r="A40" t="s">
        <v>46</v>
      </c>
      <c r="B40" s="12" t="s">
        <v>47</v>
      </c>
      <c r="C40" t="s">
        <v>8</v>
      </c>
    </row>
    <row r="42" spans="1:1" s="5" customFormat="1" x14ac:dyDescent="0.25">
      <c r="A42" s="5" t="s">
        <v>48</v>
      </c>
    </row>
    <row r="43" spans="1:3" x14ac:dyDescent="0.25">
      <c r="A43" t="s">
        <v>49</v>
      </c>
      <c r="B43" s="12" t="s">
        <v>50</v>
      </c>
      <c r="C43" t="s">
        <v>8</v>
      </c>
    </row>
    <row r="44" spans="1:3" x14ac:dyDescent="0.25">
      <c r="A44" t="s">
        <v>48</v>
      </c>
      <c r="B44" s="12" t="s">
        <v>51</v>
      </c>
      <c r="C44" t="s">
        <v>52</v>
      </c>
    </row>
    <row r="45" spans="1:3" x14ac:dyDescent="0.25">
      <c r="A45" t="s">
        <v>53</v>
      </c>
      <c r="B45" s="12" t="s">
        <v>54</v>
      </c>
      <c r="C45" t="s">
        <v>8</v>
      </c>
    </row>
    <row r="46" spans="1:3" x14ac:dyDescent="0.25">
      <c r="A46" t="s">
        <v>55</v>
      </c>
      <c r="B46" s="12" t="s">
        <v>56</v>
      </c>
      <c r="C46" t="s">
        <v>8</v>
      </c>
    </row>
    <row r="47" spans="1:3" x14ac:dyDescent="0.25">
      <c r="A47" t="s">
        <v>57</v>
      </c>
      <c r="B47" s="12" t="s">
        <v>58</v>
      </c>
      <c r="C47" t="s">
        <v>8</v>
      </c>
    </row>
    <row r="48" spans="1:3" x14ac:dyDescent="0.25">
      <c r="A48" t="s">
        <v>59</v>
      </c>
      <c r="B48" s="12" t="s">
        <v>58</v>
      </c>
      <c r="C48" t="s">
        <v>8</v>
      </c>
    </row>
    <row r="49" spans="1:3" x14ac:dyDescent="0.25">
      <c r="A49" t="s">
        <v>60</v>
      </c>
      <c r="B49" s="12" t="s">
        <v>61</v>
      </c>
      <c r="C49" t="s">
        <v>8</v>
      </c>
    </row>
    <row r="50" spans="1:3" x14ac:dyDescent="0.25">
      <c r="A50" t="s">
        <v>62</v>
      </c>
      <c r="B50" s="12" t="s">
        <v>63</v>
      </c>
      <c r="C50" t="s">
        <v>8</v>
      </c>
    </row>
    <row r="51" spans="1:3" x14ac:dyDescent="0.25">
      <c r="A51" t="s">
        <v>64</v>
      </c>
      <c r="B51" s="12" t="s">
        <v>58</v>
      </c>
      <c r="C51" t="s">
        <v>8</v>
      </c>
    </row>
    <row r="53" spans="1:1" s="13" customFormat="1" x14ac:dyDescent="0.25">
      <c r="A53" s="13" t="s">
        <v>65</v>
      </c>
    </row>
    <row r="54" spans="1:1" s="13" customFormat="1" x14ac:dyDescent="0.25">
      <c r="A54" s="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196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67</v>
      </c>
    </row>
    <row r="3" spans="1:4" x14ac:dyDescent="0.25">
      <c r="A3" s="14" t="s">
        <v>68</v>
      </c>
      <c r="B3" s="15" t="s">
        <v>69</v>
      </c>
      <c r="C3" s="16" t="s">
        <v>70</v>
      </c>
      <c r="D3" s="17" t="s">
        <v>71</v>
      </c>
    </row>
    <row r="4" spans="1:1" x14ac:dyDescent="0.25">
      <c r="A4" s="3" t="s">
        <v>72</v>
      </c>
    </row>
    <row r="5" spans="1:29" x14ac:dyDescent="0.25">
      <c r="A5" s="18" t="s">
        <v>73</v>
      </c>
      <c r="B5" s="18" t="s">
        <v>74</v>
      </c>
      <c r="C5" s="19" t="s">
        <v>75</v>
      </c>
      <c r="D5" s="19" t="s">
        <v>76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77</v>
      </c>
      <c r="D8" s="24" t="s">
        <v>78</v>
      </c>
      <c r="E8" s="24" t="s">
        <v>79</v>
      </c>
      <c r="F8" s="24" t="s">
        <v>80</v>
      </c>
    </row>
    <row r="9" spans="1:6" x14ac:dyDescent="0.25">
      <c r="A9" s="25" t="s">
        <v>81</v>
      </c>
      <c r="B9" s="26" t="s">
        <v>82</v>
      </c>
      <c r="C9" s="27">
        <f>$C$29</f>
        <v>7.894047640160928</v>
      </c>
      <c r="D9" s="28">
        <v>7.894047640160928</v>
      </c>
      <c r="E9" s="29">
        <f>IF(ISNUMBER(C9),C9-D9,"")</f>
        <v>0</v>
      </c>
      <c r="F9" s="12" t="str">
        <f>IF(ISNUMBER(E9),IF(ABS(E9)&lt;=0.000007894047640160928,"Yes","Changed"),"")</f>
        <v>Yes</v>
      </c>
    </row>
    <row r="10" spans="1:6" x14ac:dyDescent="0.25">
      <c r="A10" s="25" t="s">
        <v>7</v>
      </c>
      <c r="B10" s="26" t="s">
        <v>83</v>
      </c>
      <c r="C10" s="30">
        <f>IFERROR(IRR(D167:AC167),"n/a")</f>
        <v>0.1400000000002308</v>
      </c>
      <c r="D10" s="31">
        <v>0.13999999993597156</v>
      </c>
      <c r="E10" s="32">
        <f>IF(ISNUMBER(C10),C10-D10,"")</f>
        <v>6.42592368205186e-11</v>
      </c>
      <c r="F10" s="12" t="str">
        <f>IF(ISNUMBER(E10),IF(ABS(E10)&lt;=0.00001,"Yes","Changed"),"")</f>
        <v>Yes</v>
      </c>
    </row>
    <row r="11" spans="1:6" x14ac:dyDescent="0.25">
      <c r="A11" s="33" t="s">
        <v>84</v>
      </c>
      <c r="B11" s="26" t="s">
        <v>83</v>
      </c>
      <c r="C11" s="34">
        <f>IFERROR($C$10-$C$65,"n/a")</f>
        <v>2.307876112439544e-13</v>
      </c>
      <c r="D11" s="31">
        <v>-6.402844920927464e-11</v>
      </c>
      <c r="E11" s="32">
        <f>IF(ISNUMBER(C11),C11-D11,"")</f>
        <v>6.42592368205186e-11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83</v>
      </c>
      <c r="C12" s="34">
        <f>IFERROR(IRR(D171:AC171),"n/a")</f>
        <v>0.09989827657152886</v>
      </c>
      <c r="D12" s="31">
        <v>0.09989827646990307</v>
      </c>
      <c r="E12" s="32">
        <f>IF(ISNUMBER(C12),C12-D12,"")</f>
        <v>1.0162579111572256e-10</v>
      </c>
      <c r="F12" s="12" t="str">
        <f>IF(ISNUMBER(E12),IF(ABS(E12)&lt;=0.00001,"Yes","Changed"),"")</f>
        <v>Yes</v>
      </c>
    </row>
    <row r="13" spans="1:6" x14ac:dyDescent="0.25">
      <c r="A13" s="33" t="s">
        <v>85</v>
      </c>
      <c r="B13" s="26" t="s">
        <v>86</v>
      </c>
      <c r="C13" s="35">
        <f>D167+NPV($C$65,E167:AC167)</f>
        <v>4.263256414560601e-13</v>
      </c>
      <c r="D13" s="36">
        <v>4.831690603168681e-13</v>
      </c>
      <c r="E13" s="37">
        <f>IF(ISNUMBER(C13),C13-D13,"")</f>
        <v>-5.684341886080802e-14</v>
      </c>
      <c r="F13" s="12" t="str">
        <f>IF(ISNUMBER(E13),IF(ABS(E13)&lt;=0.000001,"Yes","Changed"),"")</f>
        <v>Yes</v>
      </c>
    </row>
    <row r="14" spans="1:6" x14ac:dyDescent="0.25">
      <c r="A14" s="33" t="s">
        <v>87</v>
      </c>
      <c r="B14" s="26" t="s">
        <v>86</v>
      </c>
      <c r="C14" s="35">
        <f>D171+NPV($C$66,E171:AC171)</f>
        <v>-6.325984518881739</v>
      </c>
      <c r="D14" s="36">
        <v>-6.325984518881427</v>
      </c>
      <c r="E14" s="37">
        <f>IF(ISNUMBER(C14),C14-D14,"")</f>
        <v>-3.126388037344441e-13</v>
      </c>
      <c r="F14" s="12" t="str">
        <f>IF(ISNUMBER(E14),IF(ABS(E14)&lt;=0.000006325984518881427,"Yes","Changed"),"")</f>
        <v>Yes</v>
      </c>
    </row>
    <row r="15" spans="1:6" x14ac:dyDescent="0.25">
      <c r="A15" s="33" t="s">
        <v>11</v>
      </c>
      <c r="B15" s="26" t="s">
        <v>88</v>
      </c>
      <c r="C15" s="38">
        <f>IF(COUNT(E164:AC164)=0,"",MIN(E164:AC164))</f>
        <v>1.1337970758308547</v>
      </c>
      <c r="D15" s="39">
        <v>1.1337970758308547</v>
      </c>
      <c r="E15" s="40">
        <f>IF(ISNUMBER(C15),C15-D15,"")</f>
        <v>0</v>
      </c>
      <c r="F15" s="12" t="str">
        <f>IF(ISNUMBER(E15),IF(ABS(E15)&lt;=0.0000011337970758308545,"Yes","Changed"),"")</f>
        <v>Yes</v>
      </c>
    </row>
    <row r="16" spans="1:6" x14ac:dyDescent="0.25">
      <c r="A16" s="33" t="s">
        <v>12</v>
      </c>
      <c r="B16" s="26" t="s">
        <v>88</v>
      </c>
      <c r="C16" s="38">
        <f>IF(COUNT(E164:AC164)=0,"",AVERAGE(E164:AC164))</f>
        <v>1.5616203875263572</v>
      </c>
      <c r="D16" s="39">
        <v>1.5616203875263572</v>
      </c>
      <c r="E16" s="40">
        <f>IF(ISNUMBER(C16),C16-D16,"")</f>
        <v>0</v>
      </c>
      <c r="F16" s="12" t="str">
        <f>IF(ISNUMBER(E16),IF(ABS(E16)&lt;=0.0000015616203875263572,"Yes","Changed"),"")</f>
        <v>Yes</v>
      </c>
    </row>
    <row r="17" spans="1:6" x14ac:dyDescent="0.25">
      <c r="A17" s="33" t="s">
        <v>89</v>
      </c>
      <c r="B17" s="26" t="s">
        <v>82</v>
      </c>
      <c r="C17" s="41">
        <f>IF(C176&gt;0,($C$83+C175)*10/C176,"")</f>
        <v>6.860598033365387</v>
      </c>
      <c r="D17" s="28">
        <v>6.86059803336539</v>
      </c>
      <c r="E17" s="29">
        <f>IF(ISNUMBER(C17),C17-D17,"")</f>
        <v>-2.6645352591003757e-15</v>
      </c>
      <c r="F17" s="12" t="str">
        <f>IF(ISNUMBER(E17),IF(ABS(E17)&lt;=0.00000686059803336539,"Yes","Changed"),"")</f>
        <v>Yes</v>
      </c>
    </row>
    <row r="18" spans="1:6" x14ac:dyDescent="0.25">
      <c r="A18" s="33" t="s">
        <v>90</v>
      </c>
      <c r="B18" s="26" t="s">
        <v>82</v>
      </c>
      <c r="C18" s="41">
        <f>IF(C176&gt;0,C177*10/C176,"")</f>
        <v>7.89404764016093</v>
      </c>
      <c r="D18" s="28">
        <v>7.8940476401609265</v>
      </c>
      <c r="E18" s="29">
        <f>IF(ISNUMBER(C18),C18-D18,"")</f>
        <v>3.552713678800501e-15</v>
      </c>
      <c r="F18" s="12" t="str">
        <f>IF(ISNUMBER(E18),IF(ABS(E18)&lt;=0.000007894047640160926,"Yes","Changed"),"")</f>
        <v>Yes</v>
      </c>
    </row>
    <row r="19" spans="1:6" x14ac:dyDescent="0.25">
      <c r="A19" s="33" t="s">
        <v>91</v>
      </c>
      <c r="B19" s="26" t="s">
        <v>92</v>
      </c>
      <c r="C19" s="42">
        <f>IF(COUNT(E169:AC169)=0,"beyond the term",MIN(E169:AC169))</f>
        <v>9</v>
      </c>
      <c r="D19" s="43">
        <v>9</v>
      </c>
      <c r="E19" s="44">
        <f>IF(ISNUMBER(C19),C19-D19,"")</f>
        <v>0</v>
      </c>
      <c r="F19" s="12" t="str">
        <f>IF(ISNUMBER(E19),IF(ABS(E19)&lt;=0.000009,"Yes","Changed"),"")</f>
        <v>Yes</v>
      </c>
    </row>
    <row r="20" spans="1:6" x14ac:dyDescent="0.25">
      <c r="A20" s="33" t="s">
        <v>93</v>
      </c>
      <c r="B20" s="26" t="s">
        <v>86</v>
      </c>
      <c r="C20" s="35">
        <f>$C$83</f>
        <v>8761.255396840166</v>
      </c>
      <c r="D20" s="36">
        <v>8761.255396840166</v>
      </c>
      <c r="E20" s="37">
        <f>IF(ISNUMBER(C20),C20-D20,"")</f>
        <v>0</v>
      </c>
      <c r="F20" s="12" t="str">
        <f>IF(ISNUMBER(E20),IF(ABS(E20)&lt;=0.008761255396840166,"Yes","Changed"),"")</f>
        <v>Yes</v>
      </c>
    </row>
    <row r="21" spans="1:6" x14ac:dyDescent="0.25">
      <c r="A21" s="33" t="s">
        <v>94</v>
      </c>
      <c r="B21" s="26" t="s">
        <v>86</v>
      </c>
      <c r="C21" s="35">
        <f>$C$84</f>
        <v>6132.878777788116</v>
      </c>
      <c r="D21" s="36">
        <v>6132.878777788116</v>
      </c>
      <c r="E21" s="37">
        <f>IF(ISNUMBER(C21),C21-D21,"")</f>
        <v>0</v>
      </c>
      <c r="F21" s="12" t="str">
        <f>IF(ISNUMBER(E21),IF(ABS(E21)&lt;=0.006132878777788116,"Yes","Changed"),"")</f>
        <v>Yes</v>
      </c>
    </row>
    <row r="22" spans="1:6" x14ac:dyDescent="0.25">
      <c r="A22" s="33" t="s">
        <v>95</v>
      </c>
      <c r="B22" s="26" t="s">
        <v>86</v>
      </c>
      <c r="C22" s="35">
        <f>$C$85</f>
        <v>2628.37661905205</v>
      </c>
      <c r="D22" s="36">
        <v>2628.37661905205</v>
      </c>
      <c r="E22" s="37">
        <f>IF(ISNUMBER(C22),C22-D22,"")</f>
        <v>0</v>
      </c>
      <c r="F22" s="12" t="str">
        <f>IF(ISNUMBER(E22),IF(ABS(E22)&lt;=0.00262837661905205,"Yes","Changed"),"")</f>
        <v>Yes</v>
      </c>
    </row>
    <row r="23" spans="1:6" x14ac:dyDescent="0.25">
      <c r="A23" s="33" t="s">
        <v>96</v>
      </c>
      <c r="B23" s="26" t="s">
        <v>86</v>
      </c>
      <c r="C23" s="35">
        <f>C112</f>
        <v>34177.472283711344</v>
      </c>
      <c r="D23" s="36">
        <v>34177.472283711344</v>
      </c>
      <c r="E23" s="37">
        <f>IF(ISNUMBER(C23),C23-D23,"")</f>
        <v>0</v>
      </c>
      <c r="F23" s="12" t="str">
        <f>IF(ISNUMBER(E23),IF(ABS(E23)&lt;=0.03417747228371134,"Yes","Changed"),"")</f>
        <v>Yes</v>
      </c>
    </row>
    <row r="24" spans="1:6" x14ac:dyDescent="0.25">
      <c r="A24" s="33" t="s">
        <v>97</v>
      </c>
      <c r="C24" s="45" t="str">
        <f>IF(AND($C$191="OK",$C$192="OK",$C$193="OK",$C$194="OK"),"OK","CHECK")</f>
        <v>OK</v>
      </c>
      <c r="F24" s="12" t="str">
        <f>IF(C24="OK","OK","CHECK")</f>
        <v>OK</v>
      </c>
    </row>
    <row r="25" spans="1:1" x14ac:dyDescent="0.25">
      <c r="A25" s="13" t="s">
        <v>98</v>
      </c>
    </row>
    <row r="27" ht="20" customHeight="1" spans="1:29" x14ac:dyDescent="0.25">
      <c r="A27" s="21" t="s">
        <v>99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100</v>
      </c>
      <c r="B28" s="47"/>
      <c r="C28" s="47"/>
      <c r="D28" s="47"/>
    </row>
    <row r="29" spans="1:4" x14ac:dyDescent="0.25">
      <c r="A29" s="33" t="s">
        <v>81</v>
      </c>
      <c r="B29" s="26" t="s">
        <v>82</v>
      </c>
      <c r="C29" s="48">
        <v>7.894047640160928</v>
      </c>
      <c r="D29" s="3" t="s">
        <v>101</v>
      </c>
    </row>
    <row r="30" spans="1:4" x14ac:dyDescent="0.25">
      <c r="A30" s="33" t="s">
        <v>102</v>
      </c>
      <c r="B30" s="26" t="s">
        <v>103</v>
      </c>
      <c r="C30" s="49">
        <v>0</v>
      </c>
      <c r="D30" s="50" t="s">
        <v>104</v>
      </c>
    </row>
    <row r="31" spans="1:4" x14ac:dyDescent="0.25">
      <c r="A31" s="46" t="s">
        <v>105</v>
      </c>
      <c r="B31" s="47"/>
      <c r="C31" s="47"/>
      <c r="D31" s="47"/>
    </row>
    <row r="32" spans="1:4" x14ac:dyDescent="0.25">
      <c r="A32" s="33" t="s">
        <v>38</v>
      </c>
      <c r="B32" s="26" t="s">
        <v>106</v>
      </c>
      <c r="C32" s="51">
        <v>733.053371508033</v>
      </c>
      <c r="D32" s="3" t="s">
        <v>107</v>
      </c>
    </row>
    <row r="33" spans="1:4" x14ac:dyDescent="0.25">
      <c r="A33" s="33" t="s">
        <v>40</v>
      </c>
      <c r="B33" s="26" t="s">
        <v>106</v>
      </c>
      <c r="C33" s="51">
        <v>295.70485949607377</v>
      </c>
      <c r="D33" s="3" t="s">
        <v>107</v>
      </c>
    </row>
    <row r="34" spans="1:4" x14ac:dyDescent="0.25">
      <c r="A34" s="33" t="s">
        <v>108</v>
      </c>
      <c r="B34" s="26" t="s">
        <v>106</v>
      </c>
      <c r="C34" s="51">
        <v>727.0328512789135</v>
      </c>
      <c r="D34" s="3" t="s">
        <v>107</v>
      </c>
    </row>
    <row r="35" spans="1:4" x14ac:dyDescent="0.25">
      <c r="A35" s="33" t="s">
        <v>109</v>
      </c>
      <c r="B35" s="26" t="s">
        <v>110</v>
      </c>
      <c r="C35" s="51">
        <v>2908.131405115654</v>
      </c>
      <c r="D35" s="3" t="s">
        <v>107</v>
      </c>
    </row>
    <row r="36" spans="1:4" x14ac:dyDescent="0.25">
      <c r="A36" s="46" t="s">
        <v>111</v>
      </c>
      <c r="B36" s="47"/>
      <c r="C36" s="47"/>
      <c r="D36" s="47"/>
    </row>
    <row r="37" spans="1:4" x14ac:dyDescent="0.25">
      <c r="A37" s="33" t="s">
        <v>38</v>
      </c>
      <c r="B37" s="26" t="s">
        <v>112</v>
      </c>
      <c r="C37" s="52">
        <v>4</v>
      </c>
      <c r="D37" s="50" t="s">
        <v>104</v>
      </c>
    </row>
    <row r="38" spans="1:4" x14ac:dyDescent="0.25">
      <c r="A38" s="33" t="s">
        <v>40</v>
      </c>
      <c r="B38" s="26" t="s">
        <v>112</v>
      </c>
      <c r="C38" s="52">
        <v>6.5</v>
      </c>
      <c r="D38" s="50" t="s">
        <v>104</v>
      </c>
    </row>
    <row r="39" spans="1:4" x14ac:dyDescent="0.25">
      <c r="A39" s="33" t="s">
        <v>109</v>
      </c>
      <c r="B39" s="26" t="s">
        <v>113</v>
      </c>
      <c r="C39" s="52">
        <v>1.2</v>
      </c>
      <c r="D39" s="50" t="s">
        <v>104</v>
      </c>
    </row>
    <row r="40" spans="1:4" x14ac:dyDescent="0.25">
      <c r="A40" s="33" t="s">
        <v>114</v>
      </c>
      <c r="B40" s="26" t="s">
        <v>112</v>
      </c>
      <c r="C40" s="52">
        <v>0</v>
      </c>
      <c r="D40" s="3" t="s">
        <v>115</v>
      </c>
    </row>
    <row r="41" spans="1:4" x14ac:dyDescent="0.25">
      <c r="A41" s="33" t="s">
        <v>116</v>
      </c>
      <c r="B41" s="26" t="s">
        <v>86</v>
      </c>
      <c r="C41" s="53">
        <v>0</v>
      </c>
      <c r="D41" s="50" t="s">
        <v>104</v>
      </c>
    </row>
    <row r="42" spans="1:4" x14ac:dyDescent="0.25">
      <c r="A42" s="33" t="s">
        <v>117</v>
      </c>
      <c r="B42" s="26" t="s">
        <v>118</v>
      </c>
      <c r="C42" s="49">
        <v>0.05</v>
      </c>
      <c r="D42" s="50" t="s">
        <v>104</v>
      </c>
    </row>
    <row r="43" spans="1:4" x14ac:dyDescent="0.25">
      <c r="A43" s="46" t="s">
        <v>119</v>
      </c>
      <c r="B43" s="47"/>
      <c r="C43" s="47"/>
      <c r="D43" s="47"/>
    </row>
    <row r="44" spans="1:4" x14ac:dyDescent="0.25">
      <c r="A44" s="33" t="s">
        <v>120</v>
      </c>
      <c r="B44" s="26" t="s">
        <v>121</v>
      </c>
      <c r="C44" s="52">
        <v>4</v>
      </c>
      <c r="D44" s="50" t="s">
        <v>104</v>
      </c>
    </row>
    <row r="45" spans="1:4" x14ac:dyDescent="0.25">
      <c r="A45" s="33" t="s">
        <v>122</v>
      </c>
      <c r="B45" s="26" t="s">
        <v>121</v>
      </c>
      <c r="C45" s="52">
        <v>9</v>
      </c>
      <c r="D45" s="50" t="s">
        <v>104</v>
      </c>
    </row>
    <row r="46" spans="1:4" x14ac:dyDescent="0.25">
      <c r="A46" s="33" t="s">
        <v>123</v>
      </c>
      <c r="B46" s="26" t="s">
        <v>124</v>
      </c>
      <c r="C46" s="52">
        <v>1.2</v>
      </c>
      <c r="D46" s="50" t="s">
        <v>104</v>
      </c>
    </row>
    <row r="47" spans="1:4" x14ac:dyDescent="0.25">
      <c r="A47" s="33" t="s">
        <v>125</v>
      </c>
      <c r="B47" s="26" t="s">
        <v>103</v>
      </c>
      <c r="C47" s="49">
        <v>0.05</v>
      </c>
      <c r="D47" s="50" t="s">
        <v>104</v>
      </c>
    </row>
    <row r="48" spans="1:4" x14ac:dyDescent="0.25">
      <c r="A48" s="33" t="s">
        <v>126</v>
      </c>
      <c r="B48" s="26" t="s">
        <v>127</v>
      </c>
      <c r="C48" s="49">
        <v>0.003</v>
      </c>
      <c r="D48" s="50" t="s">
        <v>104</v>
      </c>
    </row>
    <row r="49" spans="1:4" x14ac:dyDescent="0.25">
      <c r="A49" s="33" t="s">
        <v>128</v>
      </c>
      <c r="B49" s="26" t="s">
        <v>129</v>
      </c>
      <c r="C49" s="53">
        <v>0</v>
      </c>
      <c r="D49" s="3" t="s">
        <v>130</v>
      </c>
    </row>
    <row r="50" spans="1:4" x14ac:dyDescent="0.25">
      <c r="A50" s="46" t="s">
        <v>131</v>
      </c>
      <c r="B50" s="47"/>
      <c r="C50" s="47"/>
      <c r="D50" s="47"/>
    </row>
    <row r="51" spans="1:4" x14ac:dyDescent="0.25">
      <c r="A51" s="33" t="s">
        <v>132</v>
      </c>
      <c r="B51" s="26" t="s">
        <v>133</v>
      </c>
      <c r="C51" s="54" t="s">
        <v>134</v>
      </c>
      <c r="D51" s="50" t="s">
        <v>104</v>
      </c>
    </row>
    <row r="52" spans="1:4" x14ac:dyDescent="0.25">
      <c r="A52" s="33" t="s">
        <v>135</v>
      </c>
      <c r="B52" s="26" t="s">
        <v>82</v>
      </c>
      <c r="C52" s="48">
        <v>0</v>
      </c>
      <c r="D52" s="3" t="s">
        <v>136</v>
      </c>
    </row>
    <row r="53" spans="1:4" x14ac:dyDescent="0.25">
      <c r="A53" s="33" t="s">
        <v>137</v>
      </c>
      <c r="B53" s="26" t="s">
        <v>138</v>
      </c>
      <c r="C53" s="49">
        <v>0</v>
      </c>
      <c r="D53" s="3" t="s">
        <v>48</v>
      </c>
    </row>
    <row r="54" spans="1:4" x14ac:dyDescent="0.25">
      <c r="A54" s="33" t="s">
        <v>139</v>
      </c>
      <c r="B54" s="26" t="s">
        <v>140</v>
      </c>
      <c r="C54" s="48">
        <v>0</v>
      </c>
      <c r="D54" s="3" t="s">
        <v>130</v>
      </c>
    </row>
    <row r="55" spans="1:4" x14ac:dyDescent="0.25">
      <c r="A55" s="46" t="s">
        <v>141</v>
      </c>
      <c r="B55" s="47"/>
      <c r="C55" s="47"/>
      <c r="D55" s="47"/>
    </row>
    <row r="56" spans="1:4" x14ac:dyDescent="0.25">
      <c r="A56" s="33" t="s">
        <v>142</v>
      </c>
      <c r="B56" s="26" t="s">
        <v>143</v>
      </c>
      <c r="C56" s="54" t="s">
        <v>144</v>
      </c>
      <c r="D56" s="50" t="s">
        <v>104</v>
      </c>
    </row>
    <row r="57" spans="1:4" x14ac:dyDescent="0.25">
      <c r="A57" s="33" t="s">
        <v>145</v>
      </c>
      <c r="B57" s="26" t="s">
        <v>103</v>
      </c>
      <c r="C57" s="49">
        <v>0.02</v>
      </c>
      <c r="D57" s="50" t="s">
        <v>104</v>
      </c>
    </row>
    <row r="58" spans="1:4" x14ac:dyDescent="0.25">
      <c r="A58" s="33" t="s">
        <v>146</v>
      </c>
      <c r="B58" s="26" t="s">
        <v>92</v>
      </c>
      <c r="C58" s="55">
        <v>12</v>
      </c>
      <c r="D58" s="3" t="s">
        <v>147</v>
      </c>
    </row>
    <row r="59" spans="1:4" x14ac:dyDescent="0.25">
      <c r="A59" s="33" t="s">
        <v>148</v>
      </c>
      <c r="B59" s="26" t="s">
        <v>103</v>
      </c>
      <c r="C59" s="49">
        <v>0</v>
      </c>
      <c r="D59" s="3" t="s">
        <v>130</v>
      </c>
    </row>
    <row r="60" spans="1:4" x14ac:dyDescent="0.25">
      <c r="A60" s="46" t="s">
        <v>44</v>
      </c>
      <c r="B60" s="47"/>
      <c r="C60" s="47"/>
      <c r="D60" s="47"/>
    </row>
    <row r="61" spans="1:4" x14ac:dyDescent="0.25">
      <c r="A61" s="33" t="s">
        <v>149</v>
      </c>
      <c r="B61" s="26" t="s">
        <v>150</v>
      </c>
      <c r="C61" s="49">
        <v>0.7</v>
      </c>
      <c r="D61" s="50" t="s">
        <v>104</v>
      </c>
    </row>
    <row r="62" spans="1:4" x14ac:dyDescent="0.25">
      <c r="A62" s="33" t="s">
        <v>151</v>
      </c>
      <c r="B62" s="26" t="s">
        <v>103</v>
      </c>
      <c r="C62" s="49">
        <v>0.09</v>
      </c>
      <c r="D62" s="50" t="s">
        <v>104</v>
      </c>
    </row>
    <row r="63" spans="1:4" x14ac:dyDescent="0.25">
      <c r="A63" s="33" t="s">
        <v>152</v>
      </c>
      <c r="B63" s="26" t="s">
        <v>153</v>
      </c>
      <c r="C63" s="55">
        <v>15</v>
      </c>
      <c r="D63" s="50" t="s">
        <v>104</v>
      </c>
    </row>
    <row r="64" spans="1:4" x14ac:dyDescent="0.25">
      <c r="A64" s="33" t="s">
        <v>154</v>
      </c>
      <c r="B64" s="26" t="s">
        <v>155</v>
      </c>
      <c r="C64" s="54" t="s">
        <v>156</v>
      </c>
      <c r="D64" s="3" t="s">
        <v>130</v>
      </c>
    </row>
    <row r="65" spans="1:4" x14ac:dyDescent="0.25">
      <c r="A65" s="33" t="s">
        <v>157</v>
      </c>
      <c r="B65" s="26" t="s">
        <v>83</v>
      </c>
      <c r="C65" s="49">
        <v>0.14</v>
      </c>
      <c r="D65" s="50" t="s">
        <v>104</v>
      </c>
    </row>
    <row r="66" spans="1:4" x14ac:dyDescent="0.25">
      <c r="A66" s="33" t="s">
        <v>158</v>
      </c>
      <c r="B66" s="26" t="s">
        <v>83</v>
      </c>
      <c r="C66" s="49">
        <v>0.1</v>
      </c>
      <c r="D66" s="3" t="s">
        <v>130</v>
      </c>
    </row>
    <row r="67" spans="1:4" x14ac:dyDescent="0.25">
      <c r="A67" s="46" t="s">
        <v>159</v>
      </c>
      <c r="B67" s="47"/>
      <c r="C67" s="47"/>
      <c r="D67" s="47"/>
    </row>
    <row r="68" spans="1:4" x14ac:dyDescent="0.25">
      <c r="A68" s="33" t="s">
        <v>160</v>
      </c>
      <c r="B68" s="26" t="s">
        <v>83</v>
      </c>
      <c r="C68" s="49">
        <v>0.2517</v>
      </c>
      <c r="D68" s="50" t="s">
        <v>104</v>
      </c>
    </row>
    <row r="69" spans="1:4" x14ac:dyDescent="0.25">
      <c r="A69" s="33" t="s">
        <v>161</v>
      </c>
      <c r="B69" s="26" t="s">
        <v>162</v>
      </c>
      <c r="C69" s="54" t="s">
        <v>163</v>
      </c>
      <c r="D69" s="3" t="s">
        <v>130</v>
      </c>
    </row>
    <row r="70" spans="1:4" x14ac:dyDescent="0.25">
      <c r="A70" s="33" t="s">
        <v>164</v>
      </c>
      <c r="B70" s="26" t="s">
        <v>103</v>
      </c>
      <c r="C70" s="49">
        <v>0.4</v>
      </c>
      <c r="D70" s="3" t="s">
        <v>130</v>
      </c>
    </row>
    <row r="71" spans="1:4" x14ac:dyDescent="0.25">
      <c r="A71" s="33" t="s">
        <v>165</v>
      </c>
      <c r="B71" s="26" t="s">
        <v>153</v>
      </c>
      <c r="C71" s="55">
        <v>25</v>
      </c>
      <c r="D71" s="3" t="s">
        <v>130</v>
      </c>
    </row>
    <row r="72" spans="1:4" x14ac:dyDescent="0.25">
      <c r="A72" s="33" t="s">
        <v>166</v>
      </c>
      <c r="B72" s="26" t="s">
        <v>150</v>
      </c>
      <c r="C72" s="49">
        <v>0.1</v>
      </c>
      <c r="D72" s="3" t="s">
        <v>130</v>
      </c>
    </row>
    <row r="73" spans="1:4" x14ac:dyDescent="0.25">
      <c r="A73" s="33" t="s">
        <v>167</v>
      </c>
      <c r="B73" s="26" t="s">
        <v>168</v>
      </c>
      <c r="C73" s="55">
        <v>45</v>
      </c>
      <c r="D73" s="3" t="s">
        <v>130</v>
      </c>
    </row>
    <row r="75" ht="20" customHeight="1" spans="1:29" x14ac:dyDescent="0.25">
      <c r="A75" s="21" t="s">
        <v>169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3" x14ac:dyDescent="0.25">
      <c r="A76" s="33" t="s">
        <v>38</v>
      </c>
      <c r="B76" s="26" t="s">
        <v>86</v>
      </c>
      <c r="C76" s="37">
        <f>$C$32*$C$37</f>
        <v>2932.213486032132</v>
      </c>
    </row>
    <row r="77" spans="1:3" x14ac:dyDescent="0.25">
      <c r="A77" s="33" t="s">
        <v>40</v>
      </c>
      <c r="B77" s="26" t="s">
        <v>86</v>
      </c>
      <c r="C77" s="37">
        <f>$C$33*$C$38</f>
        <v>1922.0815867244794</v>
      </c>
    </row>
    <row r="78" spans="1:3" x14ac:dyDescent="0.25">
      <c r="A78" s="33" t="s">
        <v>109</v>
      </c>
      <c r="B78" s="26" t="s">
        <v>86</v>
      </c>
      <c r="C78" s="37">
        <f>$C$35*$C$39</f>
        <v>3489.7576861387847</v>
      </c>
    </row>
    <row r="79" spans="1:3" x14ac:dyDescent="0.25">
      <c r="A79" s="33" t="s">
        <v>114</v>
      </c>
      <c r="B79" s="26" t="s">
        <v>86</v>
      </c>
      <c r="C79" s="37">
        <f>$C$34*$C$40</f>
        <v>0</v>
      </c>
    </row>
    <row r="80" spans="1:3" x14ac:dyDescent="0.25">
      <c r="A80" s="33" t="s">
        <v>116</v>
      </c>
      <c r="B80" s="26" t="s">
        <v>86</v>
      </c>
      <c r="C80" s="37">
        <f>$C$41</f>
        <v>0</v>
      </c>
    </row>
    <row r="81" spans="1:3" x14ac:dyDescent="0.25">
      <c r="A81" s="25" t="s">
        <v>170</v>
      </c>
      <c r="B81" s="26" t="s">
        <v>86</v>
      </c>
      <c r="C81" s="56">
        <f>SUM($C$76:$C$80)</f>
        <v>8344.052758895396</v>
      </c>
    </row>
    <row r="82" spans="1:3" x14ac:dyDescent="0.25">
      <c r="A82" s="33" t="s">
        <v>117</v>
      </c>
      <c r="B82" s="26" t="s">
        <v>86</v>
      </c>
      <c r="C82" s="37">
        <f>$C$81*$C$42</f>
        <v>417.2026379447698</v>
      </c>
    </row>
    <row r="83" spans="1:3" x14ac:dyDescent="0.25">
      <c r="A83" s="25" t="s">
        <v>171</v>
      </c>
      <c r="B83" s="26" t="s">
        <v>86</v>
      </c>
      <c r="C83" s="56">
        <f>$C$81+$C$82</f>
        <v>8761.255396840166</v>
      </c>
    </row>
    <row r="84" spans="1:3" x14ac:dyDescent="0.25">
      <c r="A84" s="33" t="s">
        <v>94</v>
      </c>
      <c r="B84" s="26" t="s">
        <v>86</v>
      </c>
      <c r="C84" s="37">
        <f>$C$83*$C$61</f>
        <v>6132.878777788116</v>
      </c>
    </row>
    <row r="85" spans="1:3" x14ac:dyDescent="0.25">
      <c r="A85" s="33" t="s">
        <v>95</v>
      </c>
      <c r="B85" s="26" t="s">
        <v>86</v>
      </c>
      <c r="C85" s="37">
        <f>$C$83-$C$84</f>
        <v>2628.37661905205</v>
      </c>
    </row>
    <row r="86" spans="1:3" x14ac:dyDescent="0.25">
      <c r="A86" s="33" t="s">
        <v>172</v>
      </c>
      <c r="B86" s="26" t="s">
        <v>153</v>
      </c>
      <c r="C86" s="44">
        <f>COUNT(E5:AC5)</f>
        <v>25</v>
      </c>
    </row>
    <row r="87" spans="1:3" x14ac:dyDescent="0.25">
      <c r="A87" s="33" t="s">
        <v>173</v>
      </c>
      <c r="B87" s="26" t="s">
        <v>153</v>
      </c>
      <c r="C87" s="44">
        <f>MIN($C$86,MAX(1,ROUND($C$63,0)))</f>
        <v>15</v>
      </c>
    </row>
    <row r="88" spans="1:3" x14ac:dyDescent="0.25">
      <c r="A88" s="33" t="s">
        <v>174</v>
      </c>
      <c r="B88" s="26" t="s">
        <v>129</v>
      </c>
      <c r="C88" s="37">
        <f>IF($C$62&lt;=0,$C$84/$C$87,$C$84*$C$62*(1+$C$62)^$C$87/((1+$C$62)^$C$87-1))</f>
        <v>760.8380886021928</v>
      </c>
    </row>
    <row r="89" spans="1:3" x14ac:dyDescent="0.25">
      <c r="A89" s="33" t="s">
        <v>175</v>
      </c>
      <c r="B89" s="26" t="s">
        <v>129</v>
      </c>
      <c r="C89" s="37">
        <f>$C$84/$C$87</f>
        <v>408.8585851858744</v>
      </c>
    </row>
    <row r="90" spans="1:3" x14ac:dyDescent="0.25">
      <c r="A90" s="33" t="s">
        <v>176</v>
      </c>
      <c r="B90" s="26" t="s">
        <v>86</v>
      </c>
      <c r="C90" s="37">
        <f>$C$83*(1-$C$72)</f>
        <v>7885.12985715615</v>
      </c>
    </row>
    <row r="91" spans="1:3" x14ac:dyDescent="0.25">
      <c r="A91" s="33" t="s">
        <v>177</v>
      </c>
      <c r="B91" s="26" t="s">
        <v>129</v>
      </c>
      <c r="C91" s="37">
        <f>$C$90/$C$71</f>
        <v>315.405194286246</v>
      </c>
    </row>
    <row r="93" ht="20" customHeight="1" spans="1:29" x14ac:dyDescent="0.25">
      <c r="A93" s="21" t="s">
        <v>178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x14ac:dyDescent="0.25">
      <c r="A94" s="33" t="s">
        <v>179</v>
      </c>
      <c r="B94" s="26" t="s">
        <v>180</v>
      </c>
      <c r="C94" s="57">
        <f>SUM(E94:AC94)</f>
        <v>43800</v>
      </c>
      <c r="E94" s="51">
        <v>1752</v>
      </c>
      <c r="F94" s="51">
        <v>1752</v>
      </c>
      <c r="G94" s="51">
        <v>1752</v>
      </c>
      <c r="H94" s="51">
        <v>1752</v>
      </c>
      <c r="I94" s="51">
        <v>1752</v>
      </c>
      <c r="J94" s="51">
        <v>1752</v>
      </c>
      <c r="K94" s="51">
        <v>1752</v>
      </c>
      <c r="L94" s="51">
        <v>1752</v>
      </c>
      <c r="M94" s="51">
        <v>1752</v>
      </c>
      <c r="N94" s="51">
        <v>1752</v>
      </c>
      <c r="O94" s="51">
        <v>1752</v>
      </c>
      <c r="P94" s="51">
        <v>1752</v>
      </c>
      <c r="Q94" s="51">
        <v>1752</v>
      </c>
      <c r="R94" s="51">
        <v>1752</v>
      </c>
      <c r="S94" s="51">
        <v>1752</v>
      </c>
      <c r="T94" s="51">
        <v>1752</v>
      </c>
      <c r="U94" s="51">
        <v>1752</v>
      </c>
      <c r="V94" s="51">
        <v>1752</v>
      </c>
      <c r="W94" s="51">
        <v>1752</v>
      </c>
      <c r="X94" s="51">
        <v>1752</v>
      </c>
      <c r="Y94" s="51">
        <v>1752</v>
      </c>
      <c r="Z94" s="51">
        <v>1752</v>
      </c>
      <c r="AA94" s="51">
        <v>1752</v>
      </c>
      <c r="AB94" s="51">
        <v>1752</v>
      </c>
      <c r="AC94" s="51">
        <v>1752</v>
      </c>
    </row>
    <row r="95" spans="1:29" x14ac:dyDescent="0.25">
      <c r="A95" s="33" t="s">
        <v>181</v>
      </c>
      <c r="B95" s="26" t="s">
        <v>180</v>
      </c>
      <c r="C95" s="57">
        <f>SUM(E95:AC95)</f>
        <v>43295.24452048354</v>
      </c>
      <c r="E95" s="51">
        <v>1741.469237255195</v>
      </c>
      <c r="F95" s="51">
        <v>1740.6642825522072</v>
      </c>
      <c r="G95" s="51">
        <v>1739.8593278492194</v>
      </c>
      <c r="H95" s="51">
        <v>1739.0543731462315</v>
      </c>
      <c r="I95" s="51">
        <v>1738.249418443244</v>
      </c>
      <c r="J95" s="51">
        <v>1737.444463740256</v>
      </c>
      <c r="K95" s="51">
        <v>1736.6395090372685</v>
      </c>
      <c r="L95" s="51">
        <v>1735.8345543342803</v>
      </c>
      <c r="M95" s="51">
        <v>1735.0295996312927</v>
      </c>
      <c r="N95" s="51">
        <v>1734.224644928305</v>
      </c>
      <c r="O95" s="51">
        <v>1733.4196902253173</v>
      </c>
      <c r="P95" s="51">
        <v>1732.6147355223293</v>
      </c>
      <c r="Q95" s="51">
        <v>1731.8097808193415</v>
      </c>
      <c r="R95" s="51">
        <v>1731.0048261163538</v>
      </c>
      <c r="S95" s="51">
        <v>1730.1998714133658</v>
      </c>
      <c r="T95" s="51">
        <v>1729.3949167103783</v>
      </c>
      <c r="U95" s="51">
        <v>1728.5899620073906</v>
      </c>
      <c r="V95" s="51">
        <v>1727.7850073044028</v>
      </c>
      <c r="W95" s="51">
        <v>1726.9800526014149</v>
      </c>
      <c r="X95" s="51">
        <v>1726.175097898427</v>
      </c>
      <c r="Y95" s="51">
        <v>1725.3701431954394</v>
      </c>
      <c r="Z95" s="51">
        <v>1724.5651884924516</v>
      </c>
      <c r="AA95" s="51">
        <v>1723.7602337894637</v>
      </c>
      <c r="AB95" s="51">
        <v>1722.955279086476</v>
      </c>
      <c r="AC95" s="51">
        <v>1722.1503243834882</v>
      </c>
    </row>
    <row r="96" spans="1:29" x14ac:dyDescent="0.25">
      <c r="A96" s="33" t="s">
        <v>182</v>
      </c>
      <c r="B96" s="26" t="s">
        <v>83</v>
      </c>
      <c r="E96" s="32">
        <f>IF(E94&gt;0,E95/E94,1)</f>
        <v>0.9939892906707734</v>
      </c>
      <c r="F96" s="32">
        <f>IF(F94&gt;0,F95/F94,1)</f>
        <v>0.9935298416393876</v>
      </c>
      <c r="G96" s="32">
        <f>IF(G94&gt;0,G95/G94,1)</f>
        <v>0.993070392608002</v>
      </c>
      <c r="H96" s="32">
        <f>IF(H94&gt;0,H95/H94,1)</f>
        <v>0.9926109435766162</v>
      </c>
      <c r="I96" s="32">
        <f>IF(I94&gt;0,I95/I94,1)</f>
        <v>0.9921514945452306</v>
      </c>
      <c r="J96" s="32">
        <f>IF(J94&gt;0,J95/J94,1)</f>
        <v>0.9916920455138447</v>
      </c>
      <c r="K96" s="32">
        <f>IF(K94&gt;0,K95/K94,1)</f>
        <v>0.9912325964824592</v>
      </c>
      <c r="L96" s="32">
        <f>IF(L94&gt;0,L95/L94,1)</f>
        <v>0.9907731474510733</v>
      </c>
      <c r="M96" s="32">
        <f>IF(M94&gt;0,M95/M94,1)</f>
        <v>0.9903136984196876</v>
      </c>
      <c r="N96" s="32">
        <f>IF(N94&gt;0,N95/N94,1)</f>
        <v>0.9898542493883019</v>
      </c>
      <c r="O96" s="32">
        <f>IF(O94&gt;0,O95/O94,1)</f>
        <v>0.9893948003569163</v>
      </c>
      <c r="P96" s="32">
        <f>IF(P94&gt;0,P95/P94,1)</f>
        <v>0.9889353513255305</v>
      </c>
      <c r="Q96" s="32">
        <f>IF(Q94&gt;0,Q95/Q94,1)</f>
        <v>0.9884759022941447</v>
      </c>
      <c r="R96" s="32">
        <f>IF(R94&gt;0,R95/R94,1)</f>
        <v>0.988016453262759</v>
      </c>
      <c r="S96" s="32">
        <f>IF(S94&gt;0,S95/S94,1)</f>
        <v>0.9875570042313732</v>
      </c>
      <c r="T96" s="32">
        <f>IF(T94&gt;0,T95/T94,1)</f>
        <v>0.9870975551999877</v>
      </c>
      <c r="U96" s="32">
        <f>IF(U94&gt;0,U95/U94,1)</f>
        <v>0.9866381061686019</v>
      </c>
      <c r="V96" s="32">
        <f>IF(V94&gt;0,V95/V94,1)</f>
        <v>0.9861786571372162</v>
      </c>
      <c r="W96" s="32">
        <f>IF(W94&gt;0,W95/W94,1)</f>
        <v>0.9857192081058304</v>
      </c>
      <c r="X96" s="32">
        <f>IF(X94&gt;0,X95/X94,1)</f>
        <v>0.9852597590744447</v>
      </c>
      <c r="Y96" s="32">
        <f>IF(Y94&gt;0,Y95/Y94,1)</f>
        <v>0.984800310043059</v>
      </c>
      <c r="Z96" s="32">
        <f>IF(Z94&gt;0,Z95/Z94,1)</f>
        <v>0.9843408610116733</v>
      </c>
      <c r="AA96" s="32">
        <f>IF(AA94&gt;0,AA95/AA94,1)</f>
        <v>0.9838814119802874</v>
      </c>
      <c r="AB96" s="32">
        <f>IF(AB94&gt;0,AB95/AB94,1)</f>
        <v>0.9834219629489018</v>
      </c>
      <c r="AC96" s="32">
        <f>IF(AC94&gt;0,AC95/AC94,1)</f>
        <v>0.9829625139175161</v>
      </c>
    </row>
    <row r="97" spans="1:29" x14ac:dyDescent="0.25">
      <c r="A97" s="33" t="s">
        <v>183</v>
      </c>
      <c r="B97" s="26" t="s">
        <v>180</v>
      </c>
      <c r="C97" s="57">
        <f>SUM(E97:AC97)</f>
        <v>0</v>
      </c>
      <c r="E97" s="58">
        <f>MAX(0,$C$53*E94-E95)</f>
        <v>0</v>
      </c>
      <c r="F97" s="58">
        <f>MAX(0,$C$53*F94-F95)</f>
        <v>0</v>
      </c>
      <c r="G97" s="58">
        <f>MAX(0,$C$53*G94-G95)</f>
        <v>0</v>
      </c>
      <c r="H97" s="58">
        <f>MAX(0,$C$53*H94-H95)</f>
        <v>0</v>
      </c>
      <c r="I97" s="58">
        <f>MAX(0,$C$53*I94-I95)</f>
        <v>0</v>
      </c>
      <c r="J97" s="58">
        <f>MAX(0,$C$53*J94-J95)</f>
        <v>0</v>
      </c>
      <c r="K97" s="58">
        <f>MAX(0,$C$53*K94-K95)</f>
        <v>0</v>
      </c>
      <c r="L97" s="58">
        <f>MAX(0,$C$53*L94-L95)</f>
        <v>0</v>
      </c>
      <c r="M97" s="58">
        <f>MAX(0,$C$53*M94-M95)</f>
        <v>0</v>
      </c>
      <c r="N97" s="58">
        <f>MAX(0,$C$53*N94-N95)</f>
        <v>0</v>
      </c>
      <c r="O97" s="58">
        <f>MAX(0,$C$53*O94-O95)</f>
        <v>0</v>
      </c>
      <c r="P97" s="58">
        <f>MAX(0,$C$53*P94-P95)</f>
        <v>0</v>
      </c>
      <c r="Q97" s="58">
        <f>MAX(0,$C$53*Q94-Q95)</f>
        <v>0</v>
      </c>
      <c r="R97" s="58">
        <f>MAX(0,$C$53*R94-R95)</f>
        <v>0</v>
      </c>
      <c r="S97" s="58">
        <f>MAX(0,$C$53*S94-S95)</f>
        <v>0</v>
      </c>
      <c r="T97" s="58">
        <f>MAX(0,$C$53*T94-T95)</f>
        <v>0</v>
      </c>
      <c r="U97" s="58">
        <f>MAX(0,$C$53*U94-U95)</f>
        <v>0</v>
      </c>
      <c r="V97" s="58">
        <f>MAX(0,$C$53*V94-V95)</f>
        <v>0</v>
      </c>
      <c r="W97" s="58">
        <f>MAX(0,$C$53*W94-W95)</f>
        <v>0</v>
      </c>
      <c r="X97" s="58">
        <f>MAX(0,$C$53*X94-X95)</f>
        <v>0</v>
      </c>
      <c r="Y97" s="58">
        <f>MAX(0,$C$53*Y94-Y95)</f>
        <v>0</v>
      </c>
      <c r="Z97" s="58">
        <f>MAX(0,$C$53*Z94-Z95)</f>
        <v>0</v>
      </c>
      <c r="AA97" s="58">
        <f>MAX(0,$C$53*AA94-AA95)</f>
        <v>0</v>
      </c>
      <c r="AB97" s="58">
        <f>MAX(0,$C$53*AB94-AB95)</f>
        <v>0</v>
      </c>
      <c r="AC97" s="58">
        <f>MAX(0,$C$53*AC94-AC95)</f>
        <v>0</v>
      </c>
    </row>
    <row r="98" spans="1:29" x14ac:dyDescent="0.25">
      <c r="A98" s="33" t="s">
        <v>184</v>
      </c>
      <c r="B98" s="26" t="s">
        <v>180</v>
      </c>
      <c r="C98" s="57">
        <f>SUM(E98:AC98)</f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0</v>
      </c>
    </row>
    <row r="99" spans="1:29" x14ac:dyDescent="0.25">
      <c r="A99" s="33" t="s">
        <v>135</v>
      </c>
      <c r="B99" s="26" t="s">
        <v>82</v>
      </c>
      <c r="E99" s="29">
        <f>$C$52</f>
        <v>0</v>
      </c>
      <c r="F99" s="29">
        <f>$C$52</f>
        <v>0</v>
      </c>
      <c r="G99" s="29">
        <f>$C$52</f>
        <v>0</v>
      </c>
      <c r="H99" s="29">
        <f>$C$52</f>
        <v>0</v>
      </c>
      <c r="I99" s="29">
        <f>$C$52</f>
        <v>0</v>
      </c>
      <c r="J99" s="29">
        <f>$C$52</f>
        <v>0</v>
      </c>
      <c r="K99" s="29">
        <f>$C$52</f>
        <v>0</v>
      </c>
      <c r="L99" s="29">
        <f>$C$52</f>
        <v>0</v>
      </c>
      <c r="M99" s="29">
        <f>$C$52</f>
        <v>0</v>
      </c>
      <c r="N99" s="29">
        <f>$C$52</f>
        <v>0</v>
      </c>
      <c r="O99" s="29">
        <f>$C$52</f>
        <v>0</v>
      </c>
      <c r="P99" s="29">
        <f>$C$52</f>
        <v>0</v>
      </c>
      <c r="Q99" s="29">
        <f>$C$52</f>
        <v>0</v>
      </c>
      <c r="R99" s="29">
        <f>$C$52</f>
        <v>0</v>
      </c>
      <c r="S99" s="29">
        <f>$C$52</f>
        <v>0</v>
      </c>
      <c r="T99" s="29">
        <f>$C$52</f>
        <v>0</v>
      </c>
      <c r="U99" s="29">
        <f>$C$52</f>
        <v>0</v>
      </c>
      <c r="V99" s="29">
        <f>$C$52</f>
        <v>0</v>
      </c>
      <c r="W99" s="29">
        <f>$C$52</f>
        <v>0</v>
      </c>
      <c r="X99" s="29">
        <f>$C$52</f>
        <v>0</v>
      </c>
      <c r="Y99" s="29">
        <f>$C$52</f>
        <v>0</v>
      </c>
      <c r="Z99" s="29">
        <f>$C$52</f>
        <v>0</v>
      </c>
      <c r="AA99" s="29">
        <f>$C$52</f>
        <v>0</v>
      </c>
      <c r="AB99" s="29">
        <f>$C$52</f>
        <v>0</v>
      </c>
      <c r="AC99" s="29">
        <f>$C$52</f>
        <v>0</v>
      </c>
    </row>
    <row r="101" ht="20" customHeight="1" spans="1:29" x14ac:dyDescent="0.25">
      <c r="A101" s="21" t="s">
        <v>185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x14ac:dyDescent="0.25">
      <c r="A102" s="33" t="s">
        <v>100</v>
      </c>
      <c r="B102" s="26" t="s">
        <v>88</v>
      </c>
      <c r="E102" s="59">
        <f>(1+$C$30)^(E$5-1)</f>
        <v>1</v>
      </c>
      <c r="F102" s="59">
        <f>(1+$C$30)^(F$5-1)</f>
        <v>1</v>
      </c>
      <c r="G102" s="59">
        <f>(1+$C$30)^(G$5-1)</f>
        <v>1</v>
      </c>
      <c r="H102" s="59">
        <f>(1+$C$30)^(H$5-1)</f>
        <v>1</v>
      </c>
      <c r="I102" s="59">
        <f>(1+$C$30)^(I$5-1)</f>
        <v>1</v>
      </c>
      <c r="J102" s="59">
        <f>(1+$C$30)^(J$5-1)</f>
        <v>1</v>
      </c>
      <c r="K102" s="59">
        <f>(1+$C$30)^(K$5-1)</f>
        <v>1</v>
      </c>
      <c r="L102" s="59">
        <f>(1+$C$30)^(L$5-1)</f>
        <v>1</v>
      </c>
      <c r="M102" s="59">
        <f>(1+$C$30)^(M$5-1)</f>
        <v>1</v>
      </c>
      <c r="N102" s="59">
        <f>(1+$C$30)^(N$5-1)</f>
        <v>1</v>
      </c>
      <c r="O102" s="59">
        <f>(1+$C$30)^(O$5-1)</f>
        <v>1</v>
      </c>
      <c r="P102" s="59">
        <f>(1+$C$30)^(P$5-1)</f>
        <v>1</v>
      </c>
      <c r="Q102" s="59">
        <f>(1+$C$30)^(Q$5-1)</f>
        <v>1</v>
      </c>
      <c r="R102" s="59">
        <f>(1+$C$30)^(R$5-1)</f>
        <v>1</v>
      </c>
      <c r="S102" s="59">
        <f>(1+$C$30)^(S$5-1)</f>
        <v>1</v>
      </c>
      <c r="T102" s="59">
        <f>(1+$C$30)^(T$5-1)</f>
        <v>1</v>
      </c>
      <c r="U102" s="59">
        <f>(1+$C$30)^(U$5-1)</f>
        <v>1</v>
      </c>
      <c r="V102" s="59">
        <f>(1+$C$30)^(V$5-1)</f>
        <v>1</v>
      </c>
      <c r="W102" s="59">
        <f>(1+$C$30)^(W$5-1)</f>
        <v>1</v>
      </c>
      <c r="X102" s="59">
        <f>(1+$C$30)^(X$5-1)</f>
        <v>1</v>
      </c>
      <c r="Y102" s="59">
        <f>(1+$C$30)^(Y$5-1)</f>
        <v>1</v>
      </c>
      <c r="Z102" s="59">
        <f>(1+$C$30)^(Z$5-1)</f>
        <v>1</v>
      </c>
      <c r="AA102" s="59">
        <f>(1+$C$30)^(AA$5-1)</f>
        <v>1</v>
      </c>
      <c r="AB102" s="59">
        <f>(1+$C$30)^(AB$5-1)</f>
        <v>1</v>
      </c>
      <c r="AC102" s="59">
        <f>(1+$C$30)^(AC$5-1)</f>
        <v>1</v>
      </c>
    </row>
    <row r="103" spans="1:29" x14ac:dyDescent="0.25">
      <c r="A103" s="33" t="s">
        <v>186</v>
      </c>
      <c r="B103" s="26" t="s">
        <v>88</v>
      </c>
      <c r="E103" s="59">
        <f>(1+$C$47)^(E$5-1)</f>
        <v>1</v>
      </c>
      <c r="F103" s="59">
        <f>(1+$C$47)^(F$5-1)</f>
        <v>1.05</v>
      </c>
      <c r="G103" s="59">
        <f>(1+$C$47)^(G$5-1)</f>
        <v>1.1025</v>
      </c>
      <c r="H103" s="59">
        <f>(1+$C$47)^(H$5-1)</f>
        <v>1.1576250000000001</v>
      </c>
      <c r="I103" s="59">
        <f>(1+$C$47)^(I$5-1)</f>
        <v>1.2155062500000002</v>
      </c>
      <c r="J103" s="59">
        <f>(1+$C$47)^(J$5-1)</f>
        <v>1.2762815625000004</v>
      </c>
      <c r="K103" s="59">
        <f>(1+$C$47)^(K$5-1)</f>
        <v>1.3400956406250004</v>
      </c>
      <c r="L103" s="59">
        <f>(1+$C$47)^(L$5-1)</f>
        <v>1.4071004226562505</v>
      </c>
      <c r="M103" s="59">
        <f>(1+$C$47)^(M$5-1)</f>
        <v>1.477455443789063</v>
      </c>
      <c r="N103" s="59">
        <f>(1+$C$47)^(N$5-1)</f>
        <v>1.5513282159785162</v>
      </c>
      <c r="O103" s="59">
        <f>(1+$C$47)^(O$5-1)</f>
        <v>1.6288946267774422</v>
      </c>
      <c r="P103" s="59">
        <f>(1+$C$47)^(P$5-1)</f>
        <v>1.7103393581163142</v>
      </c>
      <c r="Q103" s="59">
        <f>(1+$C$47)^(Q$5-1)</f>
        <v>1.79585632602213</v>
      </c>
      <c r="R103" s="59">
        <f>(1+$C$47)^(R$5-1)</f>
        <v>1.8856491423232367</v>
      </c>
      <c r="S103" s="59">
        <f>(1+$C$47)^(S$5-1)</f>
        <v>1.9799315994393987</v>
      </c>
      <c r="T103" s="59">
        <f>(1+$C$47)^(T$5-1)</f>
        <v>2.0789281794113688</v>
      </c>
      <c r="U103" s="59">
        <f>(1+$C$47)^(U$5-1)</f>
        <v>2.182874588381937</v>
      </c>
      <c r="V103" s="59">
        <f>(1+$C$47)^(V$5-1)</f>
        <v>2.292018317801034</v>
      </c>
      <c r="W103" s="59">
        <f>(1+$C$47)^(W$5-1)</f>
        <v>2.406619233691086</v>
      </c>
      <c r="X103" s="59">
        <f>(1+$C$47)^(X$5-1)</f>
        <v>2.5269501953756404</v>
      </c>
      <c r="Y103" s="59">
        <f>(1+$C$47)^(Y$5-1)</f>
        <v>2.653297705144422</v>
      </c>
      <c r="Z103" s="59">
        <f>(1+$C$47)^(Z$5-1)</f>
        <v>2.7859625904016436</v>
      </c>
      <c r="AA103" s="59">
        <f>(1+$C$47)^(AA$5-1)</f>
        <v>2.925260719921726</v>
      </c>
      <c r="AB103" s="59">
        <f>(1+$C$47)^(AB$5-1)</f>
        <v>3.0715237559178123</v>
      </c>
      <c r="AC103" s="59">
        <f>(1+$C$47)^(AC$5-1)</f>
        <v>3.225099943713703</v>
      </c>
    </row>
    <row r="104" spans="1:29" x14ac:dyDescent="0.25">
      <c r="A104" s="33" t="s">
        <v>187</v>
      </c>
      <c r="B104" s="26" t="s">
        <v>88</v>
      </c>
      <c r="E104" s="59">
        <f>(1-$C$59)^(E$5-1)</f>
        <v>1</v>
      </c>
      <c r="F104" s="59">
        <f>(1-$C$59)^(F$5-1)</f>
        <v>1</v>
      </c>
      <c r="G104" s="59">
        <f>(1-$C$59)^(G$5-1)</f>
        <v>1</v>
      </c>
      <c r="H104" s="59">
        <f>(1-$C$59)^(H$5-1)</f>
        <v>1</v>
      </c>
      <c r="I104" s="59">
        <f>(1-$C$59)^(I$5-1)</f>
        <v>1</v>
      </c>
      <c r="J104" s="59">
        <f>(1-$C$59)^(J$5-1)</f>
        <v>1</v>
      </c>
      <c r="K104" s="59">
        <f>(1-$C$59)^(K$5-1)</f>
        <v>1</v>
      </c>
      <c r="L104" s="59">
        <f>(1-$C$59)^(L$5-1)</f>
        <v>1</v>
      </c>
      <c r="M104" s="59">
        <f>(1-$C$59)^(M$5-1)</f>
        <v>1</v>
      </c>
      <c r="N104" s="59">
        <f>(1-$C$59)^(N$5-1)</f>
        <v>1</v>
      </c>
      <c r="O104" s="59">
        <f>(1-$C$59)^(O$5-1)</f>
        <v>1</v>
      </c>
      <c r="P104" s="59">
        <f>(1-$C$59)^(P$5-1)</f>
        <v>1</v>
      </c>
      <c r="Q104" s="59">
        <f>(1-$C$59)^(Q$5-1)</f>
        <v>1</v>
      </c>
      <c r="R104" s="59">
        <f>(1-$C$59)^(R$5-1)</f>
        <v>1</v>
      </c>
      <c r="S104" s="59">
        <f>(1-$C$59)^(S$5-1)</f>
        <v>1</v>
      </c>
      <c r="T104" s="59">
        <f>(1-$C$59)^(T$5-1)</f>
        <v>1</v>
      </c>
      <c r="U104" s="59">
        <f>(1-$C$59)^(U$5-1)</f>
        <v>1</v>
      </c>
      <c r="V104" s="59">
        <f>(1-$C$59)^(V$5-1)</f>
        <v>1</v>
      </c>
      <c r="W104" s="59">
        <f>(1-$C$59)^(W$5-1)</f>
        <v>1</v>
      </c>
      <c r="X104" s="59">
        <f>(1-$C$59)^(X$5-1)</f>
        <v>1</v>
      </c>
      <c r="Y104" s="59">
        <f>(1-$C$59)^(Y$5-1)</f>
        <v>1</v>
      </c>
      <c r="Z104" s="59">
        <f>(1-$C$59)^(Z$5-1)</f>
        <v>1</v>
      </c>
      <c r="AA104" s="59">
        <f>(1-$C$59)^(AA$5-1)</f>
        <v>1</v>
      </c>
      <c r="AB104" s="59">
        <f>(1-$C$59)^(AB$5-1)</f>
        <v>1</v>
      </c>
      <c r="AC104" s="59">
        <f>(1-$C$59)^(AC$5-1)</f>
        <v>1</v>
      </c>
    </row>
    <row r="105" spans="1:29" x14ac:dyDescent="0.25">
      <c r="A105" s="33" t="s">
        <v>188</v>
      </c>
      <c r="B105" s="26" t="s">
        <v>88</v>
      </c>
      <c r="E105" s="59">
        <f>1/(1+$C$66)^E$5</f>
        <v>0.9090909090909091</v>
      </c>
      <c r="F105" s="59">
        <f>1/(1+$C$66)^F$5</f>
        <v>0.8264462809917354</v>
      </c>
      <c r="G105" s="59">
        <f>1/(1+$C$66)^G$5</f>
        <v>0.7513148009015775</v>
      </c>
      <c r="H105" s="59">
        <f>1/(1+$C$66)^H$5</f>
        <v>0.6830134553650704</v>
      </c>
      <c r="I105" s="59">
        <f>1/(1+$C$66)^I$5</f>
        <v>0.6209213230591549</v>
      </c>
      <c r="J105" s="59">
        <f>1/(1+$C$66)^J$5</f>
        <v>0.5644739300537772</v>
      </c>
      <c r="K105" s="59">
        <f>1/(1+$C$66)^K$5</f>
        <v>0.5131581182307065</v>
      </c>
      <c r="L105" s="59">
        <f>1/(1+$C$66)^L$5</f>
        <v>0.4665073802097331</v>
      </c>
      <c r="M105" s="59">
        <f>1/(1+$C$66)^M$5</f>
        <v>0.42409761837248455</v>
      </c>
      <c r="N105" s="59">
        <f>1/(1+$C$66)^N$5</f>
        <v>0.3855432894295314</v>
      </c>
      <c r="O105" s="59">
        <f>1/(1+$C$66)^O$5</f>
        <v>0.3504938994813922</v>
      </c>
      <c r="P105" s="59">
        <f>1/(1+$C$66)^P$5</f>
        <v>0.3186308177103565</v>
      </c>
      <c r="Q105" s="59">
        <f>1/(1+$C$66)^Q$5</f>
        <v>0.2896643797366877</v>
      </c>
      <c r="R105" s="59">
        <f>1/(1+$C$66)^R$5</f>
        <v>0.26333125430607973</v>
      </c>
      <c r="S105" s="59">
        <f>1/(1+$C$66)^S$5</f>
        <v>0.23939204936916333</v>
      </c>
      <c r="T105" s="59">
        <f>1/(1+$C$66)^T$5</f>
        <v>0.2176291357901485</v>
      </c>
      <c r="U105" s="59">
        <f>1/(1+$C$66)^U$5</f>
        <v>0.19784466890013497</v>
      </c>
      <c r="V105" s="59">
        <f>1/(1+$C$66)^V$5</f>
        <v>0.17985878990921358</v>
      </c>
      <c r="W105" s="59">
        <f>1/(1+$C$66)^W$5</f>
        <v>0.16350799082655781</v>
      </c>
      <c r="X105" s="59">
        <f>1/(1+$C$66)^X$5</f>
        <v>0.14864362802414344</v>
      </c>
      <c r="Y105" s="59">
        <f>1/(1+$C$66)^Y$5</f>
        <v>0.13513057093103947</v>
      </c>
      <c r="Z105" s="59">
        <f>1/(1+$C$66)^Z$5</f>
        <v>0.12284597357367225</v>
      </c>
      <c r="AA105" s="59">
        <f>1/(1+$C$66)^AA$5</f>
        <v>0.11167815779424749</v>
      </c>
      <c r="AB105" s="59">
        <f>1/(1+$C$66)^AB$5</f>
        <v>0.10152559799477044</v>
      </c>
      <c r="AC105" s="59">
        <f>1/(1+$C$66)^AC$5</f>
        <v>0.09229599817706403</v>
      </c>
    </row>
    <row r="107" ht="20" customHeight="1" spans="1:29" x14ac:dyDescent="0.25">
      <c r="A107" s="21" t="s">
        <v>189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x14ac:dyDescent="0.25">
      <c r="A108" s="33" t="s">
        <v>100</v>
      </c>
      <c r="B108" s="26" t="s">
        <v>82</v>
      </c>
      <c r="E108" s="29">
        <f>$C$29*E102</f>
        <v>7.894047640160928</v>
      </c>
      <c r="F108" s="29">
        <f>$C$29*F102</f>
        <v>7.894047640160928</v>
      </c>
      <c r="G108" s="29">
        <f>$C$29*G102</f>
        <v>7.894047640160928</v>
      </c>
      <c r="H108" s="29">
        <f>$C$29*H102</f>
        <v>7.894047640160928</v>
      </c>
      <c r="I108" s="29">
        <f>$C$29*I102</f>
        <v>7.894047640160928</v>
      </c>
      <c r="J108" s="29">
        <f>$C$29*J102</f>
        <v>7.894047640160928</v>
      </c>
      <c r="K108" s="29">
        <f>$C$29*K102</f>
        <v>7.894047640160928</v>
      </c>
      <c r="L108" s="29">
        <f>$C$29*L102</f>
        <v>7.894047640160928</v>
      </c>
      <c r="M108" s="29">
        <f>$C$29*M102</f>
        <v>7.894047640160928</v>
      </c>
      <c r="N108" s="29">
        <f>$C$29*N102</f>
        <v>7.894047640160928</v>
      </c>
      <c r="O108" s="29">
        <f>$C$29*O102</f>
        <v>7.894047640160928</v>
      </c>
      <c r="P108" s="29">
        <f>$C$29*P102</f>
        <v>7.894047640160928</v>
      </c>
      <c r="Q108" s="29">
        <f>$C$29*Q102</f>
        <v>7.894047640160928</v>
      </c>
      <c r="R108" s="29">
        <f>$C$29*R102</f>
        <v>7.894047640160928</v>
      </c>
      <c r="S108" s="29">
        <f>$C$29*S102</f>
        <v>7.894047640160928</v>
      </c>
      <c r="T108" s="29">
        <f>$C$29*T102</f>
        <v>7.894047640160928</v>
      </c>
      <c r="U108" s="29">
        <f>$C$29*U102</f>
        <v>7.894047640160928</v>
      </c>
      <c r="V108" s="29">
        <f>$C$29*V102</f>
        <v>7.894047640160928</v>
      </c>
      <c r="W108" s="29">
        <f>$C$29*W102</f>
        <v>7.894047640160928</v>
      </c>
      <c r="X108" s="29">
        <f>$C$29*X102</f>
        <v>7.894047640160928</v>
      </c>
      <c r="Y108" s="29">
        <f>$C$29*Y102</f>
        <v>7.894047640160928</v>
      </c>
      <c r="Z108" s="29">
        <f>$C$29*Z102</f>
        <v>7.894047640160928</v>
      </c>
      <c r="AA108" s="29">
        <f>$C$29*AA102</f>
        <v>7.894047640160928</v>
      </c>
      <c r="AB108" s="29">
        <f>$C$29*AB102</f>
        <v>7.894047640160928</v>
      </c>
      <c r="AC108" s="29">
        <f>$C$29*AC102</f>
        <v>7.894047640160928</v>
      </c>
    </row>
    <row r="109" spans="1:29" x14ac:dyDescent="0.25">
      <c r="A109" s="33" t="s">
        <v>190</v>
      </c>
      <c r="B109" s="26" t="s">
        <v>86</v>
      </c>
      <c r="C109" s="56">
        <f>SUM(E109:AC109)</f>
        <v>34177.472283711344</v>
      </c>
      <c r="E109" s="37">
        <f>E95*E108/10</f>
        <v>1374.7241122767223</v>
      </c>
      <c r="F109" s="37">
        <f>F95*F108/10</f>
        <v>1374.0886771993667</v>
      </c>
      <c r="G109" s="37">
        <f>G95*G108/10</f>
        <v>1373.453242122011</v>
      </c>
      <c r="H109" s="37">
        <f>H95*H108/10</f>
        <v>1372.8178070446552</v>
      </c>
      <c r="I109" s="37">
        <f>I95*I108/10</f>
        <v>1372.1823719672996</v>
      </c>
      <c r="J109" s="37">
        <f>J95*J108/10</f>
        <v>1371.5469368899437</v>
      </c>
      <c r="K109" s="37">
        <f>K95*K108/10</f>
        <v>1370.911501812588</v>
      </c>
      <c r="L109" s="37">
        <f>L95*L108/10</f>
        <v>1370.2760667352322</v>
      </c>
      <c r="M109" s="37">
        <f>M95*M108/10</f>
        <v>1369.6406316578766</v>
      </c>
      <c r="N109" s="37">
        <f>N95*N108/10</f>
        <v>1369.005196580521</v>
      </c>
      <c r="O109" s="37">
        <f>O95*O108/10</f>
        <v>1368.3697615031654</v>
      </c>
      <c r="P109" s="37">
        <f>P95*P108/10</f>
        <v>1367.7343264258093</v>
      </c>
      <c r="Q109" s="37">
        <f>Q95*Q108/10</f>
        <v>1367.098891348454</v>
      </c>
      <c r="R109" s="37">
        <f>R95*R108/10</f>
        <v>1366.463456271098</v>
      </c>
      <c r="S109" s="37">
        <f>S95*S108/10</f>
        <v>1365.8280211937422</v>
      </c>
      <c r="T109" s="37">
        <f>T95*T108/10</f>
        <v>1365.1925861163868</v>
      </c>
      <c r="U109" s="37">
        <f>U95*U108/10</f>
        <v>1364.557151039031</v>
      </c>
      <c r="V109" s="37">
        <f>V95*V108/10</f>
        <v>1363.9217159616753</v>
      </c>
      <c r="W109" s="37">
        <f>W95*W108/10</f>
        <v>1363.2862808843195</v>
      </c>
      <c r="X109" s="37">
        <f>X95*X108/10</f>
        <v>1362.6508458069638</v>
      </c>
      <c r="Y109" s="37">
        <f>Y95*Y108/10</f>
        <v>1362.015410729608</v>
      </c>
      <c r="Z109" s="37">
        <f>Z95*Z108/10</f>
        <v>1361.3799756522526</v>
      </c>
      <c r="AA109" s="37">
        <f>AA95*AA108/10</f>
        <v>1360.7445405748965</v>
      </c>
      <c r="AB109" s="37">
        <f>AB95*AB108/10</f>
        <v>1360.109105497541</v>
      </c>
      <c r="AC109" s="37">
        <f>AC95*AC108/10</f>
        <v>1359.4736704201853</v>
      </c>
    </row>
    <row r="110" spans="1:29" x14ac:dyDescent="0.25">
      <c r="A110" s="33" t="s">
        <v>191</v>
      </c>
      <c r="B110" s="26" t="s">
        <v>86</v>
      </c>
      <c r="C110" s="56">
        <f>SUM(E110:AC110)</f>
        <v>0</v>
      </c>
      <c r="E110" s="37">
        <f>IF($C$51="Yes",E98*E99/10,0)</f>
        <v>0</v>
      </c>
      <c r="F110" s="37">
        <f>IF($C$51="Yes",F98*F99/10,0)</f>
        <v>0</v>
      </c>
      <c r="G110" s="37">
        <f>IF($C$51="Yes",G98*G99/10,0)</f>
        <v>0</v>
      </c>
      <c r="H110" s="37">
        <f>IF($C$51="Yes",H98*H99/10,0)</f>
        <v>0</v>
      </c>
      <c r="I110" s="37">
        <f>IF($C$51="Yes",I98*I99/10,0)</f>
        <v>0</v>
      </c>
      <c r="J110" s="37">
        <f>IF($C$51="Yes",J98*J99/10,0)</f>
        <v>0</v>
      </c>
      <c r="K110" s="37">
        <f>IF($C$51="Yes",K98*K99/10,0)</f>
        <v>0</v>
      </c>
      <c r="L110" s="37">
        <f>IF($C$51="Yes",L98*L99/10,0)</f>
        <v>0</v>
      </c>
      <c r="M110" s="37">
        <f>IF($C$51="Yes",M98*M99/10,0)</f>
        <v>0</v>
      </c>
      <c r="N110" s="37">
        <f>IF($C$51="Yes",N98*N99/10,0)</f>
        <v>0</v>
      </c>
      <c r="O110" s="37">
        <f>IF($C$51="Yes",O98*O99/10,0)</f>
        <v>0</v>
      </c>
      <c r="P110" s="37">
        <f>IF($C$51="Yes",P98*P99/10,0)</f>
        <v>0</v>
      </c>
      <c r="Q110" s="37">
        <f>IF($C$51="Yes",Q98*Q99/10,0)</f>
        <v>0</v>
      </c>
      <c r="R110" s="37">
        <f>IF($C$51="Yes",R98*R99/10,0)</f>
        <v>0</v>
      </c>
      <c r="S110" s="37">
        <f>IF($C$51="Yes",S98*S99/10,0)</f>
        <v>0</v>
      </c>
      <c r="T110" s="37">
        <f>IF($C$51="Yes",T98*T99/10,0)</f>
        <v>0</v>
      </c>
      <c r="U110" s="37">
        <f>IF($C$51="Yes",U98*U99/10,0)</f>
        <v>0</v>
      </c>
      <c r="V110" s="37">
        <f>IF($C$51="Yes",V98*V99/10,0)</f>
        <v>0</v>
      </c>
      <c r="W110" s="37">
        <f>IF($C$51="Yes",W98*W99/10,0)</f>
        <v>0</v>
      </c>
      <c r="X110" s="37">
        <f>IF($C$51="Yes",X98*X99/10,0)</f>
        <v>0</v>
      </c>
      <c r="Y110" s="37">
        <f>IF($C$51="Yes",Y98*Y99/10,0)</f>
        <v>0</v>
      </c>
      <c r="Z110" s="37">
        <f>IF($C$51="Yes",Z98*Z99/10,0)</f>
        <v>0</v>
      </c>
      <c r="AA110" s="37">
        <f>IF($C$51="Yes",AA98*AA99/10,0)</f>
        <v>0</v>
      </c>
      <c r="AB110" s="37">
        <f>IF($C$51="Yes",AB98*AB99/10,0)</f>
        <v>0</v>
      </c>
      <c r="AC110" s="37">
        <f>IF($C$51="Yes",AC98*AC99/10,0)</f>
        <v>0</v>
      </c>
    </row>
    <row r="111" spans="1:29" x14ac:dyDescent="0.25">
      <c r="A111" s="33" t="s">
        <v>139</v>
      </c>
      <c r="B111" s="26" t="s">
        <v>86</v>
      </c>
      <c r="C111" s="56">
        <f>SUM(E111:AC111)</f>
        <v>0</v>
      </c>
      <c r="E111" s="37">
        <f>E97*$C$54/10</f>
        <v>0</v>
      </c>
      <c r="F111" s="37">
        <f>F97*$C$54/10</f>
        <v>0</v>
      </c>
      <c r="G111" s="37">
        <f>G97*$C$54/10</f>
        <v>0</v>
      </c>
      <c r="H111" s="37">
        <f>H97*$C$54/10</f>
        <v>0</v>
      </c>
      <c r="I111" s="37">
        <f>I97*$C$54/10</f>
        <v>0</v>
      </c>
      <c r="J111" s="37">
        <f>J97*$C$54/10</f>
        <v>0</v>
      </c>
      <c r="K111" s="37">
        <f>K97*$C$54/10</f>
        <v>0</v>
      </c>
      <c r="L111" s="37">
        <f>L97*$C$54/10</f>
        <v>0</v>
      </c>
      <c r="M111" s="37">
        <f>M97*$C$54/10</f>
        <v>0</v>
      </c>
      <c r="N111" s="37">
        <f>N97*$C$54/10</f>
        <v>0</v>
      </c>
      <c r="O111" s="37">
        <f>O97*$C$54/10</f>
        <v>0</v>
      </c>
      <c r="P111" s="37">
        <f>P97*$C$54/10</f>
        <v>0</v>
      </c>
      <c r="Q111" s="37">
        <f>Q97*$C$54/10</f>
        <v>0</v>
      </c>
      <c r="R111" s="37">
        <f>R97*$C$54/10</f>
        <v>0</v>
      </c>
      <c r="S111" s="37">
        <f>S97*$C$54/10</f>
        <v>0</v>
      </c>
      <c r="T111" s="37">
        <f>T97*$C$54/10</f>
        <v>0</v>
      </c>
      <c r="U111" s="37">
        <f>U97*$C$54/10</f>
        <v>0</v>
      </c>
      <c r="V111" s="37">
        <f>V97*$C$54/10</f>
        <v>0</v>
      </c>
      <c r="W111" s="37">
        <f>W97*$C$54/10</f>
        <v>0</v>
      </c>
      <c r="X111" s="37">
        <f>X97*$C$54/10</f>
        <v>0</v>
      </c>
      <c r="Y111" s="37">
        <f>Y97*$C$54/10</f>
        <v>0</v>
      </c>
      <c r="Z111" s="37">
        <f>Z97*$C$54/10</f>
        <v>0</v>
      </c>
      <c r="AA111" s="37">
        <f>AA97*$C$54/10</f>
        <v>0</v>
      </c>
      <c r="AB111" s="37">
        <f>AB97*$C$54/10</f>
        <v>0</v>
      </c>
      <c r="AC111" s="37">
        <f>AC97*$C$54/10</f>
        <v>0</v>
      </c>
    </row>
    <row r="112" spans="1:29" x14ac:dyDescent="0.25">
      <c r="A112" s="60" t="s">
        <v>192</v>
      </c>
      <c r="B112" s="61" t="s">
        <v>86</v>
      </c>
      <c r="C112" s="62">
        <f>SUM(E112:AC112)</f>
        <v>34177.472283711344</v>
      </c>
      <c r="D112" s="63"/>
      <c r="E112" s="62">
        <f>E109+E110-E111</f>
        <v>1374.7241122767223</v>
      </c>
      <c r="F112" s="62">
        <f>F109+F110-F111</f>
        <v>1374.0886771993667</v>
      </c>
      <c r="G112" s="62">
        <f>G109+G110-G111</f>
        <v>1373.453242122011</v>
      </c>
      <c r="H112" s="62">
        <f>H109+H110-H111</f>
        <v>1372.8178070446552</v>
      </c>
      <c r="I112" s="62">
        <f>I109+I110-I111</f>
        <v>1372.1823719672996</v>
      </c>
      <c r="J112" s="62">
        <f>J109+J110-J111</f>
        <v>1371.5469368899437</v>
      </c>
      <c r="K112" s="62">
        <f>K109+K110-K111</f>
        <v>1370.911501812588</v>
      </c>
      <c r="L112" s="62">
        <f>L109+L110-L111</f>
        <v>1370.2760667352322</v>
      </c>
      <c r="M112" s="62">
        <f>M109+M110-M111</f>
        <v>1369.6406316578766</v>
      </c>
      <c r="N112" s="62">
        <f>N109+N110-N111</f>
        <v>1369.005196580521</v>
      </c>
      <c r="O112" s="62">
        <f>O109+O110-O111</f>
        <v>1368.3697615031654</v>
      </c>
      <c r="P112" s="62">
        <f>P109+P110-P111</f>
        <v>1367.7343264258093</v>
      </c>
      <c r="Q112" s="62">
        <f>Q109+Q110-Q111</f>
        <v>1367.098891348454</v>
      </c>
      <c r="R112" s="62">
        <f>R109+R110-R111</f>
        <v>1366.463456271098</v>
      </c>
      <c r="S112" s="62">
        <f>S109+S110-S111</f>
        <v>1365.8280211937422</v>
      </c>
      <c r="T112" s="62">
        <f>T109+T110-T111</f>
        <v>1365.1925861163868</v>
      </c>
      <c r="U112" s="62">
        <f>U109+U110-U111</f>
        <v>1364.557151039031</v>
      </c>
      <c r="V112" s="62">
        <f>V109+V110-V111</f>
        <v>1363.9217159616753</v>
      </c>
      <c r="W112" s="62">
        <f>W109+W110-W111</f>
        <v>1363.2862808843195</v>
      </c>
      <c r="X112" s="62">
        <f>X109+X110-X111</f>
        <v>1362.6508458069638</v>
      </c>
      <c r="Y112" s="62">
        <f>Y109+Y110-Y111</f>
        <v>1362.015410729608</v>
      </c>
      <c r="Z112" s="62">
        <f>Z109+Z110-Z111</f>
        <v>1361.3799756522526</v>
      </c>
      <c r="AA112" s="62">
        <f>AA109+AA110-AA111</f>
        <v>1360.7445405748965</v>
      </c>
      <c r="AB112" s="62">
        <f>AB109+AB110-AB111</f>
        <v>1360.109105497541</v>
      </c>
      <c r="AC112" s="62">
        <f>AC109+AC110-AC111</f>
        <v>1359.4736704201853</v>
      </c>
    </row>
    <row r="114" ht="20" customHeight="1" spans="1:29" x14ac:dyDescent="0.25">
      <c r="A114" s="21" t="s">
        <v>193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x14ac:dyDescent="0.25">
      <c r="A115" s="33" t="s">
        <v>120</v>
      </c>
      <c r="B115" s="26" t="s">
        <v>86</v>
      </c>
      <c r="C115" s="56">
        <f>SUM(E115:AC115)</f>
        <v>1399.4604280329186</v>
      </c>
      <c r="E115" s="37">
        <f>$C$32*$C$44/100*E103</f>
        <v>29.32213486032132</v>
      </c>
      <c r="F115" s="37">
        <f>$C$32*$C$44/100*F103</f>
        <v>30.788241603337386</v>
      </c>
      <c r="G115" s="37">
        <f>$C$32*$C$44/100*G103</f>
        <v>32.32765368350426</v>
      </c>
      <c r="H115" s="37">
        <f>$C$32*$C$44/100*H103</f>
        <v>33.94403636767947</v>
      </c>
      <c r="I115" s="37">
        <f>$C$32*$C$44/100*I103</f>
        <v>35.64123818606345</v>
      </c>
      <c r="J115" s="37">
        <f>$C$32*$C$44/100*J103</f>
        <v>37.42330009536662</v>
      </c>
      <c r="K115" s="37">
        <f>$C$32*$C$44/100*K103</f>
        <v>39.29446510013496</v>
      </c>
      <c r="L115" s="37">
        <f>$C$32*$C$44/100*L103</f>
        <v>41.2591883551417</v>
      </c>
      <c r="M115" s="37">
        <f>$C$32*$C$44/100*M103</f>
        <v>43.32214777289879</v>
      </c>
      <c r="N115" s="37">
        <f>$C$32*$C$44/100*N103</f>
        <v>45.488255161543734</v>
      </c>
      <c r="O115" s="37">
        <f>$C$32*$C$44/100*O103</f>
        <v>47.762667919620924</v>
      </c>
      <c r="P115" s="37">
        <f>$C$32*$C$44/100*P103</f>
        <v>50.15080131560197</v>
      </c>
      <c r="Q115" s="37">
        <f>$C$32*$C$44/100*Q103</f>
        <v>52.65834138138207</v>
      </c>
      <c r="R115" s="37">
        <f>$C$32*$C$44/100*R103</f>
        <v>55.291258450451174</v>
      </c>
      <c r="S115" s="37">
        <f>$C$32*$C$44/100*S103</f>
        <v>58.05582137297374</v>
      </c>
      <c r="T115" s="37">
        <f>$C$32*$C$44/100*T103</f>
        <v>60.958612441622435</v>
      </c>
      <c r="U115" s="37">
        <f>$C$32*$C$44/100*U103</f>
        <v>64.00654306370355</v>
      </c>
      <c r="V115" s="37">
        <f>$C$32*$C$44/100*V103</f>
        <v>67.20687021688873</v>
      </c>
      <c r="W115" s="37">
        <f>$C$32*$C$44/100*W103</f>
        <v>70.56721372773318</v>
      </c>
      <c r="X115" s="37">
        <f>$C$32*$C$44/100*X103</f>
        <v>74.09557441411984</v>
      </c>
      <c r="Y115" s="37">
        <f>$C$32*$C$44/100*Y103</f>
        <v>77.80035313482583</v>
      </c>
      <c r="Z115" s="37">
        <f>$C$32*$C$44/100*Z103</f>
        <v>81.69037079156712</v>
      </c>
      <c r="AA115" s="37">
        <f>$C$32*$C$44/100*AA103</f>
        <v>85.77488933114549</v>
      </c>
      <c r="AB115" s="37">
        <f>$C$32*$C$44/100*AB103</f>
        <v>90.06363379770276</v>
      </c>
      <c r="AC115" s="37">
        <f>$C$32*$C$44/100*AC103</f>
        <v>94.56681548758789</v>
      </c>
    </row>
    <row r="116" spans="1:29" x14ac:dyDescent="0.25">
      <c r="A116" s="33" t="s">
        <v>122</v>
      </c>
      <c r="B116" s="26" t="s">
        <v>86</v>
      </c>
      <c r="C116" s="56">
        <f>SUM(E116:AC116)</f>
        <v>1270.1821545115458</v>
      </c>
      <c r="E116" s="37">
        <f>$C$33*$C$45/100*E103</f>
        <v>26.61343735464664</v>
      </c>
      <c r="F116" s="37">
        <f>$C$33*$C$45/100*F103</f>
        <v>27.944109222378973</v>
      </c>
      <c r="G116" s="37">
        <f>$C$33*$C$45/100*G103</f>
        <v>29.34131468349792</v>
      </c>
      <c r="H116" s="37">
        <f>$C$33*$C$45/100*H103</f>
        <v>30.80838041767282</v>
      </c>
      <c r="I116" s="37">
        <f>$C$33*$C$45/100*I103</f>
        <v>32.34879943855646</v>
      </c>
      <c r="J116" s="37">
        <f>$C$33*$C$45/100*J103</f>
        <v>33.966239410484285</v>
      </c>
      <c r="K116" s="37">
        <f>$C$33*$C$45/100*K103</f>
        <v>35.6645513810085</v>
      </c>
      <c r="L116" s="37">
        <f>$C$33*$C$45/100*L103</f>
        <v>37.44777895005893</v>
      </c>
      <c r="M116" s="37">
        <f>$C$33*$C$45/100*M103</f>
        <v>39.32016789756187</v>
      </c>
      <c r="N116" s="37">
        <f>$C$33*$C$45/100*N103</f>
        <v>41.28617629243997</v>
      </c>
      <c r="O116" s="37">
        <f>$C$33*$C$45/100*O103</f>
        <v>43.35048510706198</v>
      </c>
      <c r="P116" s="37">
        <f>$C$33*$C$45/100*P103</f>
        <v>45.51800936241507</v>
      </c>
      <c r="Q116" s="37">
        <f>$C$33*$C$45/100*Q103</f>
        <v>47.79390983053583</v>
      </c>
      <c r="R116" s="37">
        <f>$C$33*$C$45/100*R103</f>
        <v>50.183605322062625</v>
      </c>
      <c r="S116" s="37">
        <f>$C$33*$C$45/100*S103</f>
        <v>52.692785588165755</v>
      </c>
      <c r="T116" s="37">
        <f>$C$33*$C$45/100*T103</f>
        <v>55.32742486757405</v>
      </c>
      <c r="U116" s="37">
        <f>$C$33*$C$45/100*U103</f>
        <v>58.093796110952745</v>
      </c>
      <c r="V116" s="37">
        <f>$C$33*$C$45/100*V103</f>
        <v>60.99848591650039</v>
      </c>
      <c r="W116" s="37">
        <f>$C$33*$C$45/100*W103</f>
        <v>64.04841021232542</v>
      </c>
      <c r="X116" s="37">
        <f>$C$33*$C$45/100*X103</f>
        <v>67.25083072294169</v>
      </c>
      <c r="Y116" s="37">
        <f>$C$33*$C$45/100*Y103</f>
        <v>70.61337225908876</v>
      </c>
      <c r="Z116" s="37">
        <f>$C$33*$C$45/100*Z103</f>
        <v>74.14404087204322</v>
      </c>
      <c r="AA116" s="37">
        <f>$C$33*$C$45/100*AA103</f>
        <v>77.85124291564539</v>
      </c>
      <c r="AB116" s="37">
        <f>$C$33*$C$45/100*AB103</f>
        <v>81.74380506142765</v>
      </c>
      <c r="AC116" s="37">
        <f>$C$33*$C$45/100*AC103</f>
        <v>85.83099531449903</v>
      </c>
    </row>
    <row r="117" spans="1:29" x14ac:dyDescent="0.25">
      <c r="A117" s="33" t="s">
        <v>123</v>
      </c>
      <c r="B117" s="26" t="s">
        <v>86</v>
      </c>
      <c r="C117" s="56">
        <f>SUM(E117:AC117)</f>
        <v>1665.5600993717796</v>
      </c>
      <c r="E117" s="37">
        <f>$C$35*$C$46/100*E103</f>
        <v>34.89757686138785</v>
      </c>
      <c r="F117" s="37">
        <f>$C$35*$C$46/100*F103</f>
        <v>36.64245570445724</v>
      </c>
      <c r="G117" s="37">
        <f>$C$35*$C$46/100*G103</f>
        <v>38.474578489680106</v>
      </c>
      <c r="H117" s="37">
        <f>$C$35*$C$46/100*H103</f>
        <v>40.39830741416411</v>
      </c>
      <c r="I117" s="37">
        <f>$C$35*$C$46/100*I103</f>
        <v>42.41822278487232</v>
      </c>
      <c r="J117" s="37">
        <f>$C$35*$C$46/100*J103</f>
        <v>44.53913392411594</v>
      </c>
      <c r="K117" s="37">
        <f>$C$35*$C$46/100*K103</f>
        <v>46.76609062032174</v>
      </c>
      <c r="L117" s="37">
        <f>$C$35*$C$46/100*L103</f>
        <v>49.104395151337826</v>
      </c>
      <c r="M117" s="37">
        <f>$C$35*$C$46/100*M103</f>
        <v>51.55961490890472</v>
      </c>
      <c r="N117" s="37">
        <f>$C$35*$C$46/100*N103</f>
        <v>54.13759565434996</v>
      </c>
      <c r="O117" s="37">
        <f>$C$35*$C$46/100*O103</f>
        <v>56.84447543706746</v>
      </c>
      <c r="P117" s="37">
        <f>$C$35*$C$46/100*P103</f>
        <v>59.68669920892083</v>
      </c>
      <c r="Q117" s="37">
        <f>$C$35*$C$46/100*Q103</f>
        <v>62.67103416936688</v>
      </c>
      <c r="R117" s="37">
        <f>$C$35*$C$46/100*R103</f>
        <v>65.80458587783522</v>
      </c>
      <c r="S117" s="37">
        <f>$C$35*$C$46/100*S103</f>
        <v>69.09481517172699</v>
      </c>
      <c r="T117" s="37">
        <f>$C$35*$C$46/100*T103</f>
        <v>72.54955593031335</v>
      </c>
      <c r="U117" s="37">
        <f>$C$35*$C$46/100*U103</f>
        <v>76.17703372682901</v>
      </c>
      <c r="V117" s="37">
        <f>$C$35*$C$46/100*V103</f>
        <v>79.98588541317046</v>
      </c>
      <c r="W117" s="37">
        <f>$C$35*$C$46/100*W103</f>
        <v>83.985179683829</v>
      </c>
      <c r="X117" s="37">
        <f>$C$35*$C$46/100*X103</f>
        <v>88.18443866802045</v>
      </c>
      <c r="Y117" s="37">
        <f>$C$35*$C$46/100*Y103</f>
        <v>92.59366060142146</v>
      </c>
      <c r="Z117" s="37">
        <f>$C$35*$C$46/100*Z103</f>
        <v>97.22334363149255</v>
      </c>
      <c r="AA117" s="37">
        <f>$C$35*$C$46/100*AA103</f>
        <v>102.08451081306718</v>
      </c>
      <c r="AB117" s="37">
        <f>$C$35*$C$46/100*AB103</f>
        <v>107.18873635372054</v>
      </c>
      <c r="AC117" s="37">
        <f>$C$35*$C$46/100*AC103</f>
        <v>112.54817317140656</v>
      </c>
    </row>
    <row r="118" spans="1:29" x14ac:dyDescent="0.25">
      <c r="A118" s="33" t="s">
        <v>126</v>
      </c>
      <c r="B118" s="26" t="s">
        <v>86</v>
      </c>
      <c r="C118" s="56">
        <f>SUM(E118:AC118)</f>
        <v>625.8039569171547</v>
      </c>
      <c r="E118" s="37">
        <f>$C$81*$C$48</f>
        <v>25.032158276686186</v>
      </c>
      <c r="F118" s="37">
        <f>$C$81*$C$48</f>
        <v>25.032158276686186</v>
      </c>
      <c r="G118" s="37">
        <f>$C$81*$C$48</f>
        <v>25.032158276686186</v>
      </c>
      <c r="H118" s="37">
        <f>$C$81*$C$48</f>
        <v>25.032158276686186</v>
      </c>
      <c r="I118" s="37">
        <f>$C$81*$C$48</f>
        <v>25.032158276686186</v>
      </c>
      <c r="J118" s="37">
        <f>$C$81*$C$48</f>
        <v>25.032158276686186</v>
      </c>
      <c r="K118" s="37">
        <f>$C$81*$C$48</f>
        <v>25.032158276686186</v>
      </c>
      <c r="L118" s="37">
        <f>$C$81*$C$48</f>
        <v>25.032158276686186</v>
      </c>
      <c r="M118" s="37">
        <f>$C$81*$C$48</f>
        <v>25.032158276686186</v>
      </c>
      <c r="N118" s="37">
        <f>$C$81*$C$48</f>
        <v>25.032158276686186</v>
      </c>
      <c r="O118" s="37">
        <f>$C$81*$C$48</f>
        <v>25.032158276686186</v>
      </c>
      <c r="P118" s="37">
        <f>$C$81*$C$48</f>
        <v>25.032158276686186</v>
      </c>
      <c r="Q118" s="37">
        <f>$C$81*$C$48</f>
        <v>25.032158276686186</v>
      </c>
      <c r="R118" s="37">
        <f>$C$81*$C$48</f>
        <v>25.032158276686186</v>
      </c>
      <c r="S118" s="37">
        <f>$C$81*$C$48</f>
        <v>25.032158276686186</v>
      </c>
      <c r="T118" s="37">
        <f>$C$81*$C$48</f>
        <v>25.032158276686186</v>
      </c>
      <c r="U118" s="37">
        <f>$C$81*$C$48</f>
        <v>25.032158276686186</v>
      </c>
      <c r="V118" s="37">
        <f>$C$81*$C$48</f>
        <v>25.032158276686186</v>
      </c>
      <c r="W118" s="37">
        <f>$C$81*$C$48</f>
        <v>25.032158276686186</v>
      </c>
      <c r="X118" s="37">
        <f>$C$81*$C$48</f>
        <v>25.032158276686186</v>
      </c>
      <c r="Y118" s="37">
        <f>$C$81*$C$48</f>
        <v>25.032158276686186</v>
      </c>
      <c r="Z118" s="37">
        <f>$C$81*$C$48</f>
        <v>25.032158276686186</v>
      </c>
      <c r="AA118" s="37">
        <f>$C$81*$C$48</f>
        <v>25.032158276686186</v>
      </c>
      <c r="AB118" s="37">
        <f>$C$81*$C$48</f>
        <v>25.032158276686186</v>
      </c>
      <c r="AC118" s="37">
        <f>$C$81*$C$48</f>
        <v>25.032158276686186</v>
      </c>
    </row>
    <row r="119" spans="1:29" x14ac:dyDescent="0.25">
      <c r="A119" s="33" t="s">
        <v>128</v>
      </c>
      <c r="B119" s="26" t="s">
        <v>86</v>
      </c>
      <c r="C119" s="56">
        <f>SUM(E119:AC119)</f>
        <v>0</v>
      </c>
      <c r="E119" s="37">
        <f>$C$49*E103</f>
        <v>0</v>
      </c>
      <c r="F119" s="37">
        <f>$C$49*F103</f>
        <v>0</v>
      </c>
      <c r="G119" s="37">
        <f>$C$49*G103</f>
        <v>0</v>
      </c>
      <c r="H119" s="37">
        <f>$C$49*H103</f>
        <v>0</v>
      </c>
      <c r="I119" s="37">
        <f>$C$49*I103</f>
        <v>0</v>
      </c>
      <c r="J119" s="37">
        <f>$C$49*J103</f>
        <v>0</v>
      </c>
      <c r="K119" s="37">
        <f>$C$49*K103</f>
        <v>0</v>
      </c>
      <c r="L119" s="37">
        <f>$C$49*L103</f>
        <v>0</v>
      </c>
      <c r="M119" s="37">
        <f>$C$49*M103</f>
        <v>0</v>
      </c>
      <c r="N119" s="37">
        <f>$C$49*N103</f>
        <v>0</v>
      </c>
      <c r="O119" s="37">
        <f>$C$49*O103</f>
        <v>0</v>
      </c>
      <c r="P119" s="37">
        <f>$C$49*P103</f>
        <v>0</v>
      </c>
      <c r="Q119" s="37">
        <f>$C$49*Q103</f>
        <v>0</v>
      </c>
      <c r="R119" s="37">
        <f>$C$49*R103</f>
        <v>0</v>
      </c>
      <c r="S119" s="37">
        <f>$C$49*S103</f>
        <v>0</v>
      </c>
      <c r="T119" s="37">
        <f>$C$49*T103</f>
        <v>0</v>
      </c>
      <c r="U119" s="37">
        <f>$C$49*U103</f>
        <v>0</v>
      </c>
      <c r="V119" s="37">
        <f>$C$49*V103</f>
        <v>0</v>
      </c>
      <c r="W119" s="37">
        <f>$C$49*W103</f>
        <v>0</v>
      </c>
      <c r="X119" s="37">
        <f>$C$49*X103</f>
        <v>0</v>
      </c>
      <c r="Y119" s="37">
        <f>$C$49*Y103</f>
        <v>0</v>
      </c>
      <c r="Z119" s="37">
        <f>$C$49*Z103</f>
        <v>0</v>
      </c>
      <c r="AA119" s="37">
        <f>$C$49*AA103</f>
        <v>0</v>
      </c>
      <c r="AB119" s="37">
        <f>$C$49*AB103</f>
        <v>0</v>
      </c>
      <c r="AC119" s="37">
        <f>$C$49*AC103</f>
        <v>0</v>
      </c>
    </row>
    <row r="120" spans="1:29" x14ac:dyDescent="0.25">
      <c r="A120" s="60" t="s">
        <v>194</v>
      </c>
      <c r="B120" s="61" t="s">
        <v>86</v>
      </c>
      <c r="C120" s="62">
        <f>SUM(E120:AC120)</f>
        <v>4961.0066388334</v>
      </c>
      <c r="D120" s="63"/>
      <c r="E120" s="62">
        <f>SUM(E115:E119)</f>
        <v>115.865307353042</v>
      </c>
      <c r="F120" s="62">
        <f>SUM(F115:F119)</f>
        <v>120.40696480685979</v>
      </c>
      <c r="G120" s="62">
        <f>SUM(G115:G119)</f>
        <v>125.17570513336848</v>
      </c>
      <c r="H120" s="62">
        <f>SUM(H115:H119)</f>
        <v>130.1828824762026</v>
      </c>
      <c r="I120" s="62">
        <f>SUM(I115:I119)</f>
        <v>135.4404186861784</v>
      </c>
      <c r="J120" s="62">
        <f>SUM(J115:J119)</f>
        <v>140.960831706653</v>
      </c>
      <c r="K120" s="62">
        <f>SUM(K115:K119)</f>
        <v>146.75726537815137</v>
      </c>
      <c r="L120" s="62">
        <f>SUM(L115:L119)</f>
        <v>152.84352073322464</v>
      </c>
      <c r="M120" s="62">
        <f>SUM(M115:M119)</f>
        <v>159.23408885605156</v>
      </c>
      <c r="N120" s="62">
        <f>SUM(N115:N119)</f>
        <v>165.94418538501984</v>
      </c>
      <c r="O120" s="62">
        <f>SUM(O115:O119)</f>
        <v>172.98978674043656</v>
      </c>
      <c r="P120" s="62">
        <f>SUM(P115:P119)</f>
        <v>180.38766816362403</v>
      </c>
      <c r="Q120" s="62">
        <f>SUM(Q115:Q119)</f>
        <v>188.15544365797098</v>
      </c>
      <c r="R120" s="62">
        <f>SUM(R115:R119)</f>
        <v>196.3116079270352</v>
      </c>
      <c r="S120" s="62">
        <f>SUM(S115:S119)</f>
        <v>204.87558040955267</v>
      </c>
      <c r="T120" s="62">
        <f>SUM(T115:T119)</f>
        <v>213.867751516196</v>
      </c>
      <c r="U120" s="62">
        <f>SUM(U115:U119)</f>
        <v>223.30953117817148</v>
      </c>
      <c r="V120" s="62">
        <f>SUM(V115:V119)</f>
        <v>233.22339982324576</v>
      </c>
      <c r="W120" s="62">
        <f>SUM(W115:W119)</f>
        <v>243.63296190057378</v>
      </c>
      <c r="X120" s="62">
        <f>SUM(X115:X119)</f>
        <v>254.56300208176816</v>
      </c>
      <c r="Y120" s="62">
        <f>SUM(Y115:Y119)</f>
        <v>266.0395442720222</v>
      </c>
      <c r="Z120" s="62">
        <f>SUM(Z115:Z119)</f>
        <v>278.0899135717891</v>
      </c>
      <c r="AA120" s="62">
        <f>SUM(AA115:AA119)</f>
        <v>290.74280133654423</v>
      </c>
      <c r="AB120" s="62">
        <f>SUM(AB115:AB119)</f>
        <v>304.02833348953715</v>
      </c>
      <c r="AC120" s="62">
        <f>SUM(AC115:AC119)</f>
        <v>317.97814225017964</v>
      </c>
    </row>
    <row r="121" spans="1:29" x14ac:dyDescent="0.25">
      <c r="A121" s="60" t="s">
        <v>195</v>
      </c>
      <c r="B121" s="61" t="s">
        <v>86</v>
      </c>
      <c r="C121" s="62">
        <f>SUM(E121:AC121)</f>
        <v>29216.46564487795</v>
      </c>
      <c r="D121" s="63"/>
      <c r="E121" s="62">
        <f>E112-E120</f>
        <v>1258.8588049236803</v>
      </c>
      <c r="F121" s="62">
        <f>F112-F120</f>
        <v>1253.6817123925068</v>
      </c>
      <c r="G121" s="62">
        <f>G112-G120</f>
        <v>1248.2775369886426</v>
      </c>
      <c r="H121" s="62">
        <f>H112-H120</f>
        <v>1242.6349245684526</v>
      </c>
      <c r="I121" s="62">
        <f>I112-I120</f>
        <v>1236.7419532811211</v>
      </c>
      <c r="J121" s="62">
        <f>J112-J120</f>
        <v>1230.5861051832908</v>
      </c>
      <c r="K121" s="62">
        <f>K112-K120</f>
        <v>1224.1542364344368</v>
      </c>
      <c r="L121" s="62">
        <f>L112-L120</f>
        <v>1217.4325460020077</v>
      </c>
      <c r="M121" s="62">
        <f>M112-M120</f>
        <v>1210.406542801825</v>
      </c>
      <c r="N121" s="62">
        <f>N112-N120</f>
        <v>1203.0610111955011</v>
      </c>
      <c r="O121" s="62">
        <f>O112-O120</f>
        <v>1195.3799747627288</v>
      </c>
      <c r="P121" s="62">
        <f>P112-P120</f>
        <v>1187.3466582621852</v>
      </c>
      <c r="Q121" s="62">
        <f>Q112-Q120</f>
        <v>1178.943447690483</v>
      </c>
      <c r="R121" s="62">
        <f>R112-R120</f>
        <v>1170.1518483440627</v>
      </c>
      <c r="S121" s="62">
        <f>S112-S120</f>
        <v>1160.9524407841895</v>
      </c>
      <c r="T121" s="62">
        <f>T112-T120</f>
        <v>1151.3248346001908</v>
      </c>
      <c r="U121" s="62">
        <f>U112-U120</f>
        <v>1141.2476198608595</v>
      </c>
      <c r="V121" s="62">
        <f>V112-V120</f>
        <v>1130.6983161384296</v>
      </c>
      <c r="W121" s="62">
        <f>W112-W120</f>
        <v>1119.6533189837457</v>
      </c>
      <c r="X121" s="62">
        <f>X112-X120</f>
        <v>1108.0878437251956</v>
      </c>
      <c r="Y121" s="62">
        <f>Y112-Y120</f>
        <v>1095.9758664575857</v>
      </c>
      <c r="Z121" s="62">
        <f>Z112-Z120</f>
        <v>1083.2900620804635</v>
      </c>
      <c r="AA121" s="62">
        <f>AA112-AA120</f>
        <v>1070.0017392383522</v>
      </c>
      <c r="AB121" s="62">
        <f>AB112-AB120</f>
        <v>1056.0807720080038</v>
      </c>
      <c r="AC121" s="62">
        <f>AC112-AC120</f>
        <v>1041.4955281700056</v>
      </c>
    </row>
    <row r="122" spans="1:29" x14ac:dyDescent="0.25">
      <c r="A122" s="33" t="s">
        <v>196</v>
      </c>
      <c r="B122" s="26" t="s">
        <v>83</v>
      </c>
      <c r="E122" s="32">
        <f>IF(E112&lt;&gt;0,E121/E112,"")</f>
        <v>0.9157174109929926</v>
      </c>
      <c r="F122" s="32">
        <f>IF(F112&lt;&gt;0,F121/F112,"")</f>
        <v>0.9123732210265568</v>
      </c>
      <c r="G122" s="32">
        <f>IF(G112&lt;&gt;0,G121/G112,"")</f>
        <v>0.9088605994770018</v>
      </c>
      <c r="H122" s="32">
        <f>IF(H112&lt;&gt;0,H121/H112,"")</f>
        <v>0.9051710417739591</v>
      </c>
      <c r="I122" s="32">
        <f>IF(I112&lt;&gt;0,I121/I112,"")</f>
        <v>0.901295613868004</v>
      </c>
      <c r="J122" s="32">
        <f>IF(J112&lt;&gt;0,J121/J112,"")</f>
        <v>0.8972249305398988</v>
      </c>
      <c r="K122" s="32">
        <f>IF(K112&lt;&gt;0,K121/K112,"")</f>
        <v>0.8929491326142409</v>
      </c>
      <c r="L122" s="32">
        <f>IF(L112&lt;&gt;0,L121/L112,"")</f>
        <v>0.8884578630221692</v>
      </c>
      <c r="M122" s="32">
        <f>IF(M112&lt;&gt;0,M121/M112,"")</f>
        <v>0.88374024165499</v>
      </c>
      <c r="N122" s="32">
        <f>IF(N112&lt;&gt;0,N121/N112,"")</f>
        <v>0.8787848389476443</v>
      </c>
      <c r="O122" s="32">
        <f>IF(O112&lt;&gt;0,O121/O112,"")</f>
        <v>0.8735796481278526</v>
      </c>
      <c r="P122" s="32">
        <f>IF(P112&lt;&gt;0,P121/P112,"")</f>
        <v>0.8681120560635363</v>
      </c>
      <c r="Q122" s="32">
        <f>IF(Q112&lt;&gt;0,Q121/Q112,"")</f>
        <v>0.8623688126377006</v>
      </c>
      <c r="R122" s="32">
        <f>IF(R112&lt;&gt;0,R121/R112,"")</f>
        <v>0.856335998576395</v>
      </c>
      <c r="S122" s="32">
        <f>IF(S112&lt;&gt;0,S121/S112,"")</f>
        <v>0.8499989916516062</v>
      </c>
      <c r="T122" s="32">
        <f>IF(T112&lt;&gt;0,T121/T112,"")</f>
        <v>0.8433424311769863</v>
      </c>
      <c r="U122" s="32">
        <f>IF(U112&lt;&gt;0,U121/U112,"")</f>
        <v>0.8363501807101782</v>
      </c>
      <c r="V122" s="32">
        <f>IF(V112&lt;&gt;0,V121/V112,"")</f>
        <v>0.82900528887114</v>
      </c>
      <c r="W122" s="32">
        <f>IF(W112&lt;&gt;0,W121/W112,"")</f>
        <v>0.8212899481812896</v>
      </c>
      <c r="X122" s="32">
        <f>IF(X112&lt;&gt;0,X121/X112,"")</f>
        <v>0.8131854518234892</v>
      </c>
      <c r="Y122" s="32">
        <f>IF(Y112&lt;&gt;0,Y121/Y112,"")</f>
        <v>0.8046721482178314</v>
      </c>
      <c r="Z122" s="32">
        <f>IF(Z112&lt;&gt;0,Z121/Z112,"")</f>
        <v>0.7957293933028852</v>
      </c>
      <c r="AA122" s="32">
        <f>IF(AA112&lt;&gt;0,AA121/AA112,"")</f>
        <v>0.7863355004064838</v>
      </c>
      <c r="AB122" s="32">
        <f>IF(AB112&lt;&gt;0,AB121/AB112,"")</f>
        <v>0.7764676875842834</v>
      </c>
      <c r="AC122" s="32">
        <f>IF(AC112&lt;&gt;0,AC121/AC112,"")</f>
        <v>0.7661020222981596</v>
      </c>
    </row>
    <row r="124" ht="20" customHeight="1" spans="1:29" x14ac:dyDescent="0.25">
      <c r="A124" s="21" t="s">
        <v>197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x14ac:dyDescent="0.25">
      <c r="A125" s="33" t="s">
        <v>141</v>
      </c>
      <c r="B125" s="26" t="s">
        <v>86</v>
      </c>
      <c r="C125" s="56">
        <f>SUM(E125:AC125)</f>
        <v>1675.0836893466167</v>
      </c>
      <c r="E125" s="37">
        <f>IF($C$56="annual",IF(E$5&gt;=2,$C$35*$C$57*$C$39*E104,0),IF(AND($C$56="oneTime",E$5=$C$58,$C$58&gt;1,$C$58&lt;=$C$86),$C$35*MIN(0.6,$C$57*(E$5-1))*$C$39*E104,0))</f>
        <v>0</v>
      </c>
      <c r="F125" s="37">
        <f>IF($C$56="annual",IF(F$5&gt;=2,$C$35*$C$57*$C$39*F104,0),IF(AND($C$56="oneTime",F$5=$C$58,$C$58&gt;1,$C$58&lt;=$C$86),$C$35*MIN(0.6,$C$57*(F$5-1))*$C$39*F104,0))</f>
        <v>69.7951537227757</v>
      </c>
      <c r="G125" s="37">
        <f>IF($C$56="annual",IF(G$5&gt;=2,$C$35*$C$57*$C$39*G104,0),IF(AND($C$56="oneTime",G$5=$C$58,$C$58&gt;1,$C$58&lt;=$C$86),$C$35*MIN(0.6,$C$57*(G$5-1))*$C$39*G104,0))</f>
        <v>69.7951537227757</v>
      </c>
      <c r="H125" s="37">
        <f>IF($C$56="annual",IF(H$5&gt;=2,$C$35*$C$57*$C$39*H104,0),IF(AND($C$56="oneTime",H$5=$C$58,$C$58&gt;1,$C$58&lt;=$C$86),$C$35*MIN(0.6,$C$57*(H$5-1))*$C$39*H104,0))</f>
        <v>69.7951537227757</v>
      </c>
      <c r="I125" s="37">
        <f>IF($C$56="annual",IF(I$5&gt;=2,$C$35*$C$57*$C$39*I104,0),IF(AND($C$56="oneTime",I$5=$C$58,$C$58&gt;1,$C$58&lt;=$C$86),$C$35*MIN(0.6,$C$57*(I$5-1))*$C$39*I104,0))</f>
        <v>69.7951537227757</v>
      </c>
      <c r="J125" s="37">
        <f>IF($C$56="annual",IF(J$5&gt;=2,$C$35*$C$57*$C$39*J104,0),IF(AND($C$56="oneTime",J$5=$C$58,$C$58&gt;1,$C$58&lt;=$C$86),$C$35*MIN(0.6,$C$57*(J$5-1))*$C$39*J104,0))</f>
        <v>69.7951537227757</v>
      </c>
      <c r="K125" s="37">
        <f>IF($C$56="annual",IF(K$5&gt;=2,$C$35*$C$57*$C$39*K104,0),IF(AND($C$56="oneTime",K$5=$C$58,$C$58&gt;1,$C$58&lt;=$C$86),$C$35*MIN(0.6,$C$57*(K$5-1))*$C$39*K104,0))</f>
        <v>69.7951537227757</v>
      </c>
      <c r="L125" s="37">
        <f>IF($C$56="annual",IF(L$5&gt;=2,$C$35*$C$57*$C$39*L104,0),IF(AND($C$56="oneTime",L$5=$C$58,$C$58&gt;1,$C$58&lt;=$C$86),$C$35*MIN(0.6,$C$57*(L$5-1))*$C$39*L104,0))</f>
        <v>69.7951537227757</v>
      </c>
      <c r="M125" s="37">
        <f>IF($C$56="annual",IF(M$5&gt;=2,$C$35*$C$57*$C$39*M104,0),IF(AND($C$56="oneTime",M$5=$C$58,$C$58&gt;1,$C$58&lt;=$C$86),$C$35*MIN(0.6,$C$57*(M$5-1))*$C$39*M104,0))</f>
        <v>69.7951537227757</v>
      </c>
      <c r="N125" s="37">
        <f>IF($C$56="annual",IF(N$5&gt;=2,$C$35*$C$57*$C$39*N104,0),IF(AND($C$56="oneTime",N$5=$C$58,$C$58&gt;1,$C$58&lt;=$C$86),$C$35*MIN(0.6,$C$57*(N$5-1))*$C$39*N104,0))</f>
        <v>69.7951537227757</v>
      </c>
      <c r="O125" s="37">
        <f>IF($C$56="annual",IF(O$5&gt;=2,$C$35*$C$57*$C$39*O104,0),IF(AND($C$56="oneTime",O$5=$C$58,$C$58&gt;1,$C$58&lt;=$C$86),$C$35*MIN(0.6,$C$57*(O$5-1))*$C$39*O104,0))</f>
        <v>69.7951537227757</v>
      </c>
      <c r="P125" s="37">
        <f>IF($C$56="annual",IF(P$5&gt;=2,$C$35*$C$57*$C$39*P104,0),IF(AND($C$56="oneTime",P$5=$C$58,$C$58&gt;1,$C$58&lt;=$C$86),$C$35*MIN(0.6,$C$57*(P$5-1))*$C$39*P104,0))</f>
        <v>69.7951537227757</v>
      </c>
      <c r="Q125" s="37">
        <f>IF($C$56="annual",IF(Q$5&gt;=2,$C$35*$C$57*$C$39*Q104,0),IF(AND($C$56="oneTime",Q$5=$C$58,$C$58&gt;1,$C$58&lt;=$C$86),$C$35*MIN(0.6,$C$57*(Q$5-1))*$C$39*Q104,0))</f>
        <v>69.7951537227757</v>
      </c>
      <c r="R125" s="37">
        <f>IF($C$56="annual",IF(R$5&gt;=2,$C$35*$C$57*$C$39*R104,0),IF(AND($C$56="oneTime",R$5=$C$58,$C$58&gt;1,$C$58&lt;=$C$86),$C$35*MIN(0.6,$C$57*(R$5-1))*$C$39*R104,0))</f>
        <v>69.7951537227757</v>
      </c>
      <c r="S125" s="37">
        <f>IF($C$56="annual",IF(S$5&gt;=2,$C$35*$C$57*$C$39*S104,0),IF(AND($C$56="oneTime",S$5=$C$58,$C$58&gt;1,$C$58&lt;=$C$86),$C$35*MIN(0.6,$C$57*(S$5-1))*$C$39*S104,0))</f>
        <v>69.7951537227757</v>
      </c>
      <c r="T125" s="37">
        <f>IF($C$56="annual",IF(T$5&gt;=2,$C$35*$C$57*$C$39*T104,0),IF(AND($C$56="oneTime",T$5=$C$58,$C$58&gt;1,$C$58&lt;=$C$86),$C$35*MIN(0.6,$C$57*(T$5-1))*$C$39*T104,0))</f>
        <v>69.7951537227757</v>
      </c>
      <c r="U125" s="37">
        <f>IF($C$56="annual",IF(U$5&gt;=2,$C$35*$C$57*$C$39*U104,0),IF(AND($C$56="oneTime",U$5=$C$58,$C$58&gt;1,$C$58&lt;=$C$86),$C$35*MIN(0.6,$C$57*(U$5-1))*$C$39*U104,0))</f>
        <v>69.7951537227757</v>
      </c>
      <c r="V125" s="37">
        <f>IF($C$56="annual",IF(V$5&gt;=2,$C$35*$C$57*$C$39*V104,0),IF(AND($C$56="oneTime",V$5=$C$58,$C$58&gt;1,$C$58&lt;=$C$86),$C$35*MIN(0.6,$C$57*(V$5-1))*$C$39*V104,0))</f>
        <v>69.7951537227757</v>
      </c>
      <c r="W125" s="37">
        <f>IF($C$56="annual",IF(W$5&gt;=2,$C$35*$C$57*$C$39*W104,0),IF(AND($C$56="oneTime",W$5=$C$58,$C$58&gt;1,$C$58&lt;=$C$86),$C$35*MIN(0.6,$C$57*(W$5-1))*$C$39*W104,0))</f>
        <v>69.7951537227757</v>
      </c>
      <c r="X125" s="37">
        <f>IF($C$56="annual",IF(X$5&gt;=2,$C$35*$C$57*$C$39*X104,0),IF(AND($C$56="oneTime",X$5=$C$58,$C$58&gt;1,$C$58&lt;=$C$86),$C$35*MIN(0.6,$C$57*(X$5-1))*$C$39*X104,0))</f>
        <v>69.7951537227757</v>
      </c>
      <c r="Y125" s="37">
        <f>IF($C$56="annual",IF(Y$5&gt;=2,$C$35*$C$57*$C$39*Y104,0),IF(AND($C$56="oneTime",Y$5=$C$58,$C$58&gt;1,$C$58&lt;=$C$86),$C$35*MIN(0.6,$C$57*(Y$5-1))*$C$39*Y104,0))</f>
        <v>69.7951537227757</v>
      </c>
      <c r="Z125" s="37">
        <f>IF($C$56="annual",IF(Z$5&gt;=2,$C$35*$C$57*$C$39*Z104,0),IF(AND($C$56="oneTime",Z$5=$C$58,$C$58&gt;1,$C$58&lt;=$C$86),$C$35*MIN(0.6,$C$57*(Z$5-1))*$C$39*Z104,0))</f>
        <v>69.7951537227757</v>
      </c>
      <c r="AA125" s="37">
        <f>IF($C$56="annual",IF(AA$5&gt;=2,$C$35*$C$57*$C$39*AA104,0),IF(AND($C$56="oneTime",AA$5=$C$58,$C$58&gt;1,$C$58&lt;=$C$86),$C$35*MIN(0.6,$C$57*(AA$5-1))*$C$39*AA104,0))</f>
        <v>69.7951537227757</v>
      </c>
      <c r="AB125" s="37">
        <f>IF($C$56="annual",IF(AB$5&gt;=2,$C$35*$C$57*$C$39*AB104,0),IF(AND($C$56="oneTime",AB$5=$C$58,$C$58&gt;1,$C$58&lt;=$C$86),$C$35*MIN(0.6,$C$57*(AB$5-1))*$C$39*AB104,0))</f>
        <v>69.7951537227757</v>
      </c>
      <c r="AC125" s="37">
        <f>IF($C$56="annual",IF(AC$5&gt;=2,$C$35*$C$57*$C$39*AC104,0),IF(AND($C$56="oneTime",AC$5=$C$58,$C$58&gt;1,$C$58&lt;=$C$86),$C$35*MIN(0.6,$C$57*(AC$5-1))*$C$39*AC104,0))</f>
        <v>69.7951537227757</v>
      </c>
    </row>
    <row r="127" ht="20" customHeight="1" spans="1:29" x14ac:dyDescent="0.25">
      <c r="A127" s="21" t="s">
        <v>198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x14ac:dyDescent="0.25">
      <c r="A128" s="33" t="s">
        <v>199</v>
      </c>
      <c r="B128" s="26" t="s">
        <v>86</v>
      </c>
      <c r="C128" s="56">
        <f>SUM(E128:AC128)</f>
        <v>7885.129857156152</v>
      </c>
      <c r="E128" s="37">
        <f>IF(E$5&lt;=$C$71,$C$91,0)</f>
        <v>315.405194286246</v>
      </c>
      <c r="F128" s="37">
        <f>IF(F$5&lt;=$C$71,$C$91,0)</f>
        <v>315.405194286246</v>
      </c>
      <c r="G128" s="37">
        <f>IF(G$5&lt;=$C$71,$C$91,0)</f>
        <v>315.405194286246</v>
      </c>
      <c r="H128" s="37">
        <f>IF(H$5&lt;=$C$71,$C$91,0)</f>
        <v>315.405194286246</v>
      </c>
      <c r="I128" s="37">
        <f>IF(I$5&lt;=$C$71,$C$91,0)</f>
        <v>315.405194286246</v>
      </c>
      <c r="J128" s="37">
        <f>IF(J$5&lt;=$C$71,$C$91,0)</f>
        <v>315.405194286246</v>
      </c>
      <c r="K128" s="37">
        <f>IF(K$5&lt;=$C$71,$C$91,0)</f>
        <v>315.405194286246</v>
      </c>
      <c r="L128" s="37">
        <f>IF(L$5&lt;=$C$71,$C$91,0)</f>
        <v>315.405194286246</v>
      </c>
      <c r="M128" s="37">
        <f>IF(M$5&lt;=$C$71,$C$91,0)</f>
        <v>315.405194286246</v>
      </c>
      <c r="N128" s="37">
        <f>IF(N$5&lt;=$C$71,$C$91,0)</f>
        <v>315.405194286246</v>
      </c>
      <c r="O128" s="37">
        <f>IF(O$5&lt;=$C$71,$C$91,0)</f>
        <v>315.405194286246</v>
      </c>
      <c r="P128" s="37">
        <f>IF(P$5&lt;=$C$71,$C$91,0)</f>
        <v>315.405194286246</v>
      </c>
      <c r="Q128" s="37">
        <f>IF(Q$5&lt;=$C$71,$C$91,0)</f>
        <v>315.405194286246</v>
      </c>
      <c r="R128" s="37">
        <f>IF(R$5&lt;=$C$71,$C$91,0)</f>
        <v>315.405194286246</v>
      </c>
      <c r="S128" s="37">
        <f>IF(S$5&lt;=$C$71,$C$91,0)</f>
        <v>315.405194286246</v>
      </c>
      <c r="T128" s="37">
        <f>IF(T$5&lt;=$C$71,$C$91,0)</f>
        <v>315.405194286246</v>
      </c>
      <c r="U128" s="37">
        <f>IF(U$5&lt;=$C$71,$C$91,0)</f>
        <v>315.405194286246</v>
      </c>
      <c r="V128" s="37">
        <f>IF(V$5&lt;=$C$71,$C$91,0)</f>
        <v>315.405194286246</v>
      </c>
      <c r="W128" s="37">
        <f>IF(W$5&lt;=$C$71,$C$91,0)</f>
        <v>315.405194286246</v>
      </c>
      <c r="X128" s="37">
        <f>IF(X$5&lt;=$C$71,$C$91,0)</f>
        <v>315.405194286246</v>
      </c>
      <c r="Y128" s="37">
        <f>IF(Y$5&lt;=$C$71,$C$91,0)</f>
        <v>315.405194286246</v>
      </c>
      <c r="Z128" s="37">
        <f>IF(Z$5&lt;=$C$71,$C$91,0)</f>
        <v>315.405194286246</v>
      </c>
      <c r="AA128" s="37">
        <f>IF(AA$5&lt;=$C$71,$C$91,0)</f>
        <v>315.405194286246</v>
      </c>
      <c r="AB128" s="37">
        <f>IF(AB$5&lt;=$C$71,$C$91,0)</f>
        <v>315.405194286246</v>
      </c>
      <c r="AC128" s="37">
        <f>IF(AC$5&lt;=$C$71,$C$91,0)</f>
        <v>315.405194286246</v>
      </c>
    </row>
    <row r="129" spans="1:29" x14ac:dyDescent="0.25">
      <c r="A129" s="33" t="s">
        <v>200</v>
      </c>
      <c r="B129" s="26" t="s">
        <v>86</v>
      </c>
      <c r="E129" s="37">
        <f>E125/MAX(1,$C$86-E$5+1)</f>
        <v>0</v>
      </c>
      <c r="F129" s="37">
        <f>F125/MAX(1,$C$86-F$5+1)</f>
        <v>2.908131405115654</v>
      </c>
      <c r="G129" s="37">
        <f>G125/MAX(1,$C$86-G$5+1)</f>
        <v>3.0345719009902474</v>
      </c>
      <c r="H129" s="37">
        <f>H125/MAX(1,$C$86-H$5+1)</f>
        <v>3.1725069873988954</v>
      </c>
      <c r="I129" s="37">
        <f>I125/MAX(1,$C$86-I$5+1)</f>
        <v>3.3235787487036044</v>
      </c>
      <c r="J129" s="37">
        <f>J125/MAX(1,$C$86-J$5+1)</f>
        <v>3.489757686138785</v>
      </c>
      <c r="K129" s="37">
        <f>K125/MAX(1,$C$86-K$5+1)</f>
        <v>3.673429143303984</v>
      </c>
      <c r="L129" s="37">
        <f>L125/MAX(1,$C$86-L$5+1)</f>
        <v>3.877508540154205</v>
      </c>
      <c r="M129" s="37">
        <f>M125/MAX(1,$C$86-M$5+1)</f>
        <v>4.105597277810335</v>
      </c>
      <c r="N129" s="37">
        <f>N125/MAX(1,$C$86-N$5+1)</f>
        <v>4.362197107673481</v>
      </c>
      <c r="O129" s="37">
        <f>O125/MAX(1,$C$86-O$5+1)</f>
        <v>4.653010248185046</v>
      </c>
      <c r="P129" s="37">
        <f>P125/MAX(1,$C$86-P$5+1)</f>
        <v>4.985368123055407</v>
      </c>
      <c r="Q129" s="37">
        <f>Q125/MAX(1,$C$86-Q$5+1)</f>
        <v>5.368857978675053</v>
      </c>
      <c r="R129" s="37">
        <f>R125/MAX(1,$C$86-R$5+1)</f>
        <v>5.816262810231308</v>
      </c>
      <c r="S129" s="37">
        <f>S125/MAX(1,$C$86-S$5+1)</f>
        <v>6.345013974797791</v>
      </c>
      <c r="T129" s="37">
        <f>T125/MAX(1,$C$86-T$5+1)</f>
        <v>6.97951537227757</v>
      </c>
      <c r="U129" s="37">
        <f>U125/MAX(1,$C$86-U$5+1)</f>
        <v>7.75501708030841</v>
      </c>
      <c r="V129" s="37">
        <f>V125/MAX(1,$C$86-V$5+1)</f>
        <v>8.724394215346962</v>
      </c>
      <c r="W129" s="37">
        <f>W125/MAX(1,$C$86-W$5+1)</f>
        <v>9.970736246110814</v>
      </c>
      <c r="X129" s="37">
        <f>X125/MAX(1,$C$86-X$5+1)</f>
        <v>11.632525620462616</v>
      </c>
      <c r="Y129" s="37">
        <f>Y125/MAX(1,$C$86-Y$5+1)</f>
        <v>13.95903074455514</v>
      </c>
      <c r="Z129" s="37">
        <f>Z125/MAX(1,$C$86-Z$5+1)</f>
        <v>17.448788430693924</v>
      </c>
      <c r="AA129" s="37">
        <f>AA125/MAX(1,$C$86-AA$5+1)</f>
        <v>23.26505124092523</v>
      </c>
      <c r="AB129" s="37">
        <f>AB125/MAX(1,$C$86-AB$5+1)</f>
        <v>34.89757686138785</v>
      </c>
      <c r="AC129" s="37">
        <f>AC125/MAX(1,$C$86-AC$5+1)</f>
        <v>69.7951537227757</v>
      </c>
    </row>
    <row r="130" spans="1:29" x14ac:dyDescent="0.25">
      <c r="A130" s="33" t="s">
        <v>201</v>
      </c>
      <c r="B130" s="26" t="s">
        <v>86</v>
      </c>
      <c r="C130" s="56">
        <f>SUM(E130:AC130)</f>
        <v>1675.083689346617</v>
      </c>
      <c r="E130" s="37">
        <f>E129</f>
        <v>0</v>
      </c>
      <c r="F130" s="37">
        <f>E130+F129</f>
        <v>2.908131405115654</v>
      </c>
      <c r="G130" s="37">
        <f>F130+G129</f>
        <v>5.942703306105901</v>
      </c>
      <c r="H130" s="37">
        <f>G130+H129</f>
        <v>9.115210293504797</v>
      </c>
      <c r="I130" s="37">
        <f>H130+I129</f>
        <v>12.438789042208402</v>
      </c>
      <c r="J130" s="37">
        <f>I130+J129</f>
        <v>15.928546728347186</v>
      </c>
      <c r="K130" s="37">
        <f>J130+K129</f>
        <v>19.60197587165117</v>
      </c>
      <c r="L130" s="37">
        <f>K130+L129</f>
        <v>23.479484411805377</v>
      </c>
      <c r="M130" s="37">
        <f>L130+M129</f>
        <v>27.585081689615713</v>
      </c>
      <c r="N130" s="37">
        <f>M130+N129</f>
        <v>31.947278797289194</v>
      </c>
      <c r="O130" s="37">
        <f>N130+O129</f>
        <v>36.60028904547424</v>
      </c>
      <c r="P130" s="37">
        <f>O130+P129</f>
        <v>41.58565716852965</v>
      </c>
      <c r="Q130" s="37">
        <f>P130+Q129</f>
        <v>46.9545151472047</v>
      </c>
      <c r="R130" s="37">
        <f>Q130+R129</f>
        <v>52.77077795743601</v>
      </c>
      <c r="S130" s="37">
        <f>R130+S129</f>
        <v>59.115791932233805</v>
      </c>
      <c r="T130" s="37">
        <f>S130+T129</f>
        <v>66.09530730451138</v>
      </c>
      <c r="U130" s="37">
        <f>T130+U129</f>
        <v>73.85032438481979</v>
      </c>
      <c r="V130" s="37">
        <f>U130+V129</f>
        <v>82.57471860016675</v>
      </c>
      <c r="W130" s="37">
        <f>V130+W129</f>
        <v>92.54545484627756</v>
      </c>
      <c r="X130" s="37">
        <f>W130+X129</f>
        <v>104.17798046674018</v>
      </c>
      <c r="Y130" s="37">
        <f>X130+Y129</f>
        <v>118.13701121129532</v>
      </c>
      <c r="Z130" s="37">
        <f>Y130+Z129</f>
        <v>135.58579964198924</v>
      </c>
      <c r="AA130" s="37">
        <f>Z130+AA129</f>
        <v>158.85085088291447</v>
      </c>
      <c r="AB130" s="37">
        <f>AA130+AB129</f>
        <v>193.74842774430232</v>
      </c>
      <c r="AC130" s="37">
        <f>AB130+AC129</f>
        <v>263.543581467078</v>
      </c>
    </row>
    <row r="131" spans="1:29" x14ac:dyDescent="0.25">
      <c r="A131" s="60" t="s">
        <v>198</v>
      </c>
      <c r="B131" s="61" t="s">
        <v>86</v>
      </c>
      <c r="C131" s="62">
        <f>SUM(E131:AC131)</f>
        <v>9560.213546502768</v>
      </c>
      <c r="D131" s="63"/>
      <c r="E131" s="62">
        <f>E128+E130</f>
        <v>315.405194286246</v>
      </c>
      <c r="F131" s="62">
        <f>F128+F130</f>
        <v>318.3133256913617</v>
      </c>
      <c r="G131" s="62">
        <f>G128+G130</f>
        <v>321.3478975923519</v>
      </c>
      <c r="H131" s="62">
        <f>H128+H130</f>
        <v>324.5204045797508</v>
      </c>
      <c r="I131" s="62">
        <f>I128+I130</f>
        <v>327.8439833284544</v>
      </c>
      <c r="J131" s="62">
        <f>J128+J130</f>
        <v>331.3337410145932</v>
      </c>
      <c r="K131" s="62">
        <f>K128+K130</f>
        <v>335.0071701578972</v>
      </c>
      <c r="L131" s="62">
        <f>L128+L130</f>
        <v>338.8846786980514</v>
      </c>
      <c r="M131" s="62">
        <f>M128+M130</f>
        <v>342.9902759758617</v>
      </c>
      <c r="N131" s="62">
        <f>N128+N130</f>
        <v>347.3524730835352</v>
      </c>
      <c r="O131" s="62">
        <f>O128+O130</f>
        <v>352.00548333172026</v>
      </c>
      <c r="P131" s="62">
        <f>P128+P130</f>
        <v>356.9908514547757</v>
      </c>
      <c r="Q131" s="62">
        <f>Q128+Q130</f>
        <v>362.3597094334507</v>
      </c>
      <c r="R131" s="62">
        <f>R128+R130</f>
        <v>368.175972243682</v>
      </c>
      <c r="S131" s="62">
        <f>S128+S130</f>
        <v>374.52098621847983</v>
      </c>
      <c r="T131" s="62">
        <f>T128+T130</f>
        <v>381.5005015907574</v>
      </c>
      <c r="U131" s="62">
        <f>U128+U130</f>
        <v>389.2555186710658</v>
      </c>
      <c r="V131" s="62">
        <f>V128+V130</f>
        <v>397.97991288641276</v>
      </c>
      <c r="W131" s="62">
        <f>W128+W130</f>
        <v>407.95064913252355</v>
      </c>
      <c r="X131" s="62">
        <f>X128+X130</f>
        <v>419.58317475298617</v>
      </c>
      <c r="Y131" s="62">
        <f>Y128+Y130</f>
        <v>433.5422054975413</v>
      </c>
      <c r="Z131" s="62">
        <f>Z128+Z130</f>
        <v>450.99099392823524</v>
      </c>
      <c r="AA131" s="62">
        <f>AA128+AA130</f>
        <v>474.2560451691605</v>
      </c>
      <c r="AB131" s="62">
        <f>AB128+AB130</f>
        <v>509.1536220305483</v>
      </c>
      <c r="AC131" s="62">
        <f>AC128+AC130</f>
        <v>578.9487757533241</v>
      </c>
    </row>
    <row r="133" ht="20" customHeight="1" spans="1:29" x14ac:dyDescent="0.25">
      <c r="A133" s="21" t="s">
        <v>94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x14ac:dyDescent="0.25">
      <c r="A134" s="33" t="s">
        <v>202</v>
      </c>
      <c r="B134" s="26" t="s">
        <v>86</v>
      </c>
      <c r="E134" s="37">
        <f>$C$84</f>
        <v>6132.878777788116</v>
      </c>
      <c r="F134" s="37">
        <f>E137</f>
        <v>5724.020192602242</v>
      </c>
      <c r="G134" s="37">
        <f>F137</f>
        <v>5315.161607416368</v>
      </c>
      <c r="H134" s="37">
        <f>G137</f>
        <v>4906.303022230493</v>
      </c>
      <c r="I134" s="37">
        <f>H137</f>
        <v>4497.444437044619</v>
      </c>
      <c r="J134" s="37">
        <f>I137</f>
        <v>4088.5858518587447</v>
      </c>
      <c r="K134" s="37">
        <f>J137</f>
        <v>3679.7272666728704</v>
      </c>
      <c r="L134" s="37">
        <f>K137</f>
        <v>3270.868681486996</v>
      </c>
      <c r="M134" s="37">
        <f>L137</f>
        <v>2862.010096301122</v>
      </c>
      <c r="N134" s="37">
        <f>M137</f>
        <v>2453.1515111152476</v>
      </c>
      <c r="O134" s="37">
        <f>N137</f>
        <v>2044.2929259293733</v>
      </c>
      <c r="P134" s="37">
        <f>O137</f>
        <v>1635.434340743499</v>
      </c>
      <c r="Q134" s="37">
        <f>P137</f>
        <v>1226.5757555576247</v>
      </c>
      <c r="R134" s="37">
        <f>Q137</f>
        <v>817.7171703717503</v>
      </c>
      <c r="S134" s="37">
        <f>R137</f>
        <v>408.8585851858759</v>
      </c>
      <c r="T134" s="37">
        <f>S137</f>
        <v>1.4779288903810084e-12</v>
      </c>
      <c r="U134" s="37">
        <f>T137</f>
        <v>1.4779288903810084e-12</v>
      </c>
      <c r="V134" s="37">
        <f>U137</f>
        <v>1.4779288903810084e-12</v>
      </c>
      <c r="W134" s="37">
        <f>V137</f>
        <v>1.4779288903810084e-12</v>
      </c>
      <c r="X134" s="37">
        <f>W137</f>
        <v>1.4779288903810084e-12</v>
      </c>
      <c r="Y134" s="37">
        <f>X137</f>
        <v>1.4779288903810084e-12</v>
      </c>
      <c r="Z134" s="37">
        <f>Y137</f>
        <v>1.4779288903810084e-12</v>
      </c>
      <c r="AA134" s="37">
        <f>Z137</f>
        <v>1.4779288903810084e-12</v>
      </c>
      <c r="AB134" s="37">
        <f>AA137</f>
        <v>1.4779288903810084e-12</v>
      </c>
      <c r="AC134" s="37">
        <f>AB137</f>
        <v>1.4779288903810084e-12</v>
      </c>
    </row>
    <row r="135" spans="1:29" x14ac:dyDescent="0.25">
      <c r="A135" s="33" t="s">
        <v>203</v>
      </c>
      <c r="B135" s="26" t="s">
        <v>86</v>
      </c>
      <c r="C135" s="56">
        <f>SUM(E135:AC135)</f>
        <v>4415.672720007444</v>
      </c>
      <c r="E135" s="37">
        <f>E134*$C$62</f>
        <v>551.9590900009305</v>
      </c>
      <c r="F135" s="37">
        <f>F134*$C$62</f>
        <v>515.1618173342017</v>
      </c>
      <c r="G135" s="37">
        <f>G134*$C$62</f>
        <v>478.36454466747307</v>
      </c>
      <c r="H135" s="37">
        <f>H134*$C$62</f>
        <v>441.56727200074437</v>
      </c>
      <c r="I135" s="37">
        <f>I134*$C$62</f>
        <v>404.7699993340157</v>
      </c>
      <c r="J135" s="37">
        <f>J134*$C$62</f>
        <v>367.972726667287</v>
      </c>
      <c r="K135" s="37">
        <f>K134*$C$62</f>
        <v>331.1754540005583</v>
      </c>
      <c r="L135" s="37">
        <f>L134*$C$62</f>
        <v>294.3781813338296</v>
      </c>
      <c r="M135" s="37">
        <f>M134*$C$62</f>
        <v>257.58090866710097</v>
      </c>
      <c r="N135" s="37">
        <f>N134*$C$62</f>
        <v>220.78363600037227</v>
      </c>
      <c r="O135" s="37">
        <f>O134*$C$62</f>
        <v>183.9863633336436</v>
      </c>
      <c r="P135" s="37">
        <f>P134*$C$62</f>
        <v>147.1890906669149</v>
      </c>
      <c r="Q135" s="37">
        <f>Q134*$C$62</f>
        <v>110.39181800018622</v>
      </c>
      <c r="R135" s="37">
        <f>R134*$C$62</f>
        <v>73.59454533345752</v>
      </c>
      <c r="S135" s="37">
        <f>S134*$C$62</f>
        <v>36.79727266672883</v>
      </c>
      <c r="T135" s="37">
        <f>T134*$C$62</f>
        <v>1.3301360013429075e-13</v>
      </c>
      <c r="U135" s="37">
        <f>U134*$C$62</f>
        <v>1.3301360013429075e-13</v>
      </c>
      <c r="V135" s="37">
        <f>V134*$C$62</f>
        <v>1.3301360013429075e-13</v>
      </c>
      <c r="W135" s="37">
        <f>W134*$C$62</f>
        <v>1.3301360013429075e-13</v>
      </c>
      <c r="X135" s="37">
        <f>X134*$C$62</f>
        <v>1.3301360013429075e-13</v>
      </c>
      <c r="Y135" s="37">
        <f>Y134*$C$62</f>
        <v>1.3301360013429075e-13</v>
      </c>
      <c r="Z135" s="37">
        <f>Z134*$C$62</f>
        <v>1.3301360013429075e-13</v>
      </c>
      <c r="AA135" s="37">
        <f>AA134*$C$62</f>
        <v>1.3301360013429075e-13</v>
      </c>
      <c r="AB135" s="37">
        <f>AB134*$C$62</f>
        <v>1.3301360013429075e-13</v>
      </c>
      <c r="AC135" s="37">
        <f>AC134*$C$62</f>
        <v>1.3301360013429075e-13</v>
      </c>
    </row>
    <row r="136" spans="1:29" x14ac:dyDescent="0.25">
      <c r="A136" s="33" t="s">
        <v>204</v>
      </c>
      <c r="B136" s="26" t="s">
        <v>86</v>
      </c>
      <c r="C136" s="56">
        <f>SUM(E136:AC136)</f>
        <v>6132.878777788115</v>
      </c>
      <c r="E136" s="37">
        <f>IF(AND(E$5&lt;=$C$87,E134&gt;1E-9),IF($C$64="annuity",MIN(E134,$C$88-E135),MIN(E134,$C$89)),0)</f>
        <v>408.8585851858744</v>
      </c>
      <c r="F136" s="37">
        <f>IF(AND(F$5&lt;=$C$87,F134&gt;1E-9),IF($C$64="annuity",MIN(F134,$C$88-F135),MIN(F134,$C$89)),0)</f>
        <v>408.8585851858744</v>
      </c>
      <c r="G136" s="37">
        <f>IF(AND(G$5&lt;=$C$87,G134&gt;1E-9),IF($C$64="annuity",MIN(G134,$C$88-G135),MIN(G134,$C$89)),0)</f>
        <v>408.8585851858744</v>
      </c>
      <c r="H136" s="37">
        <f>IF(AND(H$5&lt;=$C$87,H134&gt;1E-9),IF($C$64="annuity",MIN(H134,$C$88-H135),MIN(H134,$C$89)),0)</f>
        <v>408.8585851858744</v>
      </c>
      <c r="I136" s="37">
        <f>IF(AND(I$5&lt;=$C$87,I134&gt;1E-9),IF($C$64="annuity",MIN(I134,$C$88-I135),MIN(I134,$C$89)),0)</f>
        <v>408.8585851858744</v>
      </c>
      <c r="J136" s="37">
        <f>IF(AND(J$5&lt;=$C$87,J134&gt;1E-9),IF($C$64="annuity",MIN(J134,$C$88-J135),MIN(J134,$C$89)),0)</f>
        <v>408.8585851858744</v>
      </c>
      <c r="K136" s="37">
        <f>IF(AND(K$5&lt;=$C$87,K134&gt;1E-9),IF($C$64="annuity",MIN(K134,$C$88-K135),MIN(K134,$C$89)),0)</f>
        <v>408.8585851858744</v>
      </c>
      <c r="L136" s="37">
        <f>IF(AND(L$5&lt;=$C$87,L134&gt;1E-9),IF($C$64="annuity",MIN(L134,$C$88-L135),MIN(L134,$C$89)),0)</f>
        <v>408.8585851858744</v>
      </c>
      <c r="M136" s="37">
        <f>IF(AND(M$5&lt;=$C$87,M134&gt;1E-9),IF($C$64="annuity",MIN(M134,$C$88-M135),MIN(M134,$C$89)),0)</f>
        <v>408.8585851858744</v>
      </c>
      <c r="N136" s="37">
        <f>IF(AND(N$5&lt;=$C$87,N134&gt;1E-9),IF($C$64="annuity",MIN(N134,$C$88-N135),MIN(N134,$C$89)),0)</f>
        <v>408.8585851858744</v>
      </c>
      <c r="O136" s="37">
        <f>IF(AND(O$5&lt;=$C$87,O134&gt;1E-9),IF($C$64="annuity",MIN(O134,$C$88-O135),MIN(O134,$C$89)),0)</f>
        <v>408.8585851858744</v>
      </c>
      <c r="P136" s="37">
        <f>IF(AND(P$5&lt;=$C$87,P134&gt;1E-9),IF($C$64="annuity",MIN(P134,$C$88-P135),MIN(P134,$C$89)),0)</f>
        <v>408.8585851858744</v>
      </c>
      <c r="Q136" s="37">
        <f>IF(AND(Q$5&lt;=$C$87,Q134&gt;1E-9),IF($C$64="annuity",MIN(Q134,$C$88-Q135),MIN(Q134,$C$89)),0)</f>
        <v>408.8585851858744</v>
      </c>
      <c r="R136" s="37">
        <f>IF(AND(R$5&lt;=$C$87,R134&gt;1E-9),IF($C$64="annuity",MIN(R134,$C$88-R135),MIN(R134,$C$89)),0)</f>
        <v>408.8585851858744</v>
      </c>
      <c r="S136" s="37">
        <f>IF(AND(S$5&lt;=$C$87,S134&gt;1E-9),IF($C$64="annuity",MIN(S134,$C$88-S135),MIN(S134,$C$89)),0)</f>
        <v>408.8585851858744</v>
      </c>
      <c r="T136" s="37">
        <f>IF(AND(T$5&lt;=$C$87,T134&gt;1E-9),IF($C$64="annuity",MIN(T134,$C$88-T135),MIN(T134,$C$89)),0)</f>
        <v>0</v>
      </c>
      <c r="U136" s="37">
        <f>IF(AND(U$5&lt;=$C$87,U134&gt;1E-9),IF($C$64="annuity",MIN(U134,$C$88-U135),MIN(U134,$C$89)),0)</f>
        <v>0</v>
      </c>
      <c r="V136" s="37">
        <f>IF(AND(V$5&lt;=$C$87,V134&gt;1E-9),IF($C$64="annuity",MIN(V134,$C$88-V135),MIN(V134,$C$89)),0)</f>
        <v>0</v>
      </c>
      <c r="W136" s="37">
        <f>IF(AND(W$5&lt;=$C$87,W134&gt;1E-9),IF($C$64="annuity",MIN(W134,$C$88-W135),MIN(W134,$C$89)),0)</f>
        <v>0</v>
      </c>
      <c r="X136" s="37">
        <f>IF(AND(X$5&lt;=$C$87,X134&gt;1E-9),IF($C$64="annuity",MIN(X134,$C$88-X135),MIN(X134,$C$89)),0)</f>
        <v>0</v>
      </c>
      <c r="Y136" s="37">
        <f>IF(AND(Y$5&lt;=$C$87,Y134&gt;1E-9),IF($C$64="annuity",MIN(Y134,$C$88-Y135),MIN(Y134,$C$89)),0)</f>
        <v>0</v>
      </c>
      <c r="Z136" s="37">
        <f>IF(AND(Z$5&lt;=$C$87,Z134&gt;1E-9),IF($C$64="annuity",MIN(Z134,$C$88-Z135),MIN(Z134,$C$89)),0)</f>
        <v>0</v>
      </c>
      <c r="AA136" s="37">
        <f>IF(AND(AA$5&lt;=$C$87,AA134&gt;1E-9),IF($C$64="annuity",MIN(AA134,$C$88-AA135),MIN(AA134,$C$89)),0)</f>
        <v>0</v>
      </c>
      <c r="AB136" s="37">
        <f>IF(AND(AB$5&lt;=$C$87,AB134&gt;1E-9),IF($C$64="annuity",MIN(AB134,$C$88-AB135),MIN(AB134,$C$89)),0)</f>
        <v>0</v>
      </c>
      <c r="AC136" s="37">
        <f>IF(AND(AC$5&lt;=$C$87,AC134&gt;1E-9),IF($C$64="annuity",MIN(AC134,$C$88-AC135),MIN(AC134,$C$89)),0)</f>
        <v>0</v>
      </c>
    </row>
    <row r="137" spans="1:29" x14ac:dyDescent="0.25">
      <c r="A137" s="33" t="s">
        <v>205</v>
      </c>
      <c r="B137" s="26" t="s">
        <v>86</v>
      </c>
      <c r="E137" s="37">
        <f>E134-E136</f>
        <v>5724.020192602242</v>
      </c>
      <c r="F137" s="37">
        <f>F134-F136</f>
        <v>5315.161607416368</v>
      </c>
      <c r="G137" s="37">
        <f>G134-G136</f>
        <v>4906.303022230493</v>
      </c>
      <c r="H137" s="37">
        <f>H134-H136</f>
        <v>4497.444437044619</v>
      </c>
      <c r="I137" s="37">
        <f>I134-I136</f>
        <v>4088.5858518587447</v>
      </c>
      <c r="J137" s="37">
        <f>J134-J136</f>
        <v>3679.7272666728704</v>
      </c>
      <c r="K137" s="37">
        <f>K134-K136</f>
        <v>3270.868681486996</v>
      </c>
      <c r="L137" s="37">
        <f>L134-L136</f>
        <v>2862.010096301122</v>
      </c>
      <c r="M137" s="37">
        <f>M134-M136</f>
        <v>2453.1515111152476</v>
      </c>
      <c r="N137" s="37">
        <f>N134-N136</f>
        <v>2044.2929259293733</v>
      </c>
      <c r="O137" s="37">
        <f>O134-O136</f>
        <v>1635.434340743499</v>
      </c>
      <c r="P137" s="37">
        <f>P134-P136</f>
        <v>1226.5757555576247</v>
      </c>
      <c r="Q137" s="37">
        <f>Q134-Q136</f>
        <v>817.7171703717503</v>
      </c>
      <c r="R137" s="37">
        <f>R134-R136</f>
        <v>408.8585851858759</v>
      </c>
      <c r="S137" s="37">
        <f>S134-S136</f>
        <v>1.4779288903810084e-12</v>
      </c>
      <c r="T137" s="37">
        <f>T134-T136</f>
        <v>1.4779288903810084e-12</v>
      </c>
      <c r="U137" s="37">
        <f>U134-U136</f>
        <v>1.4779288903810084e-12</v>
      </c>
      <c r="V137" s="37">
        <f>V134-V136</f>
        <v>1.4779288903810084e-12</v>
      </c>
      <c r="W137" s="37">
        <f>W134-W136</f>
        <v>1.4779288903810084e-12</v>
      </c>
      <c r="X137" s="37">
        <f>X134-X136</f>
        <v>1.4779288903810084e-12</v>
      </c>
      <c r="Y137" s="37">
        <f>Y134-Y136</f>
        <v>1.4779288903810084e-12</v>
      </c>
      <c r="Z137" s="37">
        <f>Z134-Z136</f>
        <v>1.4779288903810084e-12</v>
      </c>
      <c r="AA137" s="37">
        <f>AA134-AA136</f>
        <v>1.4779288903810084e-12</v>
      </c>
      <c r="AB137" s="37">
        <f>AB134-AB136</f>
        <v>1.4779288903810084e-12</v>
      </c>
      <c r="AC137" s="37">
        <f>AC134-AC136</f>
        <v>1.4779288903810084e-12</v>
      </c>
    </row>
    <row r="138" spans="1:29" x14ac:dyDescent="0.25">
      <c r="A138" s="60" t="s">
        <v>206</v>
      </c>
      <c r="B138" s="61" t="s">
        <v>86</v>
      </c>
      <c r="C138" s="62">
        <f>SUM(E138:AC138)</f>
        <v>10548.55149779556</v>
      </c>
      <c r="D138" s="63"/>
      <c r="E138" s="62">
        <f>E135+E136</f>
        <v>960.8176751868049</v>
      </c>
      <c r="F138" s="62">
        <f>F135+F136</f>
        <v>924.0204025200761</v>
      </c>
      <c r="G138" s="62">
        <f>G135+G136</f>
        <v>887.2231298533475</v>
      </c>
      <c r="H138" s="62">
        <f>H135+H136</f>
        <v>850.4258571866187</v>
      </c>
      <c r="I138" s="62">
        <f>I135+I136</f>
        <v>813.6285845198902</v>
      </c>
      <c r="J138" s="62">
        <f>J135+J136</f>
        <v>776.8313118531614</v>
      </c>
      <c r="K138" s="62">
        <f>K135+K136</f>
        <v>740.0340391864327</v>
      </c>
      <c r="L138" s="62">
        <f>L135+L136</f>
        <v>703.236766519704</v>
      </c>
      <c r="M138" s="62">
        <f>M135+M136</f>
        <v>666.4394938529754</v>
      </c>
      <c r="N138" s="62">
        <f>N135+N136</f>
        <v>629.6422211862466</v>
      </c>
      <c r="O138" s="62">
        <f>O135+O136</f>
        <v>592.844948519518</v>
      </c>
      <c r="P138" s="62">
        <f>P135+P136</f>
        <v>556.0476758527893</v>
      </c>
      <c r="Q138" s="62">
        <f>Q135+Q136</f>
        <v>519.2504031860606</v>
      </c>
      <c r="R138" s="62">
        <f>R135+R136</f>
        <v>482.4531305193319</v>
      </c>
      <c r="S138" s="62">
        <f>S135+S136</f>
        <v>445.6558578526032</v>
      </c>
      <c r="T138" s="62">
        <f>T135+T136</f>
        <v>1.3301360013429075e-13</v>
      </c>
      <c r="U138" s="62">
        <f>U135+U136</f>
        <v>1.3301360013429075e-13</v>
      </c>
      <c r="V138" s="62">
        <f>V135+V136</f>
        <v>1.3301360013429075e-13</v>
      </c>
      <c r="W138" s="62">
        <f>W135+W136</f>
        <v>1.3301360013429075e-13</v>
      </c>
      <c r="X138" s="62">
        <f>X135+X136</f>
        <v>1.3301360013429075e-13</v>
      </c>
      <c r="Y138" s="62">
        <f>Y135+Y136</f>
        <v>1.3301360013429075e-13</v>
      </c>
      <c r="Z138" s="62">
        <f>Z135+Z136</f>
        <v>1.3301360013429075e-13</v>
      </c>
      <c r="AA138" s="62">
        <f>AA135+AA136</f>
        <v>1.3301360013429075e-13</v>
      </c>
      <c r="AB138" s="62">
        <f>AB135+AB136</f>
        <v>1.3301360013429075e-13</v>
      </c>
      <c r="AC138" s="62">
        <f>AC135+AC136</f>
        <v>1.3301360013429075e-13</v>
      </c>
    </row>
    <row r="140" ht="20" customHeight="1" spans="1:29" x14ac:dyDescent="0.25">
      <c r="A140" s="21" t="s">
        <v>161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x14ac:dyDescent="0.25">
      <c r="A141" s="33" t="s">
        <v>207</v>
      </c>
      <c r="B141" s="26" t="s">
        <v>86</v>
      </c>
      <c r="E141" s="37">
        <f>$C$83</f>
        <v>8761.255396840166</v>
      </c>
      <c r="F141" s="37">
        <f>E144</f>
        <v>5256.7532381041</v>
      </c>
      <c r="G141" s="37">
        <f>F144</f>
        <v>3195.929035096125</v>
      </c>
      <c r="H141" s="37">
        <f>G144</f>
        <v>1959.4345132913404</v>
      </c>
      <c r="I141" s="37">
        <f>H144</f>
        <v>1217.5378002084697</v>
      </c>
      <c r="J141" s="37">
        <f>I144</f>
        <v>772.3997723587472</v>
      </c>
      <c r="K141" s="37">
        <f>J144</f>
        <v>505.31695564891373</v>
      </c>
      <c r="L141" s="37">
        <f>K144</f>
        <v>345.06726562301367</v>
      </c>
      <c r="M141" s="37">
        <f>L144</f>
        <v>248.9174516074736</v>
      </c>
      <c r="N141" s="37">
        <f>M144</f>
        <v>191.22756319814957</v>
      </c>
      <c r="O141" s="37">
        <f>N144</f>
        <v>156.61363015255517</v>
      </c>
      <c r="P141" s="37">
        <f>O144</f>
        <v>135.8452703251985</v>
      </c>
      <c r="Q141" s="37">
        <f>P144</f>
        <v>123.38425442878452</v>
      </c>
      <c r="R141" s="37">
        <f>Q144</f>
        <v>115.90764489093613</v>
      </c>
      <c r="S141" s="37">
        <f>R144</f>
        <v>111.42167916822709</v>
      </c>
      <c r="T141" s="37">
        <f>S144</f>
        <v>108.73009973460167</v>
      </c>
      <c r="U141" s="37">
        <f>T144</f>
        <v>107.1151520744264</v>
      </c>
      <c r="V141" s="37">
        <f>U144</f>
        <v>106.14618347832126</v>
      </c>
      <c r="W141" s="37">
        <f>V144</f>
        <v>105.56480232065817</v>
      </c>
      <c r="X141" s="37">
        <f>W144</f>
        <v>105.21597362606032</v>
      </c>
      <c r="Y141" s="37">
        <f>X144</f>
        <v>105.00667640930159</v>
      </c>
      <c r="Z141" s="37">
        <f>Y144</f>
        <v>104.88109807924636</v>
      </c>
      <c r="AA141" s="37">
        <f>Z144</f>
        <v>104.80575108121323</v>
      </c>
      <c r="AB141" s="37">
        <f>AA144</f>
        <v>104.76054288239335</v>
      </c>
      <c r="AC141" s="37">
        <f>AB144</f>
        <v>104.73341796310142</v>
      </c>
    </row>
    <row r="142" spans="1:29" x14ac:dyDescent="0.25">
      <c r="A142" s="33" t="s">
        <v>208</v>
      </c>
      <c r="B142" s="26" t="s">
        <v>86</v>
      </c>
      <c r="C142" s="56">
        <f>SUM(E142:AC142)</f>
        <v>1675.0836893466167</v>
      </c>
      <c r="E142" s="37">
        <f>E125</f>
        <v>0</v>
      </c>
      <c r="F142" s="37">
        <f>F125</f>
        <v>69.7951537227757</v>
      </c>
      <c r="G142" s="37">
        <f>G125</f>
        <v>69.7951537227757</v>
      </c>
      <c r="H142" s="37">
        <f>H125</f>
        <v>69.7951537227757</v>
      </c>
      <c r="I142" s="37">
        <f>I125</f>
        <v>69.7951537227757</v>
      </c>
      <c r="J142" s="37">
        <f>J125</f>
        <v>69.7951537227757</v>
      </c>
      <c r="K142" s="37">
        <f>K125</f>
        <v>69.7951537227757</v>
      </c>
      <c r="L142" s="37">
        <f>L125</f>
        <v>69.7951537227757</v>
      </c>
      <c r="M142" s="37">
        <f>M125</f>
        <v>69.7951537227757</v>
      </c>
      <c r="N142" s="37">
        <f>N125</f>
        <v>69.7951537227757</v>
      </c>
      <c r="O142" s="37">
        <f>O125</f>
        <v>69.7951537227757</v>
      </c>
      <c r="P142" s="37">
        <f>P125</f>
        <v>69.7951537227757</v>
      </c>
      <c r="Q142" s="37">
        <f>Q125</f>
        <v>69.7951537227757</v>
      </c>
      <c r="R142" s="37">
        <f>R125</f>
        <v>69.7951537227757</v>
      </c>
      <c r="S142" s="37">
        <f>S125</f>
        <v>69.7951537227757</v>
      </c>
      <c r="T142" s="37">
        <f>T125</f>
        <v>69.7951537227757</v>
      </c>
      <c r="U142" s="37">
        <f>U125</f>
        <v>69.7951537227757</v>
      </c>
      <c r="V142" s="37">
        <f>V125</f>
        <v>69.7951537227757</v>
      </c>
      <c r="W142" s="37">
        <f>W125</f>
        <v>69.7951537227757</v>
      </c>
      <c r="X142" s="37">
        <f>X125</f>
        <v>69.7951537227757</v>
      </c>
      <c r="Y142" s="37">
        <f>Y125</f>
        <v>69.7951537227757</v>
      </c>
      <c r="Z142" s="37">
        <f>Z125</f>
        <v>69.7951537227757</v>
      </c>
      <c r="AA142" s="37">
        <f>AA125</f>
        <v>69.7951537227757</v>
      </c>
      <c r="AB142" s="37">
        <f>AB125</f>
        <v>69.7951537227757</v>
      </c>
      <c r="AC142" s="37">
        <f>AC125</f>
        <v>69.7951537227757</v>
      </c>
    </row>
    <row r="143" spans="1:29" x14ac:dyDescent="0.25">
      <c r="A143" s="60" t="s">
        <v>161</v>
      </c>
      <c r="B143" s="61" t="s">
        <v>86</v>
      </c>
      <c r="C143" s="62">
        <f>SUM(E143:AC143)</f>
        <v>10331.621943175258</v>
      </c>
      <c r="D143" s="63"/>
      <c r="E143" s="62">
        <f>IF($C$69="wdv",(E141+E142)*$C$70,E131)</f>
        <v>3504.5021587360666</v>
      </c>
      <c r="F143" s="62">
        <f>IF($C$69="wdv",(F141+F142)*$C$70,F131)</f>
        <v>2130.6193567307505</v>
      </c>
      <c r="G143" s="62">
        <f>IF($C$69="wdv",(G141+G142)*$C$70,G131)</f>
        <v>1306.2896755275606</v>
      </c>
      <c r="H143" s="62">
        <f>IF($C$69="wdv",(H141+H142)*$C$70,H131)</f>
        <v>811.6918668056464</v>
      </c>
      <c r="I143" s="62">
        <f>IF($C$69="wdv",(I141+I142)*$C$70,I131)</f>
        <v>514.9331815724981</v>
      </c>
      <c r="J143" s="62">
        <f>IF($C$69="wdv",(J141+J142)*$C$70,J131)</f>
        <v>336.8779704326092</v>
      </c>
      <c r="K143" s="62">
        <f>IF($C$69="wdv",(K141+K142)*$C$70,K131)</f>
        <v>230.04484374867582</v>
      </c>
      <c r="L143" s="62">
        <f>IF($C$69="wdv",(L141+L142)*$C$70,L131)</f>
        <v>165.94496773831577</v>
      </c>
      <c r="M143" s="62">
        <f>IF($C$69="wdv",(M141+M142)*$C$70,M131)</f>
        <v>127.48504213209972</v>
      </c>
      <c r="N143" s="62">
        <f>IF($C$69="wdv",(N141+N142)*$C$70,N131)</f>
        <v>104.40908676837012</v>
      </c>
      <c r="O143" s="62">
        <f>IF($C$69="wdv",(O141+O142)*$C$70,O131)</f>
        <v>90.56351355013236</v>
      </c>
      <c r="P143" s="62">
        <f>IF($C$69="wdv",(P141+P142)*$C$70,P131)</f>
        <v>82.25616961918968</v>
      </c>
      <c r="Q143" s="62">
        <f>IF($C$69="wdv",(Q141+Q142)*$C$70,Q131)</f>
        <v>77.27176326062408</v>
      </c>
      <c r="R143" s="62">
        <f>IF($C$69="wdv",(R141+R142)*$C$70,R131)</f>
        <v>74.28111944548473</v>
      </c>
      <c r="S143" s="62">
        <f>IF($C$69="wdv",(S141+S142)*$C$70,S131)</f>
        <v>72.48673315640112</v>
      </c>
      <c r="T143" s="62">
        <f>IF($C$69="wdv",(T141+T142)*$C$70,T131)</f>
        <v>71.41010138295094</v>
      </c>
      <c r="U143" s="62">
        <f>IF($C$69="wdv",(U141+U142)*$C$70,U131)</f>
        <v>70.76412231888085</v>
      </c>
      <c r="V143" s="62">
        <f>IF($C$69="wdv",(V141+V142)*$C$70,V131)</f>
        <v>70.37653488043878</v>
      </c>
      <c r="W143" s="62">
        <f>IF($C$69="wdv",(W141+W142)*$C$70,W131)</f>
        <v>70.14398241737355</v>
      </c>
      <c r="X143" s="62">
        <f>IF($C$69="wdv",(X141+X142)*$C$70,X131)</f>
        <v>70.00445093953441</v>
      </c>
      <c r="Y143" s="62">
        <f>IF($C$69="wdv",(Y141+Y142)*$C$70,Y131)</f>
        <v>69.92073205283091</v>
      </c>
      <c r="Z143" s="62">
        <f>IF($C$69="wdv",(Z141+Z142)*$C$70,Z131)</f>
        <v>69.87050072080882</v>
      </c>
      <c r="AA143" s="62">
        <f>IF($C$69="wdv",(AA141+AA142)*$C$70,AA131)</f>
        <v>69.84036192159557</v>
      </c>
      <c r="AB143" s="62">
        <f>IF($C$69="wdv",(AB141+AB142)*$C$70,AB131)</f>
        <v>69.82227864206762</v>
      </c>
      <c r="AC143" s="62">
        <f>IF($C$69="wdv",(AC141+AC142)*$C$70,AC131)</f>
        <v>69.81142867435085</v>
      </c>
    </row>
    <row r="144" spans="1:29" x14ac:dyDescent="0.25">
      <c r="A144" s="33" t="s">
        <v>209</v>
      </c>
      <c r="B144" s="26" t="s">
        <v>86</v>
      </c>
      <c r="E144" s="37">
        <f>E141+E142-IF($C$69="wdv",E143,0)</f>
        <v>5256.7532381041</v>
      </c>
      <c r="F144" s="37">
        <f>F141+F142-IF($C$69="wdv",F143,0)</f>
        <v>3195.929035096125</v>
      </c>
      <c r="G144" s="37">
        <f>G141+G142-IF($C$69="wdv",G143,0)</f>
        <v>1959.4345132913404</v>
      </c>
      <c r="H144" s="37">
        <f>H141+H142-IF($C$69="wdv",H143,0)</f>
        <v>1217.5378002084697</v>
      </c>
      <c r="I144" s="37">
        <f>I141+I142-IF($C$69="wdv",I143,0)</f>
        <v>772.3997723587472</v>
      </c>
      <c r="J144" s="37">
        <f>J141+J142-IF($C$69="wdv",J143,0)</f>
        <v>505.31695564891373</v>
      </c>
      <c r="K144" s="37">
        <f>K141+K142-IF($C$69="wdv",K143,0)</f>
        <v>345.06726562301367</v>
      </c>
      <c r="L144" s="37">
        <f>L141+L142-IF($C$69="wdv",L143,0)</f>
        <v>248.9174516074736</v>
      </c>
      <c r="M144" s="37">
        <f>M141+M142-IF($C$69="wdv",M143,0)</f>
        <v>191.22756319814957</v>
      </c>
      <c r="N144" s="37">
        <f>N141+N142-IF($C$69="wdv",N143,0)</f>
        <v>156.61363015255517</v>
      </c>
      <c r="O144" s="37">
        <f>O141+O142-IF($C$69="wdv",O143,0)</f>
        <v>135.8452703251985</v>
      </c>
      <c r="P144" s="37">
        <f>P141+P142-IF($C$69="wdv",P143,0)</f>
        <v>123.38425442878452</v>
      </c>
      <c r="Q144" s="37">
        <f>Q141+Q142-IF($C$69="wdv",Q143,0)</f>
        <v>115.90764489093613</v>
      </c>
      <c r="R144" s="37">
        <f>R141+R142-IF($C$69="wdv",R143,0)</f>
        <v>111.42167916822709</v>
      </c>
      <c r="S144" s="37">
        <f>S141+S142-IF($C$69="wdv",S143,0)</f>
        <v>108.73009973460167</v>
      </c>
      <c r="T144" s="37">
        <f>T141+T142-IF($C$69="wdv",T143,0)</f>
        <v>107.1151520744264</v>
      </c>
      <c r="U144" s="37">
        <f>U141+U142-IF($C$69="wdv",U143,0)</f>
        <v>106.14618347832126</v>
      </c>
      <c r="V144" s="37">
        <f>V141+V142-IF($C$69="wdv",V143,0)</f>
        <v>105.56480232065817</v>
      </c>
      <c r="W144" s="37">
        <f>W141+W142-IF($C$69="wdv",W143,0)</f>
        <v>105.21597362606032</v>
      </c>
      <c r="X144" s="37">
        <f>X141+X142-IF($C$69="wdv",X143,0)</f>
        <v>105.00667640930159</v>
      </c>
      <c r="Y144" s="37">
        <f>Y141+Y142-IF($C$69="wdv",Y143,0)</f>
        <v>104.88109807924636</v>
      </c>
      <c r="Z144" s="37">
        <f>Z141+Z142-IF($C$69="wdv",Z143,0)</f>
        <v>104.80575108121323</v>
      </c>
      <c r="AA144" s="37">
        <f>AA141+AA142-IF($C$69="wdv",AA143,0)</f>
        <v>104.76054288239335</v>
      </c>
      <c r="AB144" s="37">
        <f>AB141+AB142-IF($C$69="wdv",AB143,0)</f>
        <v>104.73341796310142</v>
      </c>
      <c r="AC144" s="37">
        <f>AC141+AC142-IF($C$69="wdv",AC143,0)</f>
        <v>104.71714301152628</v>
      </c>
    </row>
    <row r="146" ht="20" customHeight="1" spans="1:29" x14ac:dyDescent="0.25">
      <c r="A146" s="21" t="s">
        <v>210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x14ac:dyDescent="0.25">
      <c r="A147" s="33" t="s">
        <v>195</v>
      </c>
      <c r="B147" s="26" t="s">
        <v>86</v>
      </c>
      <c r="C147" s="56">
        <f>SUM(E147:AC147)</f>
        <v>29216.46564487795</v>
      </c>
      <c r="E147" s="37">
        <f>E121</f>
        <v>1258.8588049236803</v>
      </c>
      <c r="F147" s="37">
        <f>F121</f>
        <v>1253.6817123925068</v>
      </c>
      <c r="G147" s="37">
        <f>G121</f>
        <v>1248.2775369886426</v>
      </c>
      <c r="H147" s="37">
        <f>H121</f>
        <v>1242.6349245684526</v>
      </c>
      <c r="I147" s="37">
        <f>I121</f>
        <v>1236.7419532811211</v>
      </c>
      <c r="J147" s="37">
        <f>J121</f>
        <v>1230.5861051832908</v>
      </c>
      <c r="K147" s="37">
        <f>K121</f>
        <v>1224.1542364344368</v>
      </c>
      <c r="L147" s="37">
        <f>L121</f>
        <v>1217.4325460020077</v>
      </c>
      <c r="M147" s="37">
        <f>M121</f>
        <v>1210.406542801825</v>
      </c>
      <c r="N147" s="37">
        <f>N121</f>
        <v>1203.0610111955011</v>
      </c>
      <c r="O147" s="37">
        <f>O121</f>
        <v>1195.3799747627288</v>
      </c>
      <c r="P147" s="37">
        <f>P121</f>
        <v>1187.3466582621852</v>
      </c>
      <c r="Q147" s="37">
        <f>Q121</f>
        <v>1178.943447690483</v>
      </c>
      <c r="R147" s="37">
        <f>R121</f>
        <v>1170.1518483440627</v>
      </c>
      <c r="S147" s="37">
        <f>S121</f>
        <v>1160.9524407841895</v>
      </c>
      <c r="T147" s="37">
        <f>T121</f>
        <v>1151.3248346001908</v>
      </c>
      <c r="U147" s="37">
        <f>U121</f>
        <v>1141.2476198608595</v>
      </c>
      <c r="V147" s="37">
        <f>V121</f>
        <v>1130.6983161384296</v>
      </c>
      <c r="W147" s="37">
        <f>W121</f>
        <v>1119.6533189837457</v>
      </c>
      <c r="X147" s="37">
        <f>X121</f>
        <v>1108.0878437251956</v>
      </c>
      <c r="Y147" s="37">
        <f>Y121</f>
        <v>1095.9758664575857</v>
      </c>
      <c r="Z147" s="37">
        <f>Z121</f>
        <v>1083.2900620804635</v>
      </c>
      <c r="AA147" s="37">
        <f>AA121</f>
        <v>1070.0017392383522</v>
      </c>
      <c r="AB147" s="37">
        <f>AB121</f>
        <v>1056.0807720080038</v>
      </c>
      <c r="AC147" s="37">
        <f>AC121</f>
        <v>1041.4955281700056</v>
      </c>
    </row>
    <row r="148" spans="1:29" x14ac:dyDescent="0.25">
      <c r="A148" s="33" t="s">
        <v>211</v>
      </c>
      <c r="B148" s="26" t="s">
        <v>86</v>
      </c>
      <c r="C148" s="56">
        <f>SUM(E148:AC148)</f>
        <v>9560.213546502768</v>
      </c>
      <c r="E148" s="37">
        <f>E131</f>
        <v>315.405194286246</v>
      </c>
      <c r="F148" s="37">
        <f>F131</f>
        <v>318.3133256913617</v>
      </c>
      <c r="G148" s="37">
        <f>G131</f>
        <v>321.3478975923519</v>
      </c>
      <c r="H148" s="37">
        <f>H131</f>
        <v>324.5204045797508</v>
      </c>
      <c r="I148" s="37">
        <f>I131</f>
        <v>327.8439833284544</v>
      </c>
      <c r="J148" s="37">
        <f>J131</f>
        <v>331.3337410145932</v>
      </c>
      <c r="K148" s="37">
        <f>K131</f>
        <v>335.0071701578972</v>
      </c>
      <c r="L148" s="37">
        <f>L131</f>
        <v>338.8846786980514</v>
      </c>
      <c r="M148" s="37">
        <f>M131</f>
        <v>342.9902759758617</v>
      </c>
      <c r="N148" s="37">
        <f>N131</f>
        <v>347.3524730835352</v>
      </c>
      <c r="O148" s="37">
        <f>O131</f>
        <v>352.00548333172026</v>
      </c>
      <c r="P148" s="37">
        <f>P131</f>
        <v>356.9908514547757</v>
      </c>
      <c r="Q148" s="37">
        <f>Q131</f>
        <v>362.3597094334507</v>
      </c>
      <c r="R148" s="37">
        <f>R131</f>
        <v>368.175972243682</v>
      </c>
      <c r="S148" s="37">
        <f>S131</f>
        <v>374.52098621847983</v>
      </c>
      <c r="T148" s="37">
        <f>T131</f>
        <v>381.5005015907574</v>
      </c>
      <c r="U148" s="37">
        <f>U131</f>
        <v>389.2555186710658</v>
      </c>
      <c r="V148" s="37">
        <f>V131</f>
        <v>397.97991288641276</v>
      </c>
      <c r="W148" s="37">
        <f>W131</f>
        <v>407.95064913252355</v>
      </c>
      <c r="X148" s="37">
        <f>X131</f>
        <v>419.58317475298617</v>
      </c>
      <c r="Y148" s="37">
        <f>Y131</f>
        <v>433.5422054975413</v>
      </c>
      <c r="Z148" s="37">
        <f>Z131</f>
        <v>450.99099392823524</v>
      </c>
      <c r="AA148" s="37">
        <f>AA131</f>
        <v>474.2560451691605</v>
      </c>
      <c r="AB148" s="37">
        <f>AB131</f>
        <v>509.1536220305483</v>
      </c>
      <c r="AC148" s="37">
        <f>AC131</f>
        <v>578.9487757533241</v>
      </c>
    </row>
    <row r="149" spans="1:29" x14ac:dyDescent="0.25">
      <c r="A149" s="33" t="s">
        <v>212</v>
      </c>
      <c r="B149" s="26" t="s">
        <v>86</v>
      </c>
      <c r="C149" s="56">
        <f>SUM(E149:AC149)</f>
        <v>4415.672720007444</v>
      </c>
      <c r="E149" s="37">
        <f>E135</f>
        <v>551.9590900009305</v>
      </c>
      <c r="F149" s="37">
        <f>F135</f>
        <v>515.1618173342017</v>
      </c>
      <c r="G149" s="37">
        <f>G135</f>
        <v>478.36454466747307</v>
      </c>
      <c r="H149" s="37">
        <f>H135</f>
        <v>441.56727200074437</v>
      </c>
      <c r="I149" s="37">
        <f>I135</f>
        <v>404.7699993340157</v>
      </c>
      <c r="J149" s="37">
        <f>J135</f>
        <v>367.972726667287</v>
      </c>
      <c r="K149" s="37">
        <f>K135</f>
        <v>331.1754540005583</v>
      </c>
      <c r="L149" s="37">
        <f>L135</f>
        <v>294.3781813338296</v>
      </c>
      <c r="M149" s="37">
        <f>M135</f>
        <v>257.58090866710097</v>
      </c>
      <c r="N149" s="37">
        <f>N135</f>
        <v>220.78363600037227</v>
      </c>
      <c r="O149" s="37">
        <f>O135</f>
        <v>183.9863633336436</v>
      </c>
      <c r="P149" s="37">
        <f>P135</f>
        <v>147.1890906669149</v>
      </c>
      <c r="Q149" s="37">
        <f>Q135</f>
        <v>110.39181800018622</v>
      </c>
      <c r="R149" s="37">
        <f>R135</f>
        <v>73.59454533345752</v>
      </c>
      <c r="S149" s="37">
        <f>S135</f>
        <v>36.79727266672883</v>
      </c>
      <c r="T149" s="37">
        <f>T135</f>
        <v>1.3301360013429075e-13</v>
      </c>
      <c r="U149" s="37">
        <f>U135</f>
        <v>1.3301360013429075e-13</v>
      </c>
      <c r="V149" s="37">
        <f>V135</f>
        <v>1.3301360013429075e-13</v>
      </c>
      <c r="W149" s="37">
        <f>W135</f>
        <v>1.3301360013429075e-13</v>
      </c>
      <c r="X149" s="37">
        <f>X135</f>
        <v>1.3301360013429075e-13</v>
      </c>
      <c r="Y149" s="37">
        <f>Y135</f>
        <v>1.3301360013429075e-13</v>
      </c>
      <c r="Z149" s="37">
        <f>Z135</f>
        <v>1.3301360013429075e-13</v>
      </c>
      <c r="AA149" s="37">
        <f>AA135</f>
        <v>1.3301360013429075e-13</v>
      </c>
      <c r="AB149" s="37">
        <f>AB135</f>
        <v>1.3301360013429075e-13</v>
      </c>
      <c r="AC149" s="37">
        <f>AC135</f>
        <v>1.3301360013429075e-13</v>
      </c>
    </row>
    <row r="150" spans="1:29" x14ac:dyDescent="0.25">
      <c r="A150" s="60" t="s">
        <v>213</v>
      </c>
      <c r="B150" s="61" t="s">
        <v>86</v>
      </c>
      <c r="C150" s="62">
        <f>SUM(E150:AC150)</f>
        <v>15240.579378367733</v>
      </c>
      <c r="D150" s="63"/>
      <c r="E150" s="62">
        <f>E147-E148-E149</f>
        <v>391.4945206365038</v>
      </c>
      <c r="F150" s="62">
        <f>F147-F148-F149</f>
        <v>420.2065693669434</v>
      </c>
      <c r="G150" s="62">
        <f>G147-G148-G149</f>
        <v>448.5650947288176</v>
      </c>
      <c r="H150" s="62">
        <f>H147-H148-H149</f>
        <v>476.5472479879574</v>
      </c>
      <c r="I150" s="62">
        <f>I147-I148-I149</f>
        <v>504.127970618651</v>
      </c>
      <c r="J150" s="62">
        <f>J147-J148-J149</f>
        <v>531.2796375014105</v>
      </c>
      <c r="K150" s="62">
        <f>K147-K148-K149</f>
        <v>557.9716122759812</v>
      </c>
      <c r="L150" s="62">
        <f>L147-L148-L149</f>
        <v>584.1696859701267</v>
      </c>
      <c r="M150" s="62">
        <f>M147-M148-M149</f>
        <v>609.8353581588623</v>
      </c>
      <c r="N150" s="62">
        <f>N147-N148-N149</f>
        <v>634.9249021115936</v>
      </c>
      <c r="O150" s="62">
        <f>O147-O148-O149</f>
        <v>659.388128097365</v>
      </c>
      <c r="P150" s="62">
        <f>P147-P148-P149</f>
        <v>683.1667161404946</v>
      </c>
      <c r="Q150" s="62">
        <f>Q147-Q148-Q149</f>
        <v>706.1919202568461</v>
      </c>
      <c r="R150" s="62">
        <f>R147-R148-R149</f>
        <v>728.3813307669232</v>
      </c>
      <c r="S150" s="62">
        <f>S147-S148-S149</f>
        <v>749.6341818989808</v>
      </c>
      <c r="T150" s="62">
        <f>T147-T148-T149</f>
        <v>769.8243330094333</v>
      </c>
      <c r="U150" s="62">
        <f>U147-U148-U149</f>
        <v>751.9921011897935</v>
      </c>
      <c r="V150" s="62">
        <f>V147-V148-V149</f>
        <v>732.7184032520167</v>
      </c>
      <c r="W150" s="62">
        <f>W147-W148-W149</f>
        <v>711.7026698512221</v>
      </c>
      <c r="X150" s="62">
        <f>X147-X148-X149</f>
        <v>688.5046689722093</v>
      </c>
      <c r="Y150" s="62">
        <f>Y147-Y148-Y149</f>
        <v>662.4336609600442</v>
      </c>
      <c r="Z150" s="62">
        <f>Z147-Z148-Z149</f>
        <v>632.2990681522282</v>
      </c>
      <c r="AA150" s="62">
        <f>AA147-AA148-AA149</f>
        <v>595.7456940691917</v>
      </c>
      <c r="AB150" s="62">
        <f>AB147-AB148-AB149</f>
        <v>546.9271499774553</v>
      </c>
      <c r="AC150" s="62">
        <f>AC147-AC148-AC149</f>
        <v>462.54675241668144</v>
      </c>
    </row>
    <row r="151" spans="1:29" x14ac:dyDescent="0.25">
      <c r="A151" s="33" t="s">
        <v>214</v>
      </c>
      <c r="B151" s="26" t="s">
        <v>86</v>
      </c>
      <c r="E151" s="37">
        <f>E121-E135-E143</f>
        <v>-2797.6024438133168</v>
      </c>
      <c r="F151" s="37">
        <f>F121-F135-F143</f>
        <v>-1392.0994616724454</v>
      </c>
      <c r="G151" s="37">
        <f>G121-G135-G143</f>
        <v>-536.376683206391</v>
      </c>
      <c r="H151" s="37">
        <f>H121-H135-H143</f>
        <v>-10.624214237938304</v>
      </c>
      <c r="I151" s="37">
        <f>I121-I135-I143</f>
        <v>317.03877237460733</v>
      </c>
      <c r="J151" s="37">
        <f>J121-J135-J143</f>
        <v>525.7354080833945</v>
      </c>
      <c r="K151" s="37">
        <f>K121-K135-K143</f>
        <v>662.9339386852026</v>
      </c>
      <c r="L151" s="37">
        <f>L121-L135-L143</f>
        <v>757.1093969298623</v>
      </c>
      <c r="M151" s="37">
        <f>M121-M135-M143</f>
        <v>825.3405920026244</v>
      </c>
      <c r="N151" s="37">
        <f>N121-N135-N143</f>
        <v>877.8682884267587</v>
      </c>
      <c r="O151" s="37">
        <f>O121-O135-O143</f>
        <v>920.8300978789529</v>
      </c>
      <c r="P151" s="37">
        <f>P121-P135-P143</f>
        <v>957.9013979760807</v>
      </c>
      <c r="Q151" s="37">
        <f>Q121-Q135-Q143</f>
        <v>991.2798664296727</v>
      </c>
      <c r="R151" s="37">
        <f>R121-R135-R143</f>
        <v>1022.2761835651205</v>
      </c>
      <c r="S151" s="37">
        <f>S121-S135-S143</f>
        <v>1051.6684349610596</v>
      </c>
      <c r="T151" s="37">
        <f>T121-T135-T143</f>
        <v>1079.9147332172397</v>
      </c>
      <c r="U151" s="37">
        <f>U121-U135-U143</f>
        <v>1070.4834975419783</v>
      </c>
      <c r="V151" s="37">
        <f>V121-V135-V143</f>
        <v>1060.3217812579906</v>
      </c>
      <c r="W151" s="37">
        <f>W121-W135-W143</f>
        <v>1049.509336566372</v>
      </c>
      <c r="X151" s="37">
        <f>X121-X135-X143</f>
        <v>1038.083392785661</v>
      </c>
      <c r="Y151" s="37">
        <f>Y121-Y135-Y143</f>
        <v>1026.0551344047544</v>
      </c>
      <c r="Z151" s="37">
        <f>Z121-Z135-Z143</f>
        <v>1013.4195613596544</v>
      </c>
      <c r="AA151" s="37">
        <f>AA121-AA135-AA143</f>
        <v>1000.1613773167564</v>
      </c>
      <c r="AB151" s="37">
        <f>AB121-AB135-AB143</f>
        <v>986.2584933659359</v>
      </c>
      <c r="AC151" s="37">
        <f>AC121-AC135-AC143</f>
        <v>971.6840994956546</v>
      </c>
    </row>
    <row r="152" spans="1:29" x14ac:dyDescent="0.25">
      <c r="A152" s="33" t="s">
        <v>215</v>
      </c>
      <c r="B152" s="26" t="s">
        <v>86</v>
      </c>
      <c r="E152" s="37">
        <f>0</f>
        <v>0</v>
      </c>
      <c r="F152" s="37">
        <f>E155</f>
        <v>2797.6024438133168</v>
      </c>
      <c r="G152" s="37">
        <f>F155</f>
        <v>4189.701905485762</v>
      </c>
      <c r="H152" s="37">
        <f>G155</f>
        <v>4726.078588692153</v>
      </c>
      <c r="I152" s="37">
        <f>H155</f>
        <v>4736.702802930091</v>
      </c>
      <c r="J152" s="37">
        <f>I155</f>
        <v>4419.664030555484</v>
      </c>
      <c r="K152" s="37">
        <f>J155</f>
        <v>3893.928622472089</v>
      </c>
      <c r="L152" s="37">
        <f>K155</f>
        <v>3230.9946837868865</v>
      </c>
      <c r="M152" s="37">
        <f>L155</f>
        <v>2473.8852868570243</v>
      </c>
      <c r="N152" s="37">
        <f>M155</f>
        <v>1648.5446948544</v>
      </c>
      <c r="O152" s="37">
        <f>N155</f>
        <v>770.6764064276413</v>
      </c>
      <c r="P152" s="37">
        <f>O155</f>
        <v>0</v>
      </c>
      <c r="Q152" s="37">
        <f>P155</f>
        <v>0</v>
      </c>
      <c r="R152" s="37">
        <f>Q155</f>
        <v>0</v>
      </c>
      <c r="S152" s="37">
        <f>R155</f>
        <v>0</v>
      </c>
      <c r="T152" s="37">
        <f>S155</f>
        <v>0</v>
      </c>
      <c r="U152" s="37">
        <f>T155</f>
        <v>0</v>
      </c>
      <c r="V152" s="37">
        <f>U155</f>
        <v>0</v>
      </c>
      <c r="W152" s="37">
        <f>V155</f>
        <v>0</v>
      </c>
      <c r="X152" s="37">
        <f>W155</f>
        <v>0</v>
      </c>
      <c r="Y152" s="37">
        <f>X155</f>
        <v>0</v>
      </c>
      <c r="Z152" s="37">
        <f>Y155</f>
        <v>0</v>
      </c>
      <c r="AA152" s="37">
        <f>Z155</f>
        <v>0</v>
      </c>
      <c r="AB152" s="37">
        <f>AA155</f>
        <v>0</v>
      </c>
      <c r="AC152" s="37">
        <f>AB155</f>
        <v>0</v>
      </c>
    </row>
    <row r="153" spans="1:29" x14ac:dyDescent="0.25">
      <c r="A153" s="33" t="s">
        <v>216</v>
      </c>
      <c r="B153" s="26" t="s">
        <v>86</v>
      </c>
      <c r="C153" s="56">
        <f>SUM(E153:AC153)</f>
        <v>4736.702802930091</v>
      </c>
      <c r="E153" s="37">
        <f>IF(E151&gt;0,MIN(E152,E151),0)</f>
        <v>0</v>
      </c>
      <c r="F153" s="37">
        <f>IF(F151&gt;0,MIN(F152,F151),0)</f>
        <v>0</v>
      </c>
      <c r="G153" s="37">
        <f>IF(G151&gt;0,MIN(G152,G151),0)</f>
        <v>0</v>
      </c>
      <c r="H153" s="37">
        <f>IF(H151&gt;0,MIN(H152,H151),0)</f>
        <v>0</v>
      </c>
      <c r="I153" s="37">
        <f>IF(I151&gt;0,MIN(I152,I151),0)</f>
        <v>317.03877237460733</v>
      </c>
      <c r="J153" s="37">
        <f>IF(J151&gt;0,MIN(J152,J151),0)</f>
        <v>525.7354080833945</v>
      </c>
      <c r="K153" s="37">
        <f>IF(K151&gt;0,MIN(K152,K151),0)</f>
        <v>662.9339386852026</v>
      </c>
      <c r="L153" s="37">
        <f>IF(L151&gt;0,MIN(L152,L151),0)</f>
        <v>757.1093969298623</v>
      </c>
      <c r="M153" s="37">
        <f>IF(M151&gt;0,MIN(M152,M151),0)</f>
        <v>825.3405920026244</v>
      </c>
      <c r="N153" s="37">
        <f>IF(N151&gt;0,MIN(N152,N151),0)</f>
        <v>877.8682884267587</v>
      </c>
      <c r="O153" s="37">
        <f>IF(O151&gt;0,MIN(O152,O151),0)</f>
        <v>770.6764064276413</v>
      </c>
      <c r="P153" s="37">
        <f>IF(P151&gt;0,MIN(P152,P151),0)</f>
        <v>0</v>
      </c>
      <c r="Q153" s="37">
        <f>IF(Q151&gt;0,MIN(Q152,Q151),0)</f>
        <v>0</v>
      </c>
      <c r="R153" s="37">
        <f>IF(R151&gt;0,MIN(R152,R151),0)</f>
        <v>0</v>
      </c>
      <c r="S153" s="37">
        <f>IF(S151&gt;0,MIN(S152,S151),0)</f>
        <v>0</v>
      </c>
      <c r="T153" s="37">
        <f>IF(T151&gt;0,MIN(T152,T151),0)</f>
        <v>0</v>
      </c>
      <c r="U153" s="37">
        <f>IF(U151&gt;0,MIN(U152,U151),0)</f>
        <v>0</v>
      </c>
      <c r="V153" s="37">
        <f>IF(V151&gt;0,MIN(V152,V151),0)</f>
        <v>0</v>
      </c>
      <c r="W153" s="37">
        <f>IF(W151&gt;0,MIN(W152,W151),0)</f>
        <v>0</v>
      </c>
      <c r="X153" s="37">
        <f>IF(X151&gt;0,MIN(X152,X151),0)</f>
        <v>0</v>
      </c>
      <c r="Y153" s="37">
        <f>IF(Y151&gt;0,MIN(Y152,Y151),0)</f>
        <v>0</v>
      </c>
      <c r="Z153" s="37">
        <f>IF(Z151&gt;0,MIN(Z152,Z151),0)</f>
        <v>0</v>
      </c>
      <c r="AA153" s="37">
        <f>IF(AA151&gt;0,MIN(AA152,AA151),0)</f>
        <v>0</v>
      </c>
      <c r="AB153" s="37">
        <f>IF(AB151&gt;0,MIN(AB152,AB151),0)</f>
        <v>0</v>
      </c>
      <c r="AC153" s="37">
        <f>IF(AC151&gt;0,MIN(AC152,AC151),0)</f>
        <v>0</v>
      </c>
    </row>
    <row r="154" spans="1:29" x14ac:dyDescent="0.25">
      <c r="A154" s="33" t="s">
        <v>217</v>
      </c>
      <c r="B154" s="26" t="s">
        <v>86</v>
      </c>
      <c r="C154" s="56">
        <f>SUM(E154:AC154)</f>
        <v>14469.17098169524</v>
      </c>
      <c r="E154" s="37">
        <f>MAX(0,E151-E153)</f>
        <v>0</v>
      </c>
      <c r="F154" s="37">
        <f>MAX(0,F151-F153)</f>
        <v>0</v>
      </c>
      <c r="G154" s="37">
        <f>MAX(0,G151-G153)</f>
        <v>0</v>
      </c>
      <c r="H154" s="37">
        <f>MAX(0,H151-H153)</f>
        <v>0</v>
      </c>
      <c r="I154" s="37">
        <f>MAX(0,I151-I153)</f>
        <v>0</v>
      </c>
      <c r="J154" s="37">
        <f>MAX(0,J151-J153)</f>
        <v>0</v>
      </c>
      <c r="K154" s="37">
        <f>MAX(0,K151-K153)</f>
        <v>0</v>
      </c>
      <c r="L154" s="37">
        <f>MAX(0,L151-L153)</f>
        <v>0</v>
      </c>
      <c r="M154" s="37">
        <f>MAX(0,M151-M153)</f>
        <v>0</v>
      </c>
      <c r="N154" s="37">
        <f>MAX(0,N151-N153)</f>
        <v>0</v>
      </c>
      <c r="O154" s="37">
        <f>MAX(0,O151-O153)</f>
        <v>150.1536914513116</v>
      </c>
      <c r="P154" s="37">
        <f>MAX(0,P151-P153)</f>
        <v>957.9013979760807</v>
      </c>
      <c r="Q154" s="37">
        <f>MAX(0,Q151-Q153)</f>
        <v>991.2798664296727</v>
      </c>
      <c r="R154" s="37">
        <f>MAX(0,R151-R153)</f>
        <v>1022.2761835651205</v>
      </c>
      <c r="S154" s="37">
        <f>MAX(0,S151-S153)</f>
        <v>1051.6684349610596</v>
      </c>
      <c r="T154" s="37">
        <f>MAX(0,T151-T153)</f>
        <v>1079.9147332172397</v>
      </c>
      <c r="U154" s="37">
        <f>MAX(0,U151-U153)</f>
        <v>1070.4834975419783</v>
      </c>
      <c r="V154" s="37">
        <f>MAX(0,V151-V153)</f>
        <v>1060.3217812579906</v>
      </c>
      <c r="W154" s="37">
        <f>MAX(0,W151-W153)</f>
        <v>1049.509336566372</v>
      </c>
      <c r="X154" s="37">
        <f>MAX(0,X151-X153)</f>
        <v>1038.083392785661</v>
      </c>
      <c r="Y154" s="37">
        <f>MAX(0,Y151-Y153)</f>
        <v>1026.0551344047544</v>
      </c>
      <c r="Z154" s="37">
        <f>MAX(0,Z151-Z153)</f>
        <v>1013.4195613596544</v>
      </c>
      <c r="AA154" s="37">
        <f>MAX(0,AA151-AA153)</f>
        <v>1000.1613773167564</v>
      </c>
      <c r="AB154" s="37">
        <f>MAX(0,AB151-AB153)</f>
        <v>986.2584933659359</v>
      </c>
      <c r="AC154" s="37">
        <f>MAX(0,AC151-AC153)</f>
        <v>971.6840994956546</v>
      </c>
    </row>
    <row r="155" spans="1:29" x14ac:dyDescent="0.25">
      <c r="A155" s="33" t="s">
        <v>218</v>
      </c>
      <c r="B155" s="26" t="s">
        <v>86</v>
      </c>
      <c r="E155" s="37">
        <f>E152-E153+MAX(0,-E151)</f>
        <v>2797.6024438133168</v>
      </c>
      <c r="F155" s="37">
        <f>F152-F153+MAX(0,-F151)</f>
        <v>4189.701905485762</v>
      </c>
      <c r="G155" s="37">
        <f>G152-G153+MAX(0,-G151)</f>
        <v>4726.078588692153</v>
      </c>
      <c r="H155" s="37">
        <f>H152-H153+MAX(0,-H151)</f>
        <v>4736.702802930091</v>
      </c>
      <c r="I155" s="37">
        <f>I152-I153+MAX(0,-I151)</f>
        <v>4419.664030555484</v>
      </c>
      <c r="J155" s="37">
        <f>J152-J153+MAX(0,-J151)</f>
        <v>3893.928622472089</v>
      </c>
      <c r="K155" s="37">
        <f>K152-K153+MAX(0,-K151)</f>
        <v>3230.9946837868865</v>
      </c>
      <c r="L155" s="37">
        <f>L152-L153+MAX(0,-L151)</f>
        <v>2473.8852868570243</v>
      </c>
      <c r="M155" s="37">
        <f>M152-M153+MAX(0,-M151)</f>
        <v>1648.5446948544</v>
      </c>
      <c r="N155" s="37">
        <f>N152-N153+MAX(0,-N151)</f>
        <v>770.6764064276413</v>
      </c>
      <c r="O155" s="37">
        <f>O152-O153+MAX(0,-O151)</f>
        <v>0</v>
      </c>
      <c r="P155" s="37">
        <f>P152-P153+MAX(0,-P151)</f>
        <v>0</v>
      </c>
      <c r="Q155" s="37">
        <f>Q152-Q153+MAX(0,-Q151)</f>
        <v>0</v>
      </c>
      <c r="R155" s="37">
        <f>R152-R153+MAX(0,-R151)</f>
        <v>0</v>
      </c>
      <c r="S155" s="37">
        <f>S152-S153+MAX(0,-S151)</f>
        <v>0</v>
      </c>
      <c r="T155" s="37">
        <f>T152-T153+MAX(0,-T151)</f>
        <v>0</v>
      </c>
      <c r="U155" s="37">
        <f>U152-U153+MAX(0,-U151)</f>
        <v>0</v>
      </c>
      <c r="V155" s="37">
        <f>V152-V153+MAX(0,-V151)</f>
        <v>0</v>
      </c>
      <c r="W155" s="37">
        <f>W152-W153+MAX(0,-W151)</f>
        <v>0</v>
      </c>
      <c r="X155" s="37">
        <f>X152-X153+MAX(0,-X151)</f>
        <v>0</v>
      </c>
      <c r="Y155" s="37">
        <f>Y152-Y153+MAX(0,-Y151)</f>
        <v>0</v>
      </c>
      <c r="Z155" s="37">
        <f>Z152-Z153+MAX(0,-Z151)</f>
        <v>0</v>
      </c>
      <c r="AA155" s="37">
        <f>AA152-AA153+MAX(0,-AA151)</f>
        <v>0</v>
      </c>
      <c r="AB155" s="37">
        <f>AB152-AB153+MAX(0,-AB151)</f>
        <v>0</v>
      </c>
      <c r="AC155" s="37">
        <f>AC152-AC153+MAX(0,-AC151)</f>
        <v>0</v>
      </c>
    </row>
    <row r="156" spans="1:29" x14ac:dyDescent="0.25">
      <c r="A156" s="33" t="s">
        <v>219</v>
      </c>
      <c r="B156" s="26" t="s">
        <v>86</v>
      </c>
      <c r="C156" s="56">
        <f>SUM(E156:AC156)</f>
        <v>3641.890336092693</v>
      </c>
      <c r="E156" s="37">
        <f>E154*$C$68</f>
        <v>0</v>
      </c>
      <c r="F156" s="37">
        <f>F154*$C$68</f>
        <v>0</v>
      </c>
      <c r="G156" s="37">
        <f>G154*$C$68</f>
        <v>0</v>
      </c>
      <c r="H156" s="37">
        <f>H154*$C$68</f>
        <v>0</v>
      </c>
      <c r="I156" s="37">
        <f>I154*$C$68</f>
        <v>0</v>
      </c>
      <c r="J156" s="37">
        <f>J154*$C$68</f>
        <v>0</v>
      </c>
      <c r="K156" s="37">
        <f>K154*$C$68</f>
        <v>0</v>
      </c>
      <c r="L156" s="37">
        <f>L154*$C$68</f>
        <v>0</v>
      </c>
      <c r="M156" s="37">
        <f>M154*$C$68</f>
        <v>0</v>
      </c>
      <c r="N156" s="37">
        <f>N154*$C$68</f>
        <v>0</v>
      </c>
      <c r="O156" s="37">
        <f>O154*$C$68</f>
        <v>37.79368413829513</v>
      </c>
      <c r="P156" s="37">
        <f>P154*$C$68</f>
        <v>241.1037818705795</v>
      </c>
      <c r="Q156" s="37">
        <f>Q154*$C$68</f>
        <v>249.5051423803486</v>
      </c>
      <c r="R156" s="37">
        <f>R154*$C$68</f>
        <v>257.30691540334084</v>
      </c>
      <c r="S156" s="37">
        <f>S154*$C$68</f>
        <v>264.7049450796987</v>
      </c>
      <c r="T156" s="37">
        <f>T154*$C$68</f>
        <v>271.81453835077923</v>
      </c>
      <c r="U156" s="37">
        <f>U154*$C$68</f>
        <v>269.4406963313159</v>
      </c>
      <c r="V156" s="37">
        <f>V154*$C$68</f>
        <v>266.8829923426362</v>
      </c>
      <c r="W156" s="37">
        <f>W154*$C$68</f>
        <v>264.1615000137558</v>
      </c>
      <c r="X156" s="37">
        <f>X154*$C$68</f>
        <v>261.28558996415086</v>
      </c>
      <c r="Y156" s="37">
        <f>Y154*$C$68</f>
        <v>258.25807732967667</v>
      </c>
      <c r="Z156" s="37">
        <f>Z154*$C$68</f>
        <v>255.077703594225</v>
      </c>
      <c r="AA156" s="37">
        <f>AA154*$C$68</f>
        <v>251.74061867062758</v>
      </c>
      <c r="AB156" s="37">
        <f>AB154*$C$68</f>
        <v>248.24126278020606</v>
      </c>
      <c r="AC156" s="37">
        <f>AC154*$C$68</f>
        <v>244.57288784305624</v>
      </c>
    </row>
    <row r="157" spans="1:29" x14ac:dyDescent="0.25">
      <c r="A157" s="60" t="s">
        <v>220</v>
      </c>
      <c r="B157" s="61" t="s">
        <v>86</v>
      </c>
      <c r="C157" s="62">
        <f>SUM(E157:AC157)</f>
        <v>11598.689042275038</v>
      </c>
      <c r="D157" s="63"/>
      <c r="E157" s="62">
        <f>E150-E156</f>
        <v>391.4945206365038</v>
      </c>
      <c r="F157" s="62">
        <f>F150-F156</f>
        <v>420.2065693669434</v>
      </c>
      <c r="G157" s="62">
        <f>G150-G156</f>
        <v>448.5650947288176</v>
      </c>
      <c r="H157" s="62">
        <f>H150-H156</f>
        <v>476.5472479879574</v>
      </c>
      <c r="I157" s="62">
        <f>I150-I156</f>
        <v>504.127970618651</v>
      </c>
      <c r="J157" s="62">
        <f>J150-J156</f>
        <v>531.2796375014105</v>
      </c>
      <c r="K157" s="62">
        <f>K150-K156</f>
        <v>557.9716122759812</v>
      </c>
      <c r="L157" s="62">
        <f>L150-L156</f>
        <v>584.1696859701267</v>
      </c>
      <c r="M157" s="62">
        <f>M150-M156</f>
        <v>609.8353581588623</v>
      </c>
      <c r="N157" s="62">
        <f>N150-N156</f>
        <v>634.9249021115936</v>
      </c>
      <c r="O157" s="62">
        <f>O150-O156</f>
        <v>621.5944439590698</v>
      </c>
      <c r="P157" s="62">
        <f>P150-P156</f>
        <v>442.0629342699151</v>
      </c>
      <c r="Q157" s="62">
        <f>Q150-Q156</f>
        <v>456.68677787649744</v>
      </c>
      <c r="R157" s="62">
        <f>R150-R156</f>
        <v>471.0744153635823</v>
      </c>
      <c r="S157" s="62">
        <f>S150-S156</f>
        <v>484.92923681928215</v>
      </c>
      <c r="T157" s="62">
        <f>T150-T156</f>
        <v>498.0097946586541</v>
      </c>
      <c r="U157" s="62">
        <f>U150-U156</f>
        <v>482.5514048584776</v>
      </c>
      <c r="V157" s="62">
        <f>V150-V156</f>
        <v>465.8354109093805</v>
      </c>
      <c r="W157" s="62">
        <f>W150-W156</f>
        <v>447.5411698374663</v>
      </c>
      <c r="X157" s="62">
        <f>X150-X156</f>
        <v>427.21907900805843</v>
      </c>
      <c r="Y157" s="62">
        <f>Y150-Y156</f>
        <v>404.17558363036756</v>
      </c>
      <c r="Z157" s="62">
        <f>Z150-Z156</f>
        <v>377.2213645580032</v>
      </c>
      <c r="AA157" s="62">
        <f>AA150-AA156</f>
        <v>344.00507539856414</v>
      </c>
      <c r="AB157" s="62">
        <f>AB150-AB156</f>
        <v>298.68588719724926</v>
      </c>
      <c r="AC157" s="62">
        <f>AC150-AC156</f>
        <v>217.9738645736252</v>
      </c>
    </row>
    <row r="159" ht="20" customHeight="1" spans="1:29" x14ac:dyDescent="0.25">
      <c r="A159" s="21" t="s">
        <v>221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x14ac:dyDescent="0.25">
      <c r="A160" s="33" t="s">
        <v>222</v>
      </c>
      <c r="B160" s="26" t="s">
        <v>86</v>
      </c>
      <c r="E160" s="37">
        <f>E112*$C$73/365</f>
        <v>169.48653439028084</v>
      </c>
      <c r="F160" s="37">
        <f>F112*$C$73/365</f>
        <v>169.40819307937397</v>
      </c>
      <c r="G160" s="37">
        <f>G112*$C$73/365</f>
        <v>169.3298517684671</v>
      </c>
      <c r="H160" s="37">
        <f>H112*$C$73/365</f>
        <v>169.25151045756024</v>
      </c>
      <c r="I160" s="37">
        <f>I112*$C$73/365</f>
        <v>169.17316914665338</v>
      </c>
      <c r="J160" s="37">
        <f>J112*$C$73/365</f>
        <v>169.09482783574649</v>
      </c>
      <c r="K160" s="37">
        <f>K112*$C$73/365</f>
        <v>169.01648652483962</v>
      </c>
      <c r="L160" s="37">
        <f>L112*$C$73/365</f>
        <v>168.93814521393276</v>
      </c>
      <c r="M160" s="37">
        <f>M112*$C$73/365</f>
        <v>168.8598039030259</v>
      </c>
      <c r="N160" s="37">
        <f>N112*$C$73/365</f>
        <v>168.78146259211903</v>
      </c>
      <c r="O160" s="37">
        <f>O112*$C$73/365</f>
        <v>168.70312128121216</v>
      </c>
      <c r="P160" s="37">
        <f>P112*$C$73/365</f>
        <v>168.62477997030527</v>
      </c>
      <c r="Q160" s="37">
        <f>Q112*$C$73/365</f>
        <v>168.54643865939843</v>
      </c>
      <c r="R160" s="37">
        <f>R112*$C$73/365</f>
        <v>168.46809734849154</v>
      </c>
      <c r="S160" s="37">
        <f>S112*$C$73/365</f>
        <v>168.38975603758465</v>
      </c>
      <c r="T160" s="37">
        <f>T112*$C$73/365</f>
        <v>168.31141472667784</v>
      </c>
      <c r="U160" s="37">
        <f>U112*$C$73/365</f>
        <v>168.23307341577095</v>
      </c>
      <c r="V160" s="37">
        <f>V112*$C$73/365</f>
        <v>168.15473210486408</v>
      </c>
      <c r="W160" s="37">
        <f>W112*$C$73/365</f>
        <v>168.0763907939572</v>
      </c>
      <c r="X160" s="37">
        <f>X112*$C$73/365</f>
        <v>167.99804948305035</v>
      </c>
      <c r="Y160" s="37">
        <f>Y112*$C$73/365</f>
        <v>167.91970817214346</v>
      </c>
      <c r="Z160" s="37">
        <f>Z112*$C$73/365</f>
        <v>167.84136686123662</v>
      </c>
      <c r="AA160" s="37">
        <f>AA112*$C$73/365</f>
        <v>167.7630255503297</v>
      </c>
      <c r="AB160" s="37">
        <f>AB112*$C$73/365</f>
        <v>167.68468423942286</v>
      </c>
      <c r="AC160" s="37">
        <f>AC112*$C$73/365</f>
        <v>167.606342928516</v>
      </c>
    </row>
    <row r="161" spans="1:29" x14ac:dyDescent="0.25">
      <c r="A161" s="33" t="s">
        <v>223</v>
      </c>
      <c r="B161" s="26" t="s">
        <v>86</v>
      </c>
      <c r="C161" s="56">
        <f>SUM(E161:AC161)</f>
        <v>167.606342928516</v>
      </c>
      <c r="E161" s="37">
        <f>E160</f>
        <v>169.48653439028084</v>
      </c>
      <c r="F161" s="37">
        <f>F160-E160</f>
        <v>-0.07834131090686469</v>
      </c>
      <c r="G161" s="37">
        <f>G160-F160</f>
        <v>-0.07834131090686469</v>
      </c>
      <c r="H161" s="37">
        <f>H160-G160</f>
        <v>-0.07834131090686469</v>
      </c>
      <c r="I161" s="37">
        <f>I160-H160</f>
        <v>-0.07834131090686469</v>
      </c>
      <c r="J161" s="37">
        <f>J160-I160</f>
        <v>-0.07834131090689311</v>
      </c>
      <c r="K161" s="37">
        <f>K160-J160</f>
        <v>-0.07834131090686469</v>
      </c>
      <c r="L161" s="37">
        <f>L160-K160</f>
        <v>-0.07834131090686469</v>
      </c>
      <c r="M161" s="37">
        <f>M160-L160</f>
        <v>-0.07834131090686469</v>
      </c>
      <c r="N161" s="37">
        <f>N160-M160</f>
        <v>-0.07834131090686469</v>
      </c>
      <c r="O161" s="37">
        <f>O160-N160</f>
        <v>-0.07834131090686469</v>
      </c>
      <c r="P161" s="37">
        <f>P160-O160</f>
        <v>-0.07834131090689311</v>
      </c>
      <c r="Q161" s="37">
        <f>Q160-P160</f>
        <v>-0.07834131090683627</v>
      </c>
      <c r="R161" s="37">
        <f>R160-Q160</f>
        <v>-0.07834131090689311</v>
      </c>
      <c r="S161" s="37">
        <f>S160-R160</f>
        <v>-0.07834131090689311</v>
      </c>
      <c r="T161" s="37">
        <f>T160-S160</f>
        <v>-0.07834131090680785</v>
      </c>
      <c r="U161" s="37">
        <f>U160-T160</f>
        <v>-0.07834131090689311</v>
      </c>
      <c r="V161" s="37">
        <f>V160-U160</f>
        <v>-0.07834131090686469</v>
      </c>
      <c r="W161" s="37">
        <f>W160-V160</f>
        <v>-0.07834131090689311</v>
      </c>
      <c r="X161" s="37">
        <f>X160-W160</f>
        <v>-0.07834131090683627</v>
      </c>
      <c r="Y161" s="37">
        <f>Y160-X160</f>
        <v>-0.07834131090689311</v>
      </c>
      <c r="Z161" s="37">
        <f>Z160-Y160</f>
        <v>-0.07834131090683627</v>
      </c>
      <c r="AA161" s="37">
        <f>AA160-Z160</f>
        <v>-0.07834131090692154</v>
      </c>
      <c r="AB161" s="37">
        <f>AB160-AA160</f>
        <v>-0.07834131090683627</v>
      </c>
      <c r="AC161" s="37">
        <f>AC160-AB160</f>
        <v>-0.07834131090686469</v>
      </c>
    </row>
    <row r="162" spans="1:29" x14ac:dyDescent="0.25">
      <c r="A162" s="60" t="s">
        <v>224</v>
      </c>
      <c r="B162" s="61" t="s">
        <v>86</v>
      </c>
      <c r="C162" s="62">
        <f>SUM(E162:AC162)</f>
        <v>23731.88527651012</v>
      </c>
      <c r="D162" s="63"/>
      <c r="E162" s="62">
        <f>E121-E156-E161-E125</f>
        <v>1089.3722705333994</v>
      </c>
      <c r="F162" s="62">
        <f>F121-F156-F161-F125</f>
        <v>1183.964899980638</v>
      </c>
      <c r="G162" s="62">
        <f>G121-G156-G161-G125</f>
        <v>1178.5607245767737</v>
      </c>
      <c r="H162" s="62">
        <f>H121-H156-H161-H125</f>
        <v>1172.9181121565837</v>
      </c>
      <c r="I162" s="62">
        <f>I121-I156-I161-I125</f>
        <v>1167.0251408692523</v>
      </c>
      <c r="J162" s="62">
        <f>J121-J156-J161-J125</f>
        <v>1160.869292771422</v>
      </c>
      <c r="K162" s="62">
        <f>K121-K156-K161-K125</f>
        <v>1154.437424022568</v>
      </c>
      <c r="L162" s="62">
        <f>L121-L156-L161-L125</f>
        <v>1147.7157335901388</v>
      </c>
      <c r="M162" s="62">
        <f>M121-M156-M161-M125</f>
        <v>1140.6897303899561</v>
      </c>
      <c r="N162" s="62">
        <f>N121-N156-N161-N125</f>
        <v>1133.3441987836322</v>
      </c>
      <c r="O162" s="62">
        <f>O121-O156-O161-O125</f>
        <v>1087.869478212565</v>
      </c>
      <c r="P162" s="62">
        <f>P121-P156-P161-P125</f>
        <v>876.5260639797369</v>
      </c>
      <c r="Q162" s="62">
        <f>Q121-Q156-Q161-Q125</f>
        <v>859.7214928982655</v>
      </c>
      <c r="R162" s="62">
        <f>R121-R156-R161-R125</f>
        <v>843.1281205288532</v>
      </c>
      <c r="S162" s="62">
        <f>S121-S156-S161-S125</f>
        <v>826.530683292622</v>
      </c>
      <c r="T162" s="62">
        <f>T121-T156-T161-T125</f>
        <v>809.7934838375427</v>
      </c>
      <c r="U162" s="62">
        <f>U121-U156-U161-U125</f>
        <v>802.0901111176748</v>
      </c>
      <c r="V162" s="62">
        <f>V121-V156-V161-V125</f>
        <v>794.0985113839245</v>
      </c>
      <c r="W162" s="62">
        <f>W121-W156-W161-W125</f>
        <v>785.7750065581212</v>
      </c>
      <c r="X162" s="62">
        <f>X121-X156-X161-X125</f>
        <v>777.0854413491759</v>
      </c>
      <c r="Y162" s="62">
        <f>Y121-Y156-Y161-Y125</f>
        <v>768.0009767160402</v>
      </c>
      <c r="Z162" s="62">
        <f>Z121-Z156-Z161-Z125</f>
        <v>758.4955460743696</v>
      </c>
      <c r="AA162" s="62">
        <f>AA121-AA156-AA161-AA125</f>
        <v>748.5443081558559</v>
      </c>
      <c r="AB162" s="62">
        <f>AB121-AB156-AB161-AB125</f>
        <v>738.1226968159289</v>
      </c>
      <c r="AC162" s="62">
        <f>AC121-AC156-AC161-AC125</f>
        <v>727.2058279150806</v>
      </c>
    </row>
    <row r="163" spans="1:29" x14ac:dyDescent="0.25">
      <c r="A163" s="33" t="s">
        <v>225</v>
      </c>
      <c r="B163" s="26" t="s">
        <v>86</v>
      </c>
      <c r="C163" s="56">
        <f>SUM(E163:AC163)</f>
        <v>10548.55149779556</v>
      </c>
      <c r="E163" s="37">
        <f>E138</f>
        <v>960.8176751868049</v>
      </c>
      <c r="F163" s="37">
        <f>F138</f>
        <v>924.0204025200761</v>
      </c>
      <c r="G163" s="37">
        <f>G138</f>
        <v>887.2231298533475</v>
      </c>
      <c r="H163" s="37">
        <f>H138</f>
        <v>850.4258571866187</v>
      </c>
      <c r="I163" s="37">
        <f>I138</f>
        <v>813.6285845198902</v>
      </c>
      <c r="J163" s="37">
        <f>J138</f>
        <v>776.8313118531614</v>
      </c>
      <c r="K163" s="37">
        <f>K138</f>
        <v>740.0340391864327</v>
      </c>
      <c r="L163" s="37">
        <f>L138</f>
        <v>703.236766519704</v>
      </c>
      <c r="M163" s="37">
        <f>M138</f>
        <v>666.4394938529754</v>
      </c>
      <c r="N163" s="37">
        <f>N138</f>
        <v>629.6422211862466</v>
      </c>
      <c r="O163" s="37">
        <f>O138</f>
        <v>592.844948519518</v>
      </c>
      <c r="P163" s="37">
        <f>P138</f>
        <v>556.0476758527893</v>
      </c>
      <c r="Q163" s="37">
        <f>Q138</f>
        <v>519.2504031860606</v>
      </c>
      <c r="R163" s="37">
        <f>R138</f>
        <v>482.4531305193319</v>
      </c>
      <c r="S163" s="37">
        <f>S138</f>
        <v>445.6558578526032</v>
      </c>
      <c r="T163" s="37">
        <f>T138</f>
        <v>1.3301360013429075e-13</v>
      </c>
      <c r="U163" s="37">
        <f>U138</f>
        <v>1.3301360013429075e-13</v>
      </c>
      <c r="V163" s="37">
        <f>V138</f>
        <v>1.3301360013429075e-13</v>
      </c>
      <c r="W163" s="37">
        <f>W138</f>
        <v>1.3301360013429075e-13</v>
      </c>
      <c r="X163" s="37">
        <f>X138</f>
        <v>1.3301360013429075e-13</v>
      </c>
      <c r="Y163" s="37">
        <f>Y138</f>
        <v>1.3301360013429075e-13</v>
      </c>
      <c r="Z163" s="37">
        <f>Z138</f>
        <v>1.3301360013429075e-13</v>
      </c>
      <c r="AA163" s="37">
        <f>AA138</f>
        <v>1.3301360013429075e-13</v>
      </c>
      <c r="AB163" s="37">
        <f>AB138</f>
        <v>1.3301360013429075e-13</v>
      </c>
      <c r="AC163" s="37">
        <f>AC138</f>
        <v>1.3301360013429075e-13</v>
      </c>
    </row>
    <row r="164" spans="1:29" x14ac:dyDescent="0.25">
      <c r="A164" s="33" t="s">
        <v>226</v>
      </c>
      <c r="B164" s="26" t="s">
        <v>88</v>
      </c>
      <c r="E164" s="40">
        <f>IF(E138&gt;1E-9,E162/E138,"")</f>
        <v>1.1337970758308547</v>
      </c>
      <c r="F164" s="40">
        <f>IF(F138&gt;1E-9,F162/F138,"")</f>
        <v>1.2813190019956449</v>
      </c>
      <c r="G164" s="40">
        <f>IF(G138&gt;1E-9,G162/G138,"")</f>
        <v>1.3283701528065242</v>
      </c>
      <c r="H164" s="40">
        <f>IF(H138&gt;1E-9,H162/H138,"")</f>
        <v>1.379212664154915</v>
      </c>
      <c r="I164" s="40">
        <f>IF(I138&gt;1E-9,I162/I138,"")</f>
        <v>1.4343462890477183</v>
      </c>
      <c r="J164" s="40">
        <f>IF(J138&gt;1E-9,J162/J138,"")</f>
        <v>1.494364703196789</v>
      </c>
      <c r="K164" s="40">
        <f>IF(K138&gt;1E-9,K162/K138,"")</f>
        <v>1.559978815693013</v>
      </c>
      <c r="L164" s="40">
        <f>IF(L138&gt;1E-9,L162/L138,"")</f>
        <v>1.6320473960287185</v>
      </c>
      <c r="M164" s="40">
        <f>IF(M138&gt;1E-9,M162/M138,"")</f>
        <v>1.7116178451477038</v>
      </c>
      <c r="N164" s="40">
        <f>IF(N138&gt;1E-9,N162/N138,"")</f>
        <v>1.7999812602280874</v>
      </c>
      <c r="O164" s="40">
        <f>IF(O138&gt;1E-9,O162/O138,"")</f>
        <v>1.8349983093037174</v>
      </c>
      <c r="P164" s="40">
        <f>IF(P138&gt;1E-9,P162/P138,"")</f>
        <v>1.5763505577744605</v>
      </c>
      <c r="Q164" s="40">
        <f>IF(Q138&gt;1E-9,Q162/Q138,"")</f>
        <v>1.6556973044664263</v>
      </c>
      <c r="R164" s="40">
        <f>IF(R138&gt;1E-9,R162/R138,"")</f>
        <v>1.7475855522406418</v>
      </c>
      <c r="S164" s="40">
        <f>IF(S138&gt;1E-9,S162/S138,"")</f>
        <v>1.854638884980145</v>
      </c>
      <c r="T164" s="40" t="str">
        <f>IF(T138&gt;1E-9,T162/T138,"")</f>
        <v/>
      </c>
      <c r="U164" s="40" t="str">
        <f>IF(U138&gt;1E-9,U162/U138,"")</f>
        <v/>
      </c>
      <c r="V164" s="40" t="str">
        <f>IF(V138&gt;1E-9,V162/V138,"")</f>
        <v/>
      </c>
      <c r="W164" s="40" t="str">
        <f>IF(W138&gt;1E-9,W162/W138,"")</f>
        <v/>
      </c>
      <c r="X164" s="40" t="str">
        <f>IF(X138&gt;1E-9,X162/X138,"")</f>
        <v/>
      </c>
      <c r="Y164" s="40" t="str">
        <f>IF(Y138&gt;1E-9,Y162/Y138,"")</f>
        <v/>
      </c>
      <c r="Z164" s="40" t="str">
        <f>IF(Z138&gt;1E-9,Z162/Z138,"")</f>
        <v/>
      </c>
      <c r="AA164" s="40" t="str">
        <f>IF(AA138&gt;1E-9,AA162/AA138,"")</f>
        <v/>
      </c>
      <c r="AB164" s="40" t="str">
        <f>IF(AB138&gt;1E-9,AB162/AB138,"")</f>
        <v/>
      </c>
      <c r="AC164" s="40" t="str">
        <f>IF(AC138&gt;1E-9,AC162/AC138,"")</f>
        <v/>
      </c>
    </row>
    <row r="165" spans="1:29" x14ac:dyDescent="0.25">
      <c r="A165" s="33" t="s">
        <v>227</v>
      </c>
      <c r="B165" s="26" t="s">
        <v>86</v>
      </c>
      <c r="C165" s="56">
        <f>SUM(E165:AC165)</f>
        <v>1043.7318826125327</v>
      </c>
      <c r="E165" s="37">
        <f>IF(E$5=$C$86,$C$83*$C$72+E160,0)</f>
        <v>0</v>
      </c>
      <c r="F165" s="37">
        <f>IF(F$5=$C$86,$C$83*$C$72+F160,0)</f>
        <v>0</v>
      </c>
      <c r="G165" s="37">
        <f>IF(G$5=$C$86,$C$83*$C$72+G160,0)</f>
        <v>0</v>
      </c>
      <c r="H165" s="37">
        <f>IF(H$5=$C$86,$C$83*$C$72+H160,0)</f>
        <v>0</v>
      </c>
      <c r="I165" s="37">
        <f>IF(I$5=$C$86,$C$83*$C$72+I160,0)</f>
        <v>0</v>
      </c>
      <c r="J165" s="37">
        <f>IF(J$5=$C$86,$C$83*$C$72+J160,0)</f>
        <v>0</v>
      </c>
      <c r="K165" s="37">
        <f>IF(K$5=$C$86,$C$83*$C$72+K160,0)</f>
        <v>0</v>
      </c>
      <c r="L165" s="37">
        <f>IF(L$5=$C$86,$C$83*$C$72+L160,0)</f>
        <v>0</v>
      </c>
      <c r="M165" s="37">
        <f>IF(M$5=$C$86,$C$83*$C$72+M160,0)</f>
        <v>0</v>
      </c>
      <c r="N165" s="37">
        <f>IF(N$5=$C$86,$C$83*$C$72+N160,0)</f>
        <v>0</v>
      </c>
      <c r="O165" s="37">
        <f>IF(O$5=$C$86,$C$83*$C$72+O160,0)</f>
        <v>0</v>
      </c>
      <c r="P165" s="37">
        <f>IF(P$5=$C$86,$C$83*$C$72+P160,0)</f>
        <v>0</v>
      </c>
      <c r="Q165" s="37">
        <f>IF(Q$5=$C$86,$C$83*$C$72+Q160,0)</f>
        <v>0</v>
      </c>
      <c r="R165" s="37">
        <f>IF(R$5=$C$86,$C$83*$C$72+R160,0)</f>
        <v>0</v>
      </c>
      <c r="S165" s="37">
        <f>IF(S$5=$C$86,$C$83*$C$72+S160,0)</f>
        <v>0</v>
      </c>
      <c r="T165" s="37">
        <f>IF(T$5=$C$86,$C$83*$C$72+T160,0)</f>
        <v>0</v>
      </c>
      <c r="U165" s="37">
        <f>IF(U$5=$C$86,$C$83*$C$72+U160,0)</f>
        <v>0</v>
      </c>
      <c r="V165" s="37">
        <f>IF(V$5=$C$86,$C$83*$C$72+V160,0)</f>
        <v>0</v>
      </c>
      <c r="W165" s="37">
        <f>IF(W$5=$C$86,$C$83*$C$72+W160,0)</f>
        <v>0</v>
      </c>
      <c r="X165" s="37">
        <f>IF(X$5=$C$86,$C$83*$C$72+X160,0)</f>
        <v>0</v>
      </c>
      <c r="Y165" s="37">
        <f>IF(Y$5=$C$86,$C$83*$C$72+Y160,0)</f>
        <v>0</v>
      </c>
      <c r="Z165" s="37">
        <f>IF(Z$5=$C$86,$C$83*$C$72+Z160,0)</f>
        <v>0</v>
      </c>
      <c r="AA165" s="37">
        <f>IF(AA$5=$C$86,$C$83*$C$72+AA160,0)</f>
        <v>0</v>
      </c>
      <c r="AB165" s="37">
        <f>IF(AB$5=$C$86,$C$83*$C$72+AB160,0)</f>
        <v>0</v>
      </c>
      <c r="AC165" s="37">
        <f>IF(AC$5=$C$86,$C$83*$C$72+AC160,0)</f>
        <v>1043.7318826125327</v>
      </c>
    </row>
    <row r="166" spans="1:29" x14ac:dyDescent="0.25">
      <c r="A166" s="33" t="s">
        <v>228</v>
      </c>
      <c r="B166" s="26" t="s">
        <v>86</v>
      </c>
      <c r="C166" s="56">
        <f>SUM(E166:AC166)</f>
        <v>1.4779288903810084e-12</v>
      </c>
      <c r="E166" s="37">
        <f>IF(E$5=$C$86,E137,0)</f>
        <v>0</v>
      </c>
      <c r="F166" s="37">
        <f>IF(F$5=$C$86,F137,0)</f>
        <v>0</v>
      </c>
      <c r="G166" s="37">
        <f>IF(G$5=$C$86,G137,0)</f>
        <v>0</v>
      </c>
      <c r="H166" s="37">
        <f>IF(H$5=$C$86,H137,0)</f>
        <v>0</v>
      </c>
      <c r="I166" s="37">
        <f>IF(I$5=$C$86,I137,0)</f>
        <v>0</v>
      </c>
      <c r="J166" s="37">
        <f>IF(J$5=$C$86,J137,0)</f>
        <v>0</v>
      </c>
      <c r="K166" s="37">
        <f>IF(K$5=$C$86,K137,0)</f>
        <v>0</v>
      </c>
      <c r="L166" s="37">
        <f>IF(L$5=$C$86,L137,0)</f>
        <v>0</v>
      </c>
      <c r="M166" s="37">
        <f>IF(M$5=$C$86,M137,0)</f>
        <v>0</v>
      </c>
      <c r="N166" s="37">
        <f>IF(N$5=$C$86,N137,0)</f>
        <v>0</v>
      </c>
      <c r="O166" s="37">
        <f>IF(O$5=$C$86,O137,0)</f>
        <v>0</v>
      </c>
      <c r="P166" s="37">
        <f>IF(P$5=$C$86,P137,0)</f>
        <v>0</v>
      </c>
      <c r="Q166" s="37">
        <f>IF(Q$5=$C$86,Q137,0)</f>
        <v>0</v>
      </c>
      <c r="R166" s="37">
        <f>IF(R$5=$C$86,R137,0)</f>
        <v>0</v>
      </c>
      <c r="S166" s="37">
        <f>IF(S$5=$C$86,S137,0)</f>
        <v>0</v>
      </c>
      <c r="T166" s="37">
        <f>IF(T$5=$C$86,T137,0)</f>
        <v>0</v>
      </c>
      <c r="U166" s="37">
        <f>IF(U$5=$C$86,U137,0)</f>
        <v>0</v>
      </c>
      <c r="V166" s="37">
        <f>IF(V$5=$C$86,V137,0)</f>
        <v>0</v>
      </c>
      <c r="W166" s="37">
        <f>IF(W$5=$C$86,W137,0)</f>
        <v>0</v>
      </c>
      <c r="X166" s="37">
        <f>IF(X$5=$C$86,X137,0)</f>
        <v>0</v>
      </c>
      <c r="Y166" s="37">
        <f>IF(Y$5=$C$86,Y137,0)</f>
        <v>0</v>
      </c>
      <c r="Z166" s="37">
        <f>IF(Z$5=$C$86,Z137,0)</f>
        <v>0</v>
      </c>
      <c r="AA166" s="37">
        <f>IF(AA$5=$C$86,AA137,0)</f>
        <v>0</v>
      </c>
      <c r="AB166" s="37">
        <f>IF(AB$5=$C$86,AB137,0)</f>
        <v>0</v>
      </c>
      <c r="AC166" s="37">
        <f>IF(AC$5=$C$86,AC137,0)</f>
        <v>1.4779288903810084e-12</v>
      </c>
    </row>
    <row r="167" spans="1:29" x14ac:dyDescent="0.25">
      <c r="A167" s="60" t="s">
        <v>229</v>
      </c>
      <c r="B167" s="61" t="s">
        <v>86</v>
      </c>
      <c r="C167" s="62">
        <f>SUM(E167:AC167)</f>
        <v>14227.065661327091</v>
      </c>
      <c r="D167" s="62">
        <f>-$C$85</f>
        <v>-2628.37661905205</v>
      </c>
      <c r="E167" s="62">
        <f>E162-E138+E165-E166</f>
        <v>128.5545953465945</v>
      </c>
      <c r="F167" s="62">
        <f>F162-F138+F165-F166</f>
        <v>259.9444974605618</v>
      </c>
      <c r="G167" s="62">
        <f>G162-G138+G165-G166</f>
        <v>291.33759472342626</v>
      </c>
      <c r="H167" s="62">
        <f>H162-H138+H165-H166</f>
        <v>322.49225496996496</v>
      </c>
      <c r="I167" s="62">
        <f>I162-I138+I165-I166</f>
        <v>353.3965563493621</v>
      </c>
      <c r="J167" s="62">
        <f>J162-J138+J165-J166</f>
        <v>384.0379809182605</v>
      </c>
      <c r="K167" s="62">
        <f>K162-K138+K165-K166</f>
        <v>414.4033848361353</v>
      </c>
      <c r="L167" s="62">
        <f>L162-L138+L165-L166</f>
        <v>444.4789670704348</v>
      </c>
      <c r="M167" s="62">
        <f>M162-M138+M165-M166</f>
        <v>474.25023653698076</v>
      </c>
      <c r="N167" s="62">
        <f>N162-N138+N165-N166</f>
        <v>503.7019775973856</v>
      </c>
      <c r="O167" s="62">
        <f>O162-O138+O165-O166</f>
        <v>495.02452969304693</v>
      </c>
      <c r="P167" s="62">
        <f>P162-P138+P165-P166</f>
        <v>320.4783881269476</v>
      </c>
      <c r="Q167" s="62">
        <f>Q162-Q138+Q165-Q166</f>
        <v>340.47108971220496</v>
      </c>
      <c r="R167" s="62">
        <f>R162-R138+R165-R166</f>
        <v>360.67499000952125</v>
      </c>
      <c r="S167" s="62">
        <f>S162-S138+S165-S166</f>
        <v>380.8748254400188</v>
      </c>
      <c r="T167" s="62">
        <f>T162-T138+T165-T166</f>
        <v>809.7934838375426</v>
      </c>
      <c r="U167" s="62">
        <f>U162-U138+U165-U166</f>
        <v>802.0901111176747</v>
      </c>
      <c r="V167" s="62">
        <f>V162-V138+V165-V166</f>
        <v>794.0985113839243</v>
      </c>
      <c r="W167" s="62">
        <f>W162-W138+W165-W166</f>
        <v>785.775006558121</v>
      </c>
      <c r="X167" s="62">
        <f>X162-X138+X165-X166</f>
        <v>777.0854413491758</v>
      </c>
      <c r="Y167" s="62">
        <f>Y162-Y138+Y165-Y166</f>
        <v>768.0009767160401</v>
      </c>
      <c r="Z167" s="62">
        <f>Z162-Z138+Z165-Z166</f>
        <v>758.4955460743695</v>
      </c>
      <c r="AA167" s="62">
        <f>AA162-AA138+AA165-AA166</f>
        <v>748.5443081558558</v>
      </c>
      <c r="AB167" s="62">
        <f>AB162-AB138+AB165-AB166</f>
        <v>738.1226968159287</v>
      </c>
      <c r="AC167" s="62">
        <f>AC162-AC138+AC165-AC166</f>
        <v>1770.9377105276117</v>
      </c>
    </row>
    <row r="168" spans="1:29" x14ac:dyDescent="0.25">
      <c r="A168" s="33" t="s">
        <v>230</v>
      </c>
      <c r="B168" s="26" t="s">
        <v>86</v>
      </c>
      <c r="D168" s="37">
        <f>D167</f>
        <v>-2628.37661905205</v>
      </c>
      <c r="E168" s="37">
        <f>D168+E167</f>
        <v>-2499.8220237054556</v>
      </c>
      <c r="F168" s="37">
        <f>E168+F167</f>
        <v>-2239.877526244894</v>
      </c>
      <c r="G168" s="37">
        <f>F168+G167</f>
        <v>-1948.5399315214677</v>
      </c>
      <c r="H168" s="37">
        <f>G168+H167</f>
        <v>-1626.0476765515027</v>
      </c>
      <c r="I168" s="37">
        <f>H168+I167</f>
        <v>-1272.6511202021406</v>
      </c>
      <c r="J168" s="37">
        <f>I168+J167</f>
        <v>-888.6131392838802</v>
      </c>
      <c r="K168" s="37">
        <f>J168+K167</f>
        <v>-474.2097544477449</v>
      </c>
      <c r="L168" s="37">
        <f>K168+L167</f>
        <v>-29.730787377310094</v>
      </c>
      <c r="M168" s="37">
        <f>L168+M167</f>
        <v>444.51944915967067</v>
      </c>
      <c r="N168" s="37">
        <f>M168+N167</f>
        <v>948.2214267570563</v>
      </c>
      <c r="O168" s="37">
        <f>N168+O167</f>
        <v>1443.2459564501032</v>
      </c>
      <c r="P168" s="37">
        <f>O168+P167</f>
        <v>1763.724344577051</v>
      </c>
      <c r="Q168" s="37">
        <f>P168+Q167</f>
        <v>2104.195434289256</v>
      </c>
      <c r="R168" s="37">
        <f>Q168+R167</f>
        <v>2464.870424298777</v>
      </c>
      <c r="S168" s="37">
        <f>R168+S167</f>
        <v>2845.745249738796</v>
      </c>
      <c r="T168" s="37">
        <f>S168+T167</f>
        <v>3655.5387335763385</v>
      </c>
      <c r="U168" s="37">
        <f>T168+U167</f>
        <v>4457.628844694013</v>
      </c>
      <c r="V168" s="37">
        <f>U168+V167</f>
        <v>5251.727356077938</v>
      </c>
      <c r="W168" s="37">
        <f>V168+W167</f>
        <v>6037.502362636059</v>
      </c>
      <c r="X168" s="37">
        <f>W168+X167</f>
        <v>6814.587803985235</v>
      </c>
      <c r="Y168" s="37">
        <f>X168+Y167</f>
        <v>7582.588780701275</v>
      </c>
      <c r="Z168" s="37">
        <f>Y168+Z167</f>
        <v>8341.084326775645</v>
      </c>
      <c r="AA168" s="37">
        <f>Z168+AA167</f>
        <v>9089.6286349315</v>
      </c>
      <c r="AB168" s="37">
        <f>AA168+AB167</f>
        <v>9827.751331747428</v>
      </c>
      <c r="AC168" s="37">
        <f>AB168+AC167</f>
        <v>11598.68904227504</v>
      </c>
    </row>
    <row r="169" spans="1:29" x14ac:dyDescent="0.25">
      <c r="A169" s="33" t="s">
        <v>231</v>
      </c>
      <c r="B169" s="26" t="s">
        <v>92</v>
      </c>
      <c r="E169" s="44" t="str">
        <f>IF(E168&gt;=0,E$5,"")</f>
        <v/>
      </c>
      <c r="F169" s="44" t="str">
        <f>IF(F168&gt;=0,F$5,"")</f>
        <v/>
      </c>
      <c r="G169" s="44" t="str">
        <f>IF(G168&gt;=0,G$5,"")</f>
        <v/>
      </c>
      <c r="H169" s="44" t="str">
        <f>IF(H168&gt;=0,H$5,"")</f>
        <v/>
      </c>
      <c r="I169" s="44" t="str">
        <f>IF(I168&gt;=0,I$5,"")</f>
        <v/>
      </c>
      <c r="J169" s="44" t="str">
        <f>IF(J168&gt;=0,J$5,"")</f>
        <v/>
      </c>
      <c r="K169" s="44" t="str">
        <f>IF(K168&gt;=0,K$5,"")</f>
        <v/>
      </c>
      <c r="L169" s="44" t="str">
        <f>IF(L168&gt;=0,L$5,"")</f>
        <v/>
      </c>
      <c r="M169" s="44">
        <f>IF(M168&gt;=0,M$5,"")</f>
        <v>9</v>
      </c>
      <c r="N169" s="44">
        <f>IF(N168&gt;=0,N$5,"")</f>
        <v>10</v>
      </c>
      <c r="O169" s="44">
        <f>IF(O168&gt;=0,O$5,"")</f>
        <v>11</v>
      </c>
      <c r="P169" s="44">
        <f>IF(P168&gt;=0,P$5,"")</f>
        <v>12</v>
      </c>
      <c r="Q169" s="44">
        <f>IF(Q168&gt;=0,Q$5,"")</f>
        <v>13</v>
      </c>
      <c r="R169" s="44">
        <f>IF(R168&gt;=0,R$5,"")</f>
        <v>14</v>
      </c>
      <c r="S169" s="44">
        <f>IF(S168&gt;=0,S$5,"")</f>
        <v>15</v>
      </c>
      <c r="T169" s="44">
        <f>IF(T168&gt;=0,T$5,"")</f>
        <v>16</v>
      </c>
      <c r="U169" s="44">
        <f>IF(U168&gt;=0,U$5,"")</f>
        <v>17</v>
      </c>
      <c r="V169" s="44">
        <f>IF(V168&gt;=0,V$5,"")</f>
        <v>18</v>
      </c>
      <c r="W169" s="44">
        <f>IF(W168&gt;=0,W$5,"")</f>
        <v>19</v>
      </c>
      <c r="X169" s="44">
        <f>IF(X168&gt;=0,X$5,"")</f>
        <v>20</v>
      </c>
      <c r="Y169" s="44">
        <f>IF(Y168&gt;=0,Y$5,"")</f>
        <v>21</v>
      </c>
      <c r="Z169" s="44">
        <f>IF(Z168&gt;=0,Z$5,"")</f>
        <v>22</v>
      </c>
      <c r="AA169" s="44">
        <f>IF(AA168&gt;=0,AA$5,"")</f>
        <v>23</v>
      </c>
      <c r="AB169" s="44">
        <f>IF(AB168&gt;=0,AB$5,"")</f>
        <v>24</v>
      </c>
      <c r="AC169" s="44">
        <f>IF(AC168&gt;=0,AC$5,"")</f>
        <v>25</v>
      </c>
    </row>
    <row r="170" spans="1:29" x14ac:dyDescent="0.25">
      <c r="A170" s="33" t="s">
        <v>232</v>
      </c>
      <c r="B170" s="26" t="s">
        <v>86</v>
      </c>
      <c r="C170" s="56">
        <f>SUM(E170:AC170)</f>
        <v>5553.870452223326</v>
      </c>
      <c r="E170" s="37">
        <f>MAX(0,(E121-E143)*$C$68)</f>
        <v>0</v>
      </c>
      <c r="F170" s="37">
        <f>MAX(0,(F121-F143)*$C$68)</f>
        <v>0</v>
      </c>
      <c r="G170" s="37">
        <f>MAX(0,(G121-G143)*$C$68)</f>
        <v>0</v>
      </c>
      <c r="H170" s="37">
        <f>MAX(0,(H121-H143)*$C$68)</f>
        <v>108.46836763889829</v>
      </c>
      <c r="I170" s="37">
        <f>MAX(0,(I121-I143)*$C$68)</f>
        <v>181.6792678390604</v>
      </c>
      <c r="J170" s="37">
        <f>MAX(0,(J121-J143)*$C$68)</f>
        <v>224.94633751674655</v>
      </c>
      <c r="K170" s="37">
        <f>MAX(0,(K121-K143)*$C$68)</f>
        <v>250.21733413900603</v>
      </c>
      <c r="L170" s="37">
        <f>MAX(0,(L121-L143)*$C$68)</f>
        <v>264.6594234489712</v>
      </c>
      <c r="M170" s="37">
        <f>MAX(0,(M121-M143)*$C$68)</f>
        <v>272.57134171856984</v>
      </c>
      <c r="N170" s="37">
        <f>MAX(0,(N121-N143)*$C$68)</f>
        <v>276.53068937830886</v>
      </c>
      <c r="O170" s="37">
        <f>MAX(0,(O121-O143)*$C$68)</f>
        <v>278.08230328721055</v>
      </c>
      <c r="P170" s="37">
        <f>MAX(0,(P121-P143)*$C$68)</f>
        <v>278.15127599144193</v>
      </c>
      <c r="Q170" s="37">
        <f>MAX(0,(Q121-Q143)*$C$68)</f>
        <v>277.29076297099544</v>
      </c>
      <c r="R170" s="37">
        <f>MAX(0,(R121-R143)*$C$68)</f>
        <v>275.83066246377206</v>
      </c>
      <c r="S170" s="37">
        <f>MAX(0,(S121-S143)*$C$68)</f>
        <v>273.9668186099143</v>
      </c>
      <c r="T170" s="37">
        <f>MAX(0,(T121-T143)*$C$68)</f>
        <v>271.8145383507793</v>
      </c>
      <c r="U170" s="37">
        <f>MAX(0,(U121-U143)*$C$68)</f>
        <v>269.44069633131596</v>
      </c>
      <c r="V170" s="37">
        <f>MAX(0,(V121-V143)*$C$68)</f>
        <v>266.88299234263627</v>
      </c>
      <c r="W170" s="37">
        <f>MAX(0,(W121-W143)*$C$68)</f>
        <v>264.16150001375587</v>
      </c>
      <c r="X170" s="37">
        <f>MAX(0,(X121-X143)*$C$68)</f>
        <v>261.2855899641509</v>
      </c>
      <c r="Y170" s="37">
        <f>MAX(0,(Y121-Y143)*$C$68)</f>
        <v>258.2580773296767</v>
      </c>
      <c r="Z170" s="37">
        <f>MAX(0,(Z121-Z143)*$C$68)</f>
        <v>255.07770359422506</v>
      </c>
      <c r="AA170" s="37">
        <f>MAX(0,(AA121-AA143)*$C$68)</f>
        <v>251.74061867062764</v>
      </c>
      <c r="AB170" s="37">
        <f>MAX(0,(AB121-AB143)*$C$68)</f>
        <v>248.2412627802061</v>
      </c>
      <c r="AC170" s="37">
        <f>MAX(0,(AC121-AC143)*$C$68)</f>
        <v>244.5728878430563</v>
      </c>
    </row>
    <row r="171" spans="1:29" x14ac:dyDescent="0.25">
      <c r="A171" s="60" t="s">
        <v>233</v>
      </c>
      <c r="B171" s="61" t="s">
        <v>86</v>
      </c>
      <c r="C171" s="62">
        <f>SUM(E171:AC171)</f>
        <v>22863.63704299202</v>
      </c>
      <c r="D171" s="62">
        <f>-$C$83</f>
        <v>-8761.255396840166</v>
      </c>
      <c r="E171" s="62">
        <f>E121-E170-E161-E125+E165</f>
        <v>1089.3722705333994</v>
      </c>
      <c r="F171" s="62">
        <f>F121-F170-F161-F125+F165</f>
        <v>1183.964899980638</v>
      </c>
      <c r="G171" s="62">
        <f>G121-G170-G161-G125+G165</f>
        <v>1178.5607245767737</v>
      </c>
      <c r="H171" s="62">
        <f>H121-H170-H161-H125+H165</f>
        <v>1064.4497445176853</v>
      </c>
      <c r="I171" s="62">
        <f>I121-I170-I161-I125+I165</f>
        <v>985.3458730301918</v>
      </c>
      <c r="J171" s="62">
        <f>J121-J170-J161-J125+J165</f>
        <v>935.9229552546755</v>
      </c>
      <c r="K171" s="62">
        <f>K121-K170-K161-K125+K165</f>
        <v>904.220089883562</v>
      </c>
      <c r="L171" s="62">
        <f>L121-L170-L161-L125+L165</f>
        <v>883.0563101411676</v>
      </c>
      <c r="M171" s="62">
        <f>M121-M170-M161-M125+M165</f>
        <v>868.1183886713864</v>
      </c>
      <c r="N171" s="62">
        <f>N121-N170-N161-N125+N165</f>
        <v>856.8135094053234</v>
      </c>
      <c r="O171" s="62">
        <f>O121-O170-O161-O125+O165</f>
        <v>847.5808590636493</v>
      </c>
      <c r="P171" s="62">
        <f>P121-P170-P161-P125+P165</f>
        <v>839.4785698588745</v>
      </c>
      <c r="Q171" s="62">
        <f>Q121-Q170-Q161-Q125+Q165</f>
        <v>831.9358723076186</v>
      </c>
      <c r="R171" s="62">
        <f>R121-R170-R161-R125+R165</f>
        <v>824.6043734684218</v>
      </c>
      <c r="S171" s="62">
        <f>S121-S170-S161-S125+S165</f>
        <v>817.2688097624065</v>
      </c>
      <c r="T171" s="62">
        <f>T121-T170-T161-T125+T165</f>
        <v>809.7934838375427</v>
      </c>
      <c r="U171" s="62">
        <f>U121-U170-U161-U125+U165</f>
        <v>802.0901111176747</v>
      </c>
      <c r="V171" s="62">
        <f>V121-V170-V161-V125+V165</f>
        <v>794.0985113839245</v>
      </c>
      <c r="W171" s="62">
        <f>W121-W170-W161-W125+W165</f>
        <v>785.7750065581212</v>
      </c>
      <c r="X171" s="62">
        <f>X121-X170-X161-X125+X165</f>
        <v>777.0854413491759</v>
      </c>
      <c r="Y171" s="62">
        <f>Y121-Y170-Y161-Y125+Y165</f>
        <v>768.0009767160401</v>
      </c>
      <c r="Z171" s="62">
        <f>Z121-Z170-Z161-Z125+Z165</f>
        <v>758.4955460743695</v>
      </c>
      <c r="AA171" s="62">
        <f>AA121-AA170-AA161-AA125+AA165</f>
        <v>748.5443081558558</v>
      </c>
      <c r="AB171" s="62">
        <f>AB121-AB170-AB161-AB125+AB165</f>
        <v>738.1226968159287</v>
      </c>
      <c r="AC171" s="62">
        <f>AC121-AC170-AC161-AC125+AC165</f>
        <v>1770.9377105276133</v>
      </c>
    </row>
    <row r="173" ht="20" customHeight="1" spans="1:29" x14ac:dyDescent="0.25">
      <c r="A173" s="21" t="s">
        <v>234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x14ac:dyDescent="0.25">
      <c r="A174" s="33" t="s">
        <v>235</v>
      </c>
      <c r="B174" s="26" t="s">
        <v>86</v>
      </c>
      <c r="C174" s="56">
        <f>SUM(E174:AC174)</f>
        <v>6636.090328180016</v>
      </c>
      <c r="E174" s="37">
        <f>E120+E125</f>
        <v>115.865307353042</v>
      </c>
      <c r="F174" s="37">
        <f>F120+F125</f>
        <v>190.20211852963547</v>
      </c>
      <c r="G174" s="37">
        <f>G120+G125</f>
        <v>194.97085885614416</v>
      </c>
      <c r="H174" s="37">
        <f>H120+H125</f>
        <v>199.9780361989783</v>
      </c>
      <c r="I174" s="37">
        <f>I120+I125</f>
        <v>205.23557240895408</v>
      </c>
      <c r="J174" s="37">
        <f>J120+J125</f>
        <v>210.7559854294287</v>
      </c>
      <c r="K174" s="37">
        <f>K120+K125</f>
        <v>216.55241910092707</v>
      </c>
      <c r="L174" s="37">
        <f>L120+L125</f>
        <v>222.63867445600033</v>
      </c>
      <c r="M174" s="37">
        <f>M120+M125</f>
        <v>229.02924257882725</v>
      </c>
      <c r="N174" s="37">
        <f>N120+N125</f>
        <v>235.73933910779553</v>
      </c>
      <c r="O174" s="37">
        <f>O120+O125</f>
        <v>242.78494046321225</v>
      </c>
      <c r="P174" s="37">
        <f>P120+P125</f>
        <v>250.18282188639972</v>
      </c>
      <c r="Q174" s="37">
        <f>Q120+Q125</f>
        <v>257.9505973807467</v>
      </c>
      <c r="R174" s="37">
        <f>R120+R125</f>
        <v>266.1067616498109</v>
      </c>
      <c r="S174" s="37">
        <f>S120+S125</f>
        <v>274.67073413232833</v>
      </c>
      <c r="T174" s="37">
        <f>T120+T125</f>
        <v>283.6629052389717</v>
      </c>
      <c r="U174" s="37">
        <f>U120+U125</f>
        <v>293.1046849009472</v>
      </c>
      <c r="V174" s="37">
        <f>V120+V125</f>
        <v>303.01855354602145</v>
      </c>
      <c r="W174" s="37">
        <f>W120+W125</f>
        <v>313.42811562334947</v>
      </c>
      <c r="X174" s="37">
        <f>X120+X125</f>
        <v>324.35815580454386</v>
      </c>
      <c r="Y174" s="37">
        <f>Y120+Y125</f>
        <v>335.8346979947979</v>
      </c>
      <c r="Z174" s="37">
        <f>Z120+Z125</f>
        <v>347.8850672945648</v>
      </c>
      <c r="AA174" s="37">
        <f>AA120+AA125</f>
        <v>360.5379550593199</v>
      </c>
      <c r="AB174" s="37">
        <f>AB120+AB125</f>
        <v>373.82348721231284</v>
      </c>
      <c r="AC174" s="37">
        <f>AC120+AC125</f>
        <v>387.77329597295534</v>
      </c>
    </row>
    <row r="175" spans="1:29" x14ac:dyDescent="0.25">
      <c r="A175" s="33" t="s">
        <v>236</v>
      </c>
      <c r="B175" s="26" t="s">
        <v>86</v>
      </c>
      <c r="C175" s="56">
        <f>SUM(E175:AC175)</f>
        <v>2046.1715655606613</v>
      </c>
      <c r="E175" s="37">
        <f>E174*E105</f>
        <v>105.33209759367455</v>
      </c>
      <c r="F175" s="37">
        <f>F174*F105</f>
        <v>157.1918334955665</v>
      </c>
      <c r="G175" s="37">
        <f>G174*G105</f>
        <v>146.48449200311353</v>
      </c>
      <c r="H175" s="37">
        <f>H174*H105</f>
        <v>136.58768950138528</v>
      </c>
      <c r="I175" s="37">
        <f>I174*I105</f>
        <v>127.43514315897076</v>
      </c>
      <c r="J175" s="37">
        <f>J174*J105</f>
        <v>118.96625937770622</v>
      </c>
      <c r="K175" s="37">
        <f>K174*K105</f>
        <v>111.12563188413903</v>
      </c>
      <c r="L175" s="37">
        <f>L174*L105</f>
        <v>103.86258475383633</v>
      </c>
      <c r="M175" s="37">
        <f>M174*M105</f>
        <v>97.13075631533466</v>
      </c>
      <c r="N175" s="37">
        <f>N174*N105</f>
        <v>90.88772024756327</v>
      </c>
      <c r="O175" s="37">
        <f>O174*O105</f>
        <v>85.0946405183089</v>
      </c>
      <c r="P175" s="37">
        <f>P174*P105</f>
        <v>79.71595711474802</v>
      </c>
      <c r="Q175" s="37">
        <f>Q174*Q105</f>
        <v>74.71909979300204</v>
      </c>
      <c r="R175" s="37">
        <f>R174*R105</f>
        <v>70.0742273245737</v>
      </c>
      <c r="S175" s="37">
        <f>S174*S105</f>
        <v>65.75398994567068</v>
      </c>
      <c r="T175" s="37">
        <f>T174*T105</f>
        <v>61.733312922880195</v>
      </c>
      <c r="U175" s="37">
        <f>U174*U105</f>
        <v>57.98919933730628</v>
      </c>
      <c r="V175" s="37">
        <f>V174*V105</f>
        <v>54.50055036082766</v>
      </c>
      <c r="W175" s="37">
        <f>W174*W105</f>
        <v>51.24800145412793</v>
      </c>
      <c r="X175" s="37">
        <f>X174*X105</f>
        <v>48.21377305800778</v>
      </c>
      <c r="Y175" s="37">
        <f>Y174*Y105</f>
        <v>45.38153447849026</v>
      </c>
      <c r="Z175" s="37">
        <f>Z174*Z105</f>
        <v>42.736279783543296</v>
      </c>
      <c r="AA175" s="37">
        <f>AA174*AA105</f>
        <v>40.26421463593004</v>
      </c>
      <c r="AB175" s="37">
        <f>AB174*AB105</f>
        <v>37.952653083720485</v>
      </c>
      <c r="AC175" s="37">
        <f>AC174*AC105</f>
        <v>35.789923418234</v>
      </c>
    </row>
    <row r="176" spans="1:29" x14ac:dyDescent="0.25">
      <c r="A176" s="33" t="s">
        <v>237</v>
      </c>
      <c r="B176" s="26" t="s">
        <v>180</v>
      </c>
      <c r="C176" s="57">
        <f>SUM(E176:AC176)</f>
        <v>15752.893421011824</v>
      </c>
      <c r="E176" s="58">
        <f>E95*E105</f>
        <v>1583.1538520501772</v>
      </c>
      <c r="F176" s="58">
        <f>F95*F105</f>
        <v>1438.565522770419</v>
      </c>
      <c r="G176" s="58">
        <f>G95*G105</f>
        <v>1307.1820644997888</v>
      </c>
      <c r="H176" s="58">
        <f>H95*H105</f>
        <v>1187.797536470344</v>
      </c>
      <c r="I176" s="58">
        <f>I95*I105</f>
        <v>1079.3161287065857</v>
      </c>
      <c r="J176" s="58">
        <f>J95*J105</f>
        <v>980.7421046976397</v>
      </c>
      <c r="K176" s="58">
        <f>K95*K105</f>
        <v>891.1706625026626</v>
      </c>
      <c r="L176" s="58">
        <f>L95*L105</f>
        <v>809.7796304200147</v>
      </c>
      <c r="M176" s="58">
        <f>M95*M105</f>
        <v>735.8219210093966</v>
      </c>
      <c r="N176" s="58">
        <f>N95*N105</f>
        <v>668.6186742154199</v>
      </c>
      <c r="O176" s="58">
        <f>O95*O105</f>
        <v>607.5530266648983</v>
      </c>
      <c r="P176" s="58">
        <f>P95*P105</f>
        <v>552.0644499564928</v>
      </c>
      <c r="Q176" s="58">
        <f>Q95*Q105</f>
        <v>501.6436059829636</v>
      </c>
      <c r="R176" s="58">
        <f>R95*R105</f>
        <v>455.8276720710969</v>
      </c>
      <c r="S176" s="58">
        <f>S95*S105</f>
        <v>414.1960930359085</v>
      </c>
      <c r="T176" s="58">
        <f>T95*T105</f>
        <v>376.3667211635555</v>
      </c>
      <c r="U176" s="58">
        <f>U95*U105</f>
        <v>341.99230869744906</v>
      </c>
      <c r="V176" s="58">
        <f>V95*V105</f>
        <v>310.75732063705163</v>
      </c>
      <c r="W176" s="58">
        <f>W95*W105</f>
        <v>282.37503859840047</v>
      </c>
      <c r="X176" s="58">
        <f>X95*X105</f>
        <v>256.5849291565532</v>
      </c>
      <c r="Y176" s="58">
        <f>Y95*Y105</f>
        <v>233.15025251736904</v>
      </c>
      <c r="Z176" s="58">
        <f>Z95*Z105</f>
        <v>211.8558895716188</v>
      </c>
      <c r="AA176" s="58">
        <f>AA95*AA105</f>
        <v>192.50636738858867</v>
      </c>
      <c r="AB176" s="58">
        <f>AB95*AB105</f>
        <v>174.92406502750106</v>
      </c>
      <c r="AC176" s="58">
        <f>AC95*AC105</f>
        <v>158.94758319992866</v>
      </c>
    </row>
    <row r="177" spans="1:29" x14ac:dyDescent="0.25">
      <c r="A177" s="33" t="s">
        <v>238</v>
      </c>
      <c r="B177" s="26" t="s">
        <v>86</v>
      </c>
      <c r="C177" s="56">
        <f>SUM(E177:AC177)</f>
        <v>12435.409113584503</v>
      </c>
      <c r="E177" s="37">
        <f>E109*E105</f>
        <v>1249.7491929788384</v>
      </c>
      <c r="F177" s="37">
        <f>F109*F105</f>
        <v>1135.6104770242698</v>
      </c>
      <c r="G177" s="37">
        <f>G109*G105</f>
        <v>1031.8957491525248</v>
      </c>
      <c r="H177" s="37">
        <f>H109*H105</f>
        <v>937.6530339762685</v>
      </c>
      <c r="I177" s="37">
        <f>I109*I105</f>
        <v>852.0172938803851</v>
      </c>
      <c r="J177" s="37">
        <f>J109*J105</f>
        <v>774.2024897194865</v>
      </c>
      <c r="K177" s="37">
        <f>K109*K105</f>
        <v>703.4943665309794</v>
      </c>
      <c r="L177" s="37">
        <f>L109*L105</f>
        <v>639.2438980567506</v>
      </c>
      <c r="M177" s="37">
        <f>M109*M105</f>
        <v>580.8613299122908</v>
      </c>
      <c r="N177" s="37">
        <f>N109*N105</f>
        <v>527.8107667357764</v>
      </c>
      <c r="O177" s="37">
        <f>O109*O105</f>
        <v>479.60525364166705</v>
      </c>
      <c r="P177" s="37">
        <f>P109*P105</f>
        <v>435.8023068395793</v>
      </c>
      <c r="Q177" s="37">
        <f>Q109*Q105</f>
        <v>395.9998524011633</v>
      </c>
      <c r="R177" s="37">
        <f>R109*R105</f>
        <v>359.83253590328917</v>
      </c>
      <c r="S177" s="37">
        <f>S109*S105</f>
        <v>326.968369079399</v>
      </c>
      <c r="T177" s="37">
        <f>T109*T105</f>
        <v>297.10568270362717</v>
      </c>
      <c r="U177" s="37">
        <f>U109*U105</f>
        <v>269.97035774262855</v>
      </c>
      <c r="V177" s="37">
        <f>V109*V105</f>
        <v>245.31330936376506</v>
      </c>
      <c r="W177" s="37">
        <f>W109*W105</f>
        <v>222.90820070880542</v>
      </c>
      <c r="X177" s="37">
        <f>X109*X105</f>
        <v>202.54936545091476</v>
      </c>
      <c r="Y177" s="37">
        <f>Y109*Y105</f>
        <v>184.04992006876614</v>
      </c>
      <c r="Z177" s="37">
        <f>Z109*Z105</f>
        <v>167.2400485127032</v>
      </c>
      <c r="AA177" s="37">
        <f>AA109*AA105</f>
        <v>151.9654435199841</v>
      </c>
      <c r="AB177" s="37">
        <f>AB109*AB105</f>
        <v>138.08589027377016</v>
      </c>
      <c r="AC177" s="37">
        <f>AC109*AC105</f>
        <v>125.47397940686797</v>
      </c>
    </row>
    <row r="179" ht="20" customHeight="1" spans="1:29" x14ac:dyDescent="0.25">
      <c r="A179" s="21" t="s">
        <v>239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3" x14ac:dyDescent="0.25">
      <c r="A180" s="25" t="s">
        <v>7</v>
      </c>
      <c r="B180" s="26" t="s">
        <v>83</v>
      </c>
      <c r="C180" s="64">
        <f>IFERROR(IRR(D167:AC167),"n/a")</f>
        <v>0.1400000000002308</v>
      </c>
    </row>
    <row r="181" spans="1:3" x14ac:dyDescent="0.25">
      <c r="A181" s="33" t="s">
        <v>9</v>
      </c>
      <c r="B181" s="26" t="s">
        <v>83</v>
      </c>
      <c r="C181" s="32">
        <f>IFERROR(IRR(D171:AC171),"n/a")</f>
        <v>0.09989827657152886</v>
      </c>
    </row>
    <row r="182" spans="1:3" x14ac:dyDescent="0.25">
      <c r="A182" s="33" t="s">
        <v>85</v>
      </c>
      <c r="B182" s="26" t="s">
        <v>86</v>
      </c>
      <c r="C182" s="37">
        <f>D167+NPV($C$65,E167:AC167)</f>
        <v>4.263256414560601e-13</v>
      </c>
    </row>
    <row r="183" spans="1:3" x14ac:dyDescent="0.25">
      <c r="A183" s="33" t="s">
        <v>87</v>
      </c>
      <c r="B183" s="26" t="s">
        <v>86</v>
      </c>
      <c r="C183" s="37">
        <f>D171+NPV($C$66,E171:AC171)</f>
        <v>-6.325984518881739</v>
      </c>
    </row>
    <row r="184" spans="1:3" x14ac:dyDescent="0.25">
      <c r="A184" s="33" t="s">
        <v>11</v>
      </c>
      <c r="B184" s="26" t="s">
        <v>88</v>
      </c>
      <c r="C184" s="40">
        <f>IF(COUNT(E164:AC164)=0,"",MIN(E164:AC164))</f>
        <v>1.1337970758308547</v>
      </c>
    </row>
    <row r="185" spans="1:3" x14ac:dyDescent="0.25">
      <c r="A185" s="33" t="s">
        <v>12</v>
      </c>
      <c r="B185" s="26" t="s">
        <v>88</v>
      </c>
      <c r="C185" s="40">
        <f>IF(COUNT(E164:AC164)=0,"",AVERAGE(E164:AC164))</f>
        <v>1.5616203875263572</v>
      </c>
    </row>
    <row r="186" spans="1:3" x14ac:dyDescent="0.25">
      <c r="A186" s="33" t="s">
        <v>240</v>
      </c>
      <c r="B186" s="26" t="s">
        <v>82</v>
      </c>
      <c r="C186" s="29">
        <f>IF(C176&gt;0,($C$83+C175)*10/C176,"")</f>
        <v>6.860598033365387</v>
      </c>
    </row>
    <row r="187" spans="1:3" x14ac:dyDescent="0.25">
      <c r="A187" s="33" t="s">
        <v>90</v>
      </c>
      <c r="B187" s="26" t="s">
        <v>82</v>
      </c>
      <c r="C187" s="29">
        <f>IF(C176&gt;0,C177*10/C176,"")</f>
        <v>7.89404764016093</v>
      </c>
    </row>
    <row r="188" spans="1:3" x14ac:dyDescent="0.25">
      <c r="A188" s="33" t="s">
        <v>91</v>
      </c>
      <c r="B188" s="26" t="s">
        <v>92</v>
      </c>
      <c r="C188" s="44">
        <f>IF(COUNT(E169:AC169)=0,"beyond the term",MIN(E169:AC169))</f>
        <v>9</v>
      </c>
    </row>
    <row r="190" ht="20" customHeight="1" spans="1:29" x14ac:dyDescent="0.25">
      <c r="A190" s="21" t="s">
        <v>241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3" x14ac:dyDescent="0.25">
      <c r="A191" s="33" t="s">
        <v>242</v>
      </c>
      <c r="C191" s="65" t="str">
        <f>IF(ABS($C$84+$C$85-$C$83)&lt;0.001,"OK","CHECK")</f>
        <v>OK</v>
      </c>
    </row>
    <row r="192" spans="1:3" x14ac:dyDescent="0.25">
      <c r="A192" s="33" t="s">
        <v>243</v>
      </c>
      <c r="C192" s="65" t="str">
        <f>IF(ABS(INDEX(E137:AC137,1,$C$87))&lt;0.01,"OK","CHECK")</f>
        <v>OK</v>
      </c>
    </row>
    <row r="193" spans="1:3" x14ac:dyDescent="0.25">
      <c r="A193" s="33" t="s">
        <v>244</v>
      </c>
      <c r="C193" s="65" t="str">
        <f>IF(ABS(C112-C120-C121)&lt;0.01,"OK","CHECK")</f>
        <v>OK</v>
      </c>
    </row>
    <row r="194" spans="1:3" x14ac:dyDescent="0.25">
      <c r="A194" s="33" t="s">
        <v>245</v>
      </c>
      <c r="C194" s="65" t="str">
        <f>IF(MIN(E155:AC155)&gt;=-1E-9,"OK","CHECK")</f>
        <v>OK</v>
      </c>
    </row>
    <row r="195" spans="1:3" x14ac:dyDescent="0.25">
      <c r="A195" s="33" t="s">
        <v>246</v>
      </c>
      <c r="C195" s="65" t="str">
        <f>IF(ISNUMBER($C$10),IF($C$10&gt;=$C$65-1E-5,"OK","Below target"),"No IRR")</f>
        <v>OK</v>
      </c>
    </row>
    <row r="196" spans="1:3" x14ac:dyDescent="0.25">
      <c r="A196" s="33" t="s">
        <v>247</v>
      </c>
      <c r="C196" s="65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91:C196">
    <cfRule type="expression" dxfId="2" priority="3">
      <formula>C191="OK"</formula>
    </cfRule>
    <cfRule type="expression" dxfId="3" priority="4">
      <formula>C191&lt;&gt;"OK"</formula>
    </cfRule>
  </conditionalFormatting>
  <dataValidations count="4">
    <dataValidation type="list" showErrorMessage="1" errorTitle="Choose from the list" error="One of: Yes, No" sqref="C51">
      <formula1>"Yes,No"</formula1>
    </dataValidation>
    <dataValidation type="list" showErrorMessage="1" errorTitle="Choose from the list" error="One of: annual, oneTime, none" sqref="C56">
      <formula1>"annual,oneTime,none"</formula1>
    </dataValidation>
    <dataValidation type="list" showErrorMessage="1" errorTitle="Choose from the list" error="One of: annuity, equal" sqref="C64">
      <formula1>"annuity,equal"</formula1>
    </dataValidation>
    <dataValidation type="list" showErrorMessage="1" errorTitle="Choose from the list" error="One of: wdv, slm" sqref="C69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" customWidth="1"/>
    <col min="4" max="4" width="60" customWidth="1"/>
    <col min="5" max="5" width="44" customWidth="1"/>
    <col min="6" max="6" width="12" customWidth="1"/>
  </cols>
  <sheetData>
    <row r="1" spans="1:6" s="66" customFormat="1" x14ac:dyDescent="0.25">
      <c r="A1" s="66" t="s">
        <v>248</v>
      </c>
      <c r="B1" s="66" t="s">
        <v>249</v>
      </c>
      <c r="C1" s="66" t="s">
        <v>250</v>
      </c>
      <c r="D1" s="66" t="s">
        <v>251</v>
      </c>
      <c r="E1" s="66" t="s">
        <v>252</v>
      </c>
      <c r="F1" s="66" t="s">
        <v>253</v>
      </c>
    </row>
    <row r="2" spans="1:6" s="67" customFormat="1" x14ac:dyDescent="0.25">
      <c r="A2" s="67" t="s">
        <v>254</v>
      </c>
      <c r="B2" s="67" t="s">
        <v>255</v>
      </c>
      <c r="C2" s="67">
        <v>1</v>
      </c>
      <c r="D2" s="67" t="s">
        <v>256</v>
      </c>
      <c r="E2" s="67" t="s">
        <v>257</v>
      </c>
      <c r="F2" s="68" t="s">
        <v>258</v>
      </c>
    </row>
    <row r="3" spans="1:6" s="67" customFormat="1" x14ac:dyDescent="0.25">
      <c r="A3" s="67" t="s">
        <v>259</v>
      </c>
      <c r="B3" s="67" t="s">
        <v>260</v>
      </c>
      <c r="C3" s="67">
        <v>2</v>
      </c>
      <c r="D3" s="67" t="s">
        <v>261</v>
      </c>
      <c r="E3" s="67" t="s">
        <v>262</v>
      </c>
      <c r="F3" s="68" t="s">
        <v>258</v>
      </c>
    </row>
    <row r="4" spans="1:6" s="67" customFormat="1" x14ac:dyDescent="0.25">
      <c r="A4" s="67" t="s">
        <v>263</v>
      </c>
      <c r="B4" s="67" t="s">
        <v>264</v>
      </c>
      <c r="C4" s="67">
        <v>2</v>
      </c>
      <c r="D4" s="67" t="s">
        <v>265</v>
      </c>
      <c r="E4" s="67" t="s">
        <v>262</v>
      </c>
      <c r="F4" s="68" t="s">
        <v>258</v>
      </c>
    </row>
    <row r="5" spans="1:6" s="67" customFormat="1" x14ac:dyDescent="0.25">
      <c r="A5" s="67" t="s">
        <v>266</v>
      </c>
      <c r="B5" s="67" t="s">
        <v>267</v>
      </c>
      <c r="C5" s="67">
        <v>2</v>
      </c>
      <c r="D5" s="67" t="s">
        <v>268</v>
      </c>
      <c r="E5" s="67" t="s">
        <v>269</v>
      </c>
      <c r="F5" s="68" t="s">
        <v>258</v>
      </c>
    </row>
    <row r="6" spans="1:6" s="67" customFormat="1" x14ac:dyDescent="0.25">
      <c r="A6" s="67" t="s">
        <v>270</v>
      </c>
      <c r="B6" s="67" t="s">
        <v>271</v>
      </c>
      <c r="C6" s="67">
        <v>2</v>
      </c>
      <c r="D6" s="67" t="s">
        <v>272</v>
      </c>
      <c r="E6" s="67" t="s">
        <v>273</v>
      </c>
      <c r="F6" s="68" t="s">
        <v>258</v>
      </c>
    </row>
    <row r="7" spans="1:6" s="67" customFormat="1" x14ac:dyDescent="0.25">
      <c r="A7" s="67" t="s">
        <v>274</v>
      </c>
      <c r="B7" s="67" t="s">
        <v>275</v>
      </c>
      <c r="C7" s="67">
        <v>19</v>
      </c>
      <c r="D7" s="67" t="s">
        <v>276</v>
      </c>
      <c r="E7" s="67" t="s">
        <v>277</v>
      </c>
      <c r="F7" s="68" t="s">
        <v>258</v>
      </c>
    </row>
    <row r="8" spans="1:6" s="67" customFormat="1" x14ac:dyDescent="0.25">
      <c r="A8" s="67" t="s">
        <v>60</v>
      </c>
      <c r="B8" s="67" t="s">
        <v>61</v>
      </c>
      <c r="C8" s="67">
        <v>34</v>
      </c>
      <c r="D8" s="67" t="s">
        <v>278</v>
      </c>
      <c r="E8" s="67" t="s">
        <v>279</v>
      </c>
      <c r="F8" s="68" t="s">
        <v>258</v>
      </c>
    </row>
    <row r="9" spans="1:6" s="67" customFormat="1" x14ac:dyDescent="0.25">
      <c r="A9" s="67" t="s">
        <v>64</v>
      </c>
      <c r="B9" s="67" t="s">
        <v>58</v>
      </c>
      <c r="C9" s="67">
        <v>60</v>
      </c>
      <c r="D9" s="67" t="s">
        <v>280</v>
      </c>
      <c r="E9" s="67" t="s">
        <v>281</v>
      </c>
      <c r="F9" s="69" t="s">
        <v>282</v>
      </c>
    </row>
    <row r="10" spans="1:6" s="67" customFormat="1" x14ac:dyDescent="0.25">
      <c r="A10" s="67" t="s">
        <v>62</v>
      </c>
      <c r="B10" s="67" t="s">
        <v>63</v>
      </c>
      <c r="C10" s="67">
        <v>2</v>
      </c>
      <c r="D10" s="67" t="s">
        <v>283</v>
      </c>
      <c r="E10" s="67" t="s">
        <v>284</v>
      </c>
      <c r="F10" s="69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6" customFormat="1" x14ac:dyDescent="0.25">
      <c r="A1" s="66" t="s">
        <v>286</v>
      </c>
      <c r="B1" s="66" t="s">
        <v>69</v>
      </c>
      <c r="C1" s="66" t="s">
        <v>287</v>
      </c>
      <c r="D1" s="66" t="s">
        <v>74</v>
      </c>
      <c r="E1" s="66" t="s">
        <v>288</v>
      </c>
    </row>
    <row r="2" spans="1:5" x14ac:dyDescent="0.25">
      <c r="A2" t="s">
        <v>289</v>
      </c>
      <c r="B2" t="s">
        <v>254</v>
      </c>
      <c r="C2" s="70">
        <v>200</v>
      </c>
      <c r="D2" t="s">
        <v>106</v>
      </c>
      <c r="E2" t="s">
        <v>290</v>
      </c>
    </row>
    <row r="3" spans="1:5" x14ac:dyDescent="0.25">
      <c r="A3" t="s">
        <v>289</v>
      </c>
      <c r="B3" t="s">
        <v>291</v>
      </c>
      <c r="C3" t="s">
        <v>134</v>
      </c>
      <c r="D3" t="s">
        <v>8</v>
      </c>
      <c r="E3" t="s">
        <v>290</v>
      </c>
    </row>
    <row r="4" spans="1:5" x14ac:dyDescent="0.25">
      <c r="A4" t="s">
        <v>38</v>
      </c>
      <c r="B4" t="s">
        <v>53</v>
      </c>
      <c r="C4" t="s">
        <v>292</v>
      </c>
      <c r="D4" t="s">
        <v>106</v>
      </c>
      <c r="E4" t="s">
        <v>293</v>
      </c>
    </row>
    <row r="5" spans="1:5" x14ac:dyDescent="0.25">
      <c r="A5" t="s">
        <v>38</v>
      </c>
      <c r="B5" t="s">
        <v>294</v>
      </c>
      <c r="C5" s="71">
        <v>0.25</v>
      </c>
      <c r="D5" t="s">
        <v>83</v>
      </c>
      <c r="E5" s="72" t="s">
        <v>104</v>
      </c>
    </row>
    <row r="6" spans="1:5" x14ac:dyDescent="0.25">
      <c r="A6" t="s">
        <v>38</v>
      </c>
      <c r="B6" t="s">
        <v>295</v>
      </c>
      <c r="C6" s="70">
        <v>1.4</v>
      </c>
      <c r="D6" t="s">
        <v>88</v>
      </c>
      <c r="E6" s="72" t="s">
        <v>104</v>
      </c>
    </row>
    <row r="7" spans="1:5" x14ac:dyDescent="0.25">
      <c r="A7" t="s">
        <v>38</v>
      </c>
      <c r="B7" t="s">
        <v>296</v>
      </c>
      <c r="C7" s="71">
        <v>0.005</v>
      </c>
      <c r="D7" t="s">
        <v>83</v>
      </c>
      <c r="E7" s="72" t="s">
        <v>104</v>
      </c>
    </row>
    <row r="8" spans="1:5" x14ac:dyDescent="0.25">
      <c r="A8" t="s">
        <v>38</v>
      </c>
      <c r="B8" t="s">
        <v>297</v>
      </c>
      <c r="C8" s="70">
        <v>4</v>
      </c>
      <c r="D8" t="s">
        <v>112</v>
      </c>
      <c r="E8" s="72" t="s">
        <v>104</v>
      </c>
    </row>
    <row r="9" spans="1:5" x14ac:dyDescent="0.25">
      <c r="A9" t="s">
        <v>38</v>
      </c>
      <c r="B9" t="s">
        <v>298</v>
      </c>
      <c r="C9" s="70">
        <v>4</v>
      </c>
      <c r="D9" t="s">
        <v>121</v>
      </c>
      <c r="E9" s="72" t="s">
        <v>104</v>
      </c>
    </row>
    <row r="10" spans="1:5" x14ac:dyDescent="0.25">
      <c r="A10" t="s">
        <v>40</v>
      </c>
      <c r="B10" t="s">
        <v>53</v>
      </c>
      <c r="C10" t="s">
        <v>292</v>
      </c>
      <c r="D10" t="s">
        <v>106</v>
      </c>
      <c r="E10" t="s">
        <v>293</v>
      </c>
    </row>
    <row r="11" spans="1:5" x14ac:dyDescent="0.25">
      <c r="A11" t="s">
        <v>40</v>
      </c>
      <c r="B11" t="s">
        <v>299</v>
      </c>
      <c r="C11" s="71">
        <v>0.33</v>
      </c>
      <c r="D11" t="s">
        <v>83</v>
      </c>
      <c r="E11" s="72" t="s">
        <v>104</v>
      </c>
    </row>
    <row r="12" spans="1:5" x14ac:dyDescent="0.25">
      <c r="A12" t="s">
        <v>40</v>
      </c>
      <c r="B12" t="s">
        <v>297</v>
      </c>
      <c r="C12" s="70">
        <v>6.5</v>
      </c>
      <c r="D12" t="s">
        <v>112</v>
      </c>
      <c r="E12" s="72" t="s">
        <v>104</v>
      </c>
    </row>
    <row r="13" spans="1:5" x14ac:dyDescent="0.25">
      <c r="A13" t="s">
        <v>40</v>
      </c>
      <c r="B13" t="s">
        <v>298</v>
      </c>
      <c r="C13" s="70">
        <v>9</v>
      </c>
      <c r="D13" t="s">
        <v>121</v>
      </c>
      <c r="E13" s="72" t="s">
        <v>104</v>
      </c>
    </row>
    <row r="14" spans="1:5" x14ac:dyDescent="0.25">
      <c r="A14" t="s">
        <v>42</v>
      </c>
      <c r="B14" t="s">
        <v>53</v>
      </c>
      <c r="C14" t="s">
        <v>292</v>
      </c>
      <c r="D14" t="s">
        <v>106</v>
      </c>
      <c r="E14" t="s">
        <v>293</v>
      </c>
    </row>
    <row r="15" spans="1:5" x14ac:dyDescent="0.25">
      <c r="A15" t="s">
        <v>42</v>
      </c>
      <c r="B15" t="s">
        <v>300</v>
      </c>
      <c r="C15" t="s">
        <v>301</v>
      </c>
      <c r="D15" t="s">
        <v>8</v>
      </c>
      <c r="E15" s="72" t="s">
        <v>104</v>
      </c>
    </row>
    <row r="16" spans="1:5" x14ac:dyDescent="0.25">
      <c r="A16" t="s">
        <v>42</v>
      </c>
      <c r="B16" t="s">
        <v>302</v>
      </c>
      <c r="C16" s="71">
        <v>0.87</v>
      </c>
      <c r="D16" t="s">
        <v>83</v>
      </c>
      <c r="E16" s="72" t="s">
        <v>104</v>
      </c>
    </row>
    <row r="17" spans="1:5" x14ac:dyDescent="0.25">
      <c r="A17" t="s">
        <v>42</v>
      </c>
      <c r="B17" t="s">
        <v>303</v>
      </c>
      <c r="C17" s="71">
        <v>0.05</v>
      </c>
      <c r="D17" t="s">
        <v>83</v>
      </c>
      <c r="E17" s="72" t="s">
        <v>104</v>
      </c>
    </row>
    <row r="18" spans="1:5" x14ac:dyDescent="0.25">
      <c r="A18" t="s">
        <v>42</v>
      </c>
      <c r="B18" t="s">
        <v>304</v>
      </c>
      <c r="C18" s="71">
        <v>0.95</v>
      </c>
      <c r="D18" t="s">
        <v>83</v>
      </c>
      <c r="E18" s="72" t="s">
        <v>104</v>
      </c>
    </row>
    <row r="19" spans="1:5" x14ac:dyDescent="0.25">
      <c r="A19" t="s">
        <v>42</v>
      </c>
      <c r="B19" t="s">
        <v>305</v>
      </c>
      <c r="C19" s="71">
        <v>0.02</v>
      </c>
      <c r="D19" t="s">
        <v>83</v>
      </c>
      <c r="E19" s="72" t="s">
        <v>104</v>
      </c>
    </row>
    <row r="20" spans="1:5" x14ac:dyDescent="0.25">
      <c r="A20" t="s">
        <v>42</v>
      </c>
      <c r="B20" t="s">
        <v>142</v>
      </c>
      <c r="C20" t="s">
        <v>306</v>
      </c>
      <c r="D20" t="s">
        <v>8</v>
      </c>
      <c r="E20" s="72" t="s">
        <v>104</v>
      </c>
    </row>
    <row r="21" spans="1:5" x14ac:dyDescent="0.25">
      <c r="A21" t="s">
        <v>42</v>
      </c>
      <c r="B21" t="s">
        <v>297</v>
      </c>
      <c r="C21" s="70">
        <v>1.2</v>
      </c>
      <c r="D21" t="s">
        <v>113</v>
      </c>
      <c r="E21" s="72" t="s">
        <v>104</v>
      </c>
    </row>
    <row r="22" spans="1:5" x14ac:dyDescent="0.25">
      <c r="A22" t="s">
        <v>42</v>
      </c>
      <c r="B22" t="s">
        <v>298</v>
      </c>
      <c r="C22" s="70">
        <v>1.2</v>
      </c>
      <c r="D22" t="s">
        <v>124</v>
      </c>
      <c r="E22" s="72" t="s">
        <v>104</v>
      </c>
    </row>
    <row r="23" spans="1:5" x14ac:dyDescent="0.25">
      <c r="A23" t="s">
        <v>44</v>
      </c>
      <c r="B23" t="s">
        <v>157</v>
      </c>
      <c r="C23" s="71">
        <v>0.14</v>
      </c>
      <c r="D23" t="s">
        <v>83</v>
      </c>
      <c r="E23" s="72" t="s">
        <v>104</v>
      </c>
    </row>
    <row r="24" spans="1:5" x14ac:dyDescent="0.25">
      <c r="A24" t="s">
        <v>44</v>
      </c>
      <c r="B24" t="s">
        <v>149</v>
      </c>
      <c r="C24" s="71">
        <v>0.7</v>
      </c>
      <c r="D24" t="s">
        <v>83</v>
      </c>
      <c r="E24" s="72" t="s">
        <v>104</v>
      </c>
    </row>
    <row r="25" spans="1:5" x14ac:dyDescent="0.25">
      <c r="A25" t="s">
        <v>44</v>
      </c>
      <c r="B25" t="s">
        <v>151</v>
      </c>
      <c r="C25" s="71">
        <v>0.09</v>
      </c>
      <c r="D25" t="s">
        <v>83</v>
      </c>
      <c r="E25" s="72" t="s">
        <v>104</v>
      </c>
    </row>
    <row r="26" spans="1:5" x14ac:dyDescent="0.25">
      <c r="A26" t="s">
        <v>44</v>
      </c>
      <c r="B26" t="s">
        <v>152</v>
      </c>
      <c r="C26" s="70">
        <v>15</v>
      </c>
      <c r="D26" t="s">
        <v>153</v>
      </c>
      <c r="E26" s="72" t="s">
        <v>104</v>
      </c>
    </row>
    <row r="27" spans="1:5" x14ac:dyDescent="0.25">
      <c r="A27" t="s">
        <v>44</v>
      </c>
      <c r="B27" t="s">
        <v>160</v>
      </c>
      <c r="C27" s="71">
        <v>0.2517</v>
      </c>
      <c r="D27" t="s">
        <v>83</v>
      </c>
      <c r="E27" s="72" t="s">
        <v>104</v>
      </c>
    </row>
    <row r="28" spans="1:5" x14ac:dyDescent="0.25">
      <c r="A28" t="s">
        <v>44</v>
      </c>
      <c r="B28" t="s">
        <v>125</v>
      </c>
      <c r="C28" s="71">
        <v>0.05</v>
      </c>
      <c r="D28" t="s">
        <v>83</v>
      </c>
      <c r="E28" s="72" t="s">
        <v>104</v>
      </c>
    </row>
    <row r="29" spans="1:5" x14ac:dyDescent="0.25">
      <c r="A29" t="s">
        <v>44</v>
      </c>
      <c r="B29" t="s">
        <v>126</v>
      </c>
      <c r="C29" s="71">
        <v>0.003</v>
      </c>
      <c r="D29" t="s">
        <v>83</v>
      </c>
      <c r="E29" s="72" t="s">
        <v>104</v>
      </c>
    </row>
    <row r="30" spans="1:5" x14ac:dyDescent="0.25">
      <c r="A30" t="s">
        <v>44</v>
      </c>
      <c r="B30" t="s">
        <v>102</v>
      </c>
      <c r="C30" s="71">
        <v>0</v>
      </c>
      <c r="D30" t="s">
        <v>83</v>
      </c>
      <c r="E30" s="72" t="s">
        <v>104</v>
      </c>
    </row>
    <row r="31" spans="1:5" x14ac:dyDescent="0.25">
      <c r="A31" t="s">
        <v>44</v>
      </c>
      <c r="B31" t="s">
        <v>307</v>
      </c>
      <c r="C31" s="71">
        <v>0.05</v>
      </c>
      <c r="D31" t="s">
        <v>83</v>
      </c>
      <c r="E31" s="72" t="s">
        <v>104</v>
      </c>
    </row>
    <row r="32" spans="1:5" x14ac:dyDescent="0.25">
      <c r="A32" t="s">
        <v>44</v>
      </c>
      <c r="B32" t="s">
        <v>116</v>
      </c>
      <c r="C32" s="70">
        <v>0</v>
      </c>
      <c r="D32" t="s">
        <v>86</v>
      </c>
      <c r="E32" s="72" t="s">
        <v>104</v>
      </c>
    </row>
    <row r="33" spans="1:5" x14ac:dyDescent="0.25">
      <c r="A33" t="s">
        <v>44</v>
      </c>
      <c r="B33" t="s">
        <v>154</v>
      </c>
      <c r="C33" t="s">
        <v>156</v>
      </c>
      <c r="D33" t="s">
        <v>8</v>
      </c>
      <c r="E33" t="s">
        <v>308</v>
      </c>
    </row>
    <row r="34" spans="1:5" x14ac:dyDescent="0.25">
      <c r="A34" t="s">
        <v>44</v>
      </c>
      <c r="B34" t="s">
        <v>161</v>
      </c>
      <c r="C34" t="s">
        <v>163</v>
      </c>
      <c r="D34" t="s">
        <v>8</v>
      </c>
      <c r="E34" t="s">
        <v>308</v>
      </c>
    </row>
    <row r="35" spans="1:5" x14ac:dyDescent="0.25">
      <c r="A35" t="s">
        <v>44</v>
      </c>
      <c r="B35" t="s">
        <v>164</v>
      </c>
      <c r="C35" s="71">
        <v>0.4</v>
      </c>
      <c r="D35" t="s">
        <v>83</v>
      </c>
      <c r="E35" t="s">
        <v>308</v>
      </c>
    </row>
    <row r="36" spans="1:5" x14ac:dyDescent="0.25">
      <c r="A36" t="s">
        <v>44</v>
      </c>
      <c r="B36" t="s">
        <v>165</v>
      </c>
      <c r="C36" s="70">
        <v>25</v>
      </c>
      <c r="D36" t="s">
        <v>153</v>
      </c>
      <c r="E36" t="s">
        <v>308</v>
      </c>
    </row>
    <row r="37" spans="1:5" x14ac:dyDescent="0.25">
      <c r="A37" t="s">
        <v>44</v>
      </c>
      <c r="B37" t="s">
        <v>166</v>
      </c>
      <c r="C37" s="71">
        <v>0.1</v>
      </c>
      <c r="D37" t="s">
        <v>83</v>
      </c>
      <c r="E37" t="s">
        <v>308</v>
      </c>
    </row>
    <row r="38" spans="1:5" x14ac:dyDescent="0.25">
      <c r="A38" t="s">
        <v>44</v>
      </c>
      <c r="B38" t="s">
        <v>167</v>
      </c>
      <c r="C38" s="70">
        <v>45</v>
      </c>
      <c r="D38" t="s">
        <v>168</v>
      </c>
      <c r="E38" t="s">
        <v>308</v>
      </c>
    </row>
    <row r="39" spans="1:5" x14ac:dyDescent="0.25">
      <c r="A39" t="s">
        <v>44</v>
      </c>
      <c r="B39" t="s">
        <v>309</v>
      </c>
      <c r="C39" s="71">
        <v>0.1</v>
      </c>
      <c r="D39" t="s">
        <v>83</v>
      </c>
      <c r="E39" t="s">
        <v>308</v>
      </c>
    </row>
    <row r="40" spans="1:5" x14ac:dyDescent="0.25">
      <c r="A40" t="s">
        <v>310</v>
      </c>
      <c r="B40" t="s">
        <v>311</v>
      </c>
      <c r="C40" t="s">
        <v>134</v>
      </c>
      <c r="D40" t="s">
        <v>8</v>
      </c>
      <c r="E40" s="7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6" customFormat="1" x14ac:dyDescent="0.25">
      <c r="A1" s="66" t="s">
        <v>312</v>
      </c>
      <c r="B1" s="66" t="s">
        <v>287</v>
      </c>
      <c r="C1" s="66" t="s">
        <v>313</v>
      </c>
    </row>
    <row r="2" spans="1:3" x14ac:dyDescent="0.25">
      <c r="A2" t="s">
        <v>29</v>
      </c>
      <c r="B2" s="11">
        <v>200</v>
      </c>
      <c r="C2" t="s">
        <v>30</v>
      </c>
    </row>
    <row r="3" spans="1:3" x14ac:dyDescent="0.25">
      <c r="A3" t="s">
        <v>31</v>
      </c>
      <c r="B3" s="11">
        <v>733.053371508033</v>
      </c>
      <c r="C3" t="s">
        <v>32</v>
      </c>
    </row>
    <row r="4" spans="1:3" x14ac:dyDescent="0.25">
      <c r="A4" t="s">
        <v>33</v>
      </c>
      <c r="B4" s="11">
        <v>295.70485949607377</v>
      </c>
      <c r="C4" t="s">
        <v>32</v>
      </c>
    </row>
    <row r="5" spans="1:3" x14ac:dyDescent="0.25">
      <c r="A5" t="s">
        <v>34</v>
      </c>
      <c r="B5" s="11">
        <v>727.0328512789135</v>
      </c>
      <c r="C5" t="s">
        <v>8</v>
      </c>
    </row>
    <row r="6" spans="1:3" x14ac:dyDescent="0.25">
      <c r="A6" t="s">
        <v>35</v>
      </c>
      <c r="B6" s="11">
        <v>2908.131405115654</v>
      </c>
      <c r="C6" t="s">
        <v>8</v>
      </c>
    </row>
    <row r="8" spans="1:3" s="66" customFormat="1" x14ac:dyDescent="0.25">
      <c r="A8" s="66" t="s">
        <v>297</v>
      </c>
      <c r="B8" s="66" t="s">
        <v>314</v>
      </c>
      <c r="C8" s="66" t="s">
        <v>313</v>
      </c>
    </row>
    <row r="9" spans="1:3" x14ac:dyDescent="0.25">
      <c r="A9" t="s">
        <v>38</v>
      </c>
      <c r="B9" s="8">
        <v>3078.8241603337387</v>
      </c>
      <c r="C9" t="s">
        <v>8</v>
      </c>
    </row>
    <row r="10" spans="1:3" x14ac:dyDescent="0.25">
      <c r="A10" t="s">
        <v>40</v>
      </c>
      <c r="B10" s="8">
        <v>2018.1856660607034</v>
      </c>
      <c r="C10" t="s">
        <v>8</v>
      </c>
    </row>
    <row r="11" spans="1:3" x14ac:dyDescent="0.25">
      <c r="A11" t="s">
        <v>42</v>
      </c>
      <c r="B11" s="8">
        <v>3664.2455704457243</v>
      </c>
      <c r="C11" t="s">
        <v>8</v>
      </c>
    </row>
    <row r="12" spans="1:3" x14ac:dyDescent="0.25">
      <c r="A12" t="s">
        <v>116</v>
      </c>
      <c r="B12" s="8">
        <v>0</v>
      </c>
      <c r="C12" t="s">
        <v>8</v>
      </c>
    </row>
    <row r="13" spans="1:3" x14ac:dyDescent="0.25">
      <c r="A13" t="s">
        <v>315</v>
      </c>
      <c r="B13" s="8">
        <v>8761.255396840166</v>
      </c>
      <c r="C13" t="s">
        <v>316</v>
      </c>
    </row>
    <row r="14" spans="1:3" x14ac:dyDescent="0.25">
      <c r="A14" t="s">
        <v>94</v>
      </c>
      <c r="B14" s="8">
        <v>6132.878777788116</v>
      </c>
      <c r="C14" t="s">
        <v>317</v>
      </c>
    </row>
    <row r="15" spans="1:3" x14ac:dyDescent="0.25">
      <c r="A15" t="s">
        <v>95</v>
      </c>
      <c r="B15" s="8">
        <v>2628.37661905205</v>
      </c>
      <c r="C1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6" customFormat="1" x14ac:dyDescent="0.25">
      <c r="A1" s="66" t="s">
        <v>73</v>
      </c>
      <c r="B1" s="66" t="s">
        <v>74</v>
      </c>
      <c r="C1" s="66" t="s">
        <v>318</v>
      </c>
      <c r="D1" s="66" t="s">
        <v>319</v>
      </c>
      <c r="E1" s="66" t="s">
        <v>320</v>
      </c>
      <c r="F1" s="66" t="s">
        <v>321</v>
      </c>
      <c r="G1" s="66" t="s">
        <v>322</v>
      </c>
      <c r="H1" s="66" t="s">
        <v>323</v>
      </c>
      <c r="I1" s="66" t="s">
        <v>324</v>
      </c>
      <c r="J1" s="66" t="s">
        <v>325</v>
      </c>
      <c r="K1" s="66" t="s">
        <v>326</v>
      </c>
      <c r="L1" s="66" t="s">
        <v>327</v>
      </c>
      <c r="M1" s="66" t="s">
        <v>328</v>
      </c>
      <c r="N1" s="66" t="s">
        <v>329</v>
      </c>
      <c r="O1" s="66" t="s">
        <v>330</v>
      </c>
      <c r="P1" s="66" t="s">
        <v>331</v>
      </c>
      <c r="Q1" s="66" t="s">
        <v>332</v>
      </c>
      <c r="R1" s="66" t="s">
        <v>333</v>
      </c>
      <c r="S1" s="66" t="s">
        <v>334</v>
      </c>
      <c r="T1" s="66" t="s">
        <v>335</v>
      </c>
      <c r="U1" s="66" t="s">
        <v>336</v>
      </c>
      <c r="V1" s="66" t="s">
        <v>337</v>
      </c>
      <c r="W1" s="66" t="s">
        <v>338</v>
      </c>
      <c r="X1" s="66" t="s">
        <v>339</v>
      </c>
      <c r="Y1" s="66" t="s">
        <v>340</v>
      </c>
      <c r="Z1" s="66" t="s">
        <v>341</v>
      </c>
      <c r="AA1" s="66" t="s">
        <v>342</v>
      </c>
      <c r="AB1" s="66" t="s">
        <v>343</v>
      </c>
    </row>
    <row r="2" spans="1:1" s="5" customFormat="1" x14ac:dyDescent="0.25">
      <c r="A2" s="5" t="s">
        <v>344</v>
      </c>
    </row>
    <row r="3" spans="1:28" x14ac:dyDescent="0.25">
      <c r="A3" t="s">
        <v>179</v>
      </c>
      <c r="B3" t="s">
        <v>180</v>
      </c>
      <c r="C3" s="73">
        <v>43800</v>
      </c>
      <c r="D3" s="73">
        <v>1752</v>
      </c>
      <c r="E3" s="73">
        <v>1752</v>
      </c>
      <c r="F3" s="73">
        <v>1752</v>
      </c>
      <c r="G3" s="73">
        <v>1752</v>
      </c>
      <c r="H3" s="73">
        <v>1752</v>
      </c>
      <c r="I3" s="73">
        <v>1752</v>
      </c>
      <c r="J3" s="73">
        <v>1752</v>
      </c>
      <c r="K3" s="73">
        <v>1752</v>
      </c>
      <c r="L3" s="73">
        <v>1752</v>
      </c>
      <c r="M3" s="73">
        <v>1752</v>
      </c>
      <c r="N3" s="73">
        <v>1752</v>
      </c>
      <c r="O3" s="73">
        <v>1752</v>
      </c>
      <c r="P3" s="73">
        <v>1752</v>
      </c>
      <c r="Q3" s="73">
        <v>1752</v>
      </c>
      <c r="R3" s="73">
        <v>1752</v>
      </c>
      <c r="S3" s="73">
        <v>1752</v>
      </c>
      <c r="T3" s="73">
        <v>1752</v>
      </c>
      <c r="U3" s="73">
        <v>1752</v>
      </c>
      <c r="V3" s="73">
        <v>1752</v>
      </c>
      <c r="W3" s="73">
        <v>1752</v>
      </c>
      <c r="X3" s="73">
        <v>1752</v>
      </c>
      <c r="Y3" s="73">
        <v>1752</v>
      </c>
      <c r="Z3" s="73">
        <v>1752</v>
      </c>
      <c r="AA3" s="73">
        <v>1752</v>
      </c>
      <c r="AB3" s="73">
        <v>1752</v>
      </c>
    </row>
    <row r="4" spans="1:28" x14ac:dyDescent="0.25">
      <c r="A4" t="s">
        <v>181</v>
      </c>
      <c r="B4" t="s">
        <v>180</v>
      </c>
      <c r="C4" s="73">
        <v>43295.24452048354</v>
      </c>
      <c r="D4" s="73">
        <v>1741.469237255195</v>
      </c>
      <c r="E4" s="73">
        <v>1740.6642825522072</v>
      </c>
      <c r="F4" s="73">
        <v>1739.8593278492194</v>
      </c>
      <c r="G4" s="73">
        <v>1739.0543731462315</v>
      </c>
      <c r="H4" s="73">
        <v>1738.249418443244</v>
      </c>
      <c r="I4" s="73">
        <v>1737.444463740256</v>
      </c>
      <c r="J4" s="73">
        <v>1736.6395090372685</v>
      </c>
      <c r="K4" s="73">
        <v>1735.8345543342803</v>
      </c>
      <c r="L4" s="73">
        <v>1735.0295996312927</v>
      </c>
      <c r="M4" s="73">
        <v>1734.224644928305</v>
      </c>
      <c r="N4" s="73">
        <v>1733.4196902253173</v>
      </c>
      <c r="O4" s="73">
        <v>1732.6147355223293</v>
      </c>
      <c r="P4" s="73">
        <v>1731.8097808193415</v>
      </c>
      <c r="Q4" s="73">
        <v>1731.0048261163538</v>
      </c>
      <c r="R4" s="73">
        <v>1730.1998714133658</v>
      </c>
      <c r="S4" s="73">
        <v>1729.3949167103783</v>
      </c>
      <c r="T4" s="73">
        <v>1728.5899620073906</v>
      </c>
      <c r="U4" s="73">
        <v>1727.7850073044028</v>
      </c>
      <c r="V4" s="73">
        <v>1726.9800526014149</v>
      </c>
      <c r="W4" s="73">
        <v>1726.175097898427</v>
      </c>
      <c r="X4" s="73">
        <v>1725.3701431954394</v>
      </c>
      <c r="Y4" s="73">
        <v>1724.5651884924516</v>
      </c>
      <c r="Z4" s="73">
        <v>1723.7602337894637</v>
      </c>
      <c r="AA4" s="73">
        <v>1722.955279086476</v>
      </c>
      <c r="AB4" s="73">
        <v>1722.1503243834882</v>
      </c>
    </row>
    <row r="5" spans="1:28" x14ac:dyDescent="0.25">
      <c r="A5" t="s">
        <v>182</v>
      </c>
      <c r="B5" t="s">
        <v>8</v>
      </c>
      <c r="D5" s="71">
        <v>0.9939892906707734</v>
      </c>
      <c r="E5" s="71">
        <v>0.9935298416393876</v>
      </c>
      <c r="F5" s="71">
        <v>0.9930703926080019</v>
      </c>
      <c r="G5" s="71">
        <v>0.9926109435766162</v>
      </c>
      <c r="H5" s="71">
        <v>0.9921514945452306</v>
      </c>
      <c r="I5" s="71">
        <v>0.9916920455138447</v>
      </c>
      <c r="J5" s="71">
        <v>0.9912325964824591</v>
      </c>
      <c r="K5" s="71">
        <v>0.9907731474510733</v>
      </c>
      <c r="L5" s="71">
        <v>0.9903136984196876</v>
      </c>
      <c r="M5" s="71">
        <v>0.9898542493883019</v>
      </c>
      <c r="N5" s="71">
        <v>0.9893948003569162</v>
      </c>
      <c r="O5" s="71">
        <v>0.9889353513255305</v>
      </c>
      <c r="P5" s="71">
        <v>0.9884759022941447</v>
      </c>
      <c r="Q5" s="71">
        <v>0.988016453262759</v>
      </c>
      <c r="R5" s="71">
        <v>0.9875570042313733</v>
      </c>
      <c r="S5" s="71">
        <v>0.9870975551999877</v>
      </c>
      <c r="T5" s="71">
        <v>0.9866381061686019</v>
      </c>
      <c r="U5" s="71">
        <v>0.9861786571372162</v>
      </c>
      <c r="V5" s="71">
        <v>0.9857192081058305</v>
      </c>
      <c r="W5" s="71">
        <v>0.9852597590744447</v>
      </c>
      <c r="X5" s="71">
        <v>0.984800310043059</v>
      </c>
      <c r="Y5" s="71">
        <v>0.9843408610116733</v>
      </c>
      <c r="Z5" s="71">
        <v>0.9838814119802876</v>
      </c>
      <c r="AA5" s="71">
        <v>0.9834219629489018</v>
      </c>
      <c r="AB5" s="71">
        <v>0.9829625139175161</v>
      </c>
    </row>
    <row r="6" spans="1:28" x14ac:dyDescent="0.25">
      <c r="A6" t="s">
        <v>184</v>
      </c>
      <c r="B6" t="s">
        <v>180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>
        <v>0</v>
      </c>
      <c r="AA6" s="73">
        <v>0</v>
      </c>
      <c r="AB6" s="73">
        <v>0</v>
      </c>
    </row>
    <row r="7" spans="1:28" x14ac:dyDescent="0.25">
      <c r="A7" t="s">
        <v>100</v>
      </c>
      <c r="B7" t="s">
        <v>82</v>
      </c>
      <c r="D7" s="74">
        <v>7.894047640160928</v>
      </c>
      <c r="E7" s="74">
        <v>7.894047640160928</v>
      </c>
      <c r="F7" s="74">
        <v>7.894047640160928</v>
      </c>
      <c r="G7" s="74">
        <v>7.894047640160928</v>
      </c>
      <c r="H7" s="74">
        <v>7.894047640160928</v>
      </c>
      <c r="I7" s="74">
        <v>7.894047640160928</v>
      </c>
      <c r="J7" s="74">
        <v>7.894047640160928</v>
      </c>
      <c r="K7" s="74">
        <v>7.894047640160928</v>
      </c>
      <c r="L7" s="74">
        <v>7.894047640160928</v>
      </c>
      <c r="M7" s="74">
        <v>7.894047640160928</v>
      </c>
      <c r="N7" s="74">
        <v>7.894047640160928</v>
      </c>
      <c r="O7" s="74">
        <v>7.894047640160928</v>
      </c>
      <c r="P7" s="74">
        <v>7.894047640160928</v>
      </c>
      <c r="Q7" s="74">
        <v>7.894047640160928</v>
      </c>
      <c r="R7" s="74">
        <v>7.894047640160928</v>
      </c>
      <c r="S7" s="74">
        <v>7.894047640160928</v>
      </c>
      <c r="T7" s="74">
        <v>7.894047640160928</v>
      </c>
      <c r="U7" s="74">
        <v>7.894047640160928</v>
      </c>
      <c r="V7" s="74">
        <v>7.894047640160928</v>
      </c>
      <c r="W7" s="74">
        <v>7.894047640160928</v>
      </c>
      <c r="X7" s="74">
        <v>7.894047640160928</v>
      </c>
      <c r="Y7" s="74">
        <v>7.894047640160928</v>
      </c>
      <c r="Z7" s="74">
        <v>7.894047640160928</v>
      </c>
      <c r="AA7" s="74">
        <v>7.894047640160928</v>
      </c>
      <c r="AB7" s="74">
        <v>7.894047640160928</v>
      </c>
    </row>
    <row r="8" spans="1:1" s="5" customFormat="1" x14ac:dyDescent="0.25">
      <c r="A8" s="5" t="s">
        <v>189</v>
      </c>
    </row>
    <row r="9" spans="1:28" x14ac:dyDescent="0.25">
      <c r="A9" t="s">
        <v>190</v>
      </c>
      <c r="B9" t="s">
        <v>8</v>
      </c>
      <c r="C9" s="75">
        <v>34177.472283711344</v>
      </c>
      <c r="D9" s="75">
        <v>1374.7241122767223</v>
      </c>
      <c r="E9" s="75">
        <v>1374.0886771993667</v>
      </c>
      <c r="F9" s="75">
        <v>1373.453242122011</v>
      </c>
      <c r="G9" s="75">
        <v>1372.8178070446552</v>
      </c>
      <c r="H9" s="75">
        <v>1372.1823719672998</v>
      </c>
      <c r="I9" s="75">
        <v>1371.5469368899437</v>
      </c>
      <c r="J9" s="75">
        <v>1370.911501812588</v>
      </c>
      <c r="K9" s="75">
        <v>1370.2760667352322</v>
      </c>
      <c r="L9" s="75">
        <v>1369.6406316578766</v>
      </c>
      <c r="M9" s="75">
        <v>1369.005196580521</v>
      </c>
      <c r="N9" s="75">
        <v>1368.3697615031654</v>
      </c>
      <c r="O9" s="75">
        <v>1367.7343264258095</v>
      </c>
      <c r="P9" s="75">
        <v>1367.098891348454</v>
      </c>
      <c r="Q9" s="75">
        <v>1366.463456271098</v>
      </c>
      <c r="R9" s="75">
        <v>1365.8280211937424</v>
      </c>
      <c r="S9" s="75">
        <v>1365.1925861163868</v>
      </c>
      <c r="T9" s="75">
        <v>1364.557151039031</v>
      </c>
      <c r="U9" s="75">
        <v>1363.9217159616753</v>
      </c>
      <c r="V9" s="75">
        <v>1363.2862808843197</v>
      </c>
      <c r="W9" s="75">
        <v>1362.6508458069638</v>
      </c>
      <c r="X9" s="75">
        <v>1362.0154107296082</v>
      </c>
      <c r="Y9" s="75">
        <v>1361.3799756522524</v>
      </c>
      <c r="Z9" s="75">
        <v>1360.7445405748967</v>
      </c>
      <c r="AA9" s="75">
        <v>1360.109105497541</v>
      </c>
      <c r="AB9" s="75">
        <v>1359.4736704201853</v>
      </c>
    </row>
    <row r="10" spans="1:28" x14ac:dyDescent="0.25">
      <c r="A10" t="s">
        <v>191</v>
      </c>
      <c r="B10" t="s">
        <v>8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</row>
    <row r="11" spans="1:28" x14ac:dyDescent="0.25">
      <c r="A11" t="s">
        <v>139</v>
      </c>
      <c r="B11" t="s">
        <v>8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0</v>
      </c>
      <c r="Z11" s="75">
        <v>0</v>
      </c>
      <c r="AA11" s="75">
        <v>0</v>
      </c>
      <c r="AB11" s="75">
        <v>0</v>
      </c>
    </row>
    <row r="12" spans="1:28" s="14" customFormat="1" x14ac:dyDescent="0.25">
      <c r="A12" s="14" t="s">
        <v>192</v>
      </c>
      <c r="B12" s="14" t="s">
        <v>8</v>
      </c>
      <c r="C12" s="76">
        <v>34177.472283711344</v>
      </c>
      <c r="D12" s="76">
        <v>1374.7241122767223</v>
      </c>
      <c r="E12" s="76">
        <v>1374.0886771993667</v>
      </c>
      <c r="F12" s="76">
        <v>1373.453242122011</v>
      </c>
      <c r="G12" s="76">
        <v>1372.8178070446552</v>
      </c>
      <c r="H12" s="76">
        <v>1372.1823719672998</v>
      </c>
      <c r="I12" s="76">
        <v>1371.5469368899437</v>
      </c>
      <c r="J12" s="76">
        <v>1370.911501812588</v>
      </c>
      <c r="K12" s="76">
        <v>1370.2760667352322</v>
      </c>
      <c r="L12" s="76">
        <v>1369.6406316578766</v>
      </c>
      <c r="M12" s="76">
        <v>1369.005196580521</v>
      </c>
      <c r="N12" s="76">
        <v>1368.3697615031654</v>
      </c>
      <c r="O12" s="76">
        <v>1367.7343264258095</v>
      </c>
      <c r="P12" s="76">
        <v>1367.098891348454</v>
      </c>
      <c r="Q12" s="76">
        <v>1366.463456271098</v>
      </c>
      <c r="R12" s="76">
        <v>1365.8280211937424</v>
      </c>
      <c r="S12" s="76">
        <v>1365.1925861163868</v>
      </c>
      <c r="T12" s="76">
        <v>1364.557151039031</v>
      </c>
      <c r="U12" s="76">
        <v>1363.9217159616753</v>
      </c>
      <c r="V12" s="76">
        <v>1363.2862808843197</v>
      </c>
      <c r="W12" s="76">
        <v>1362.6508458069638</v>
      </c>
      <c r="X12" s="76">
        <v>1362.0154107296082</v>
      </c>
      <c r="Y12" s="76">
        <v>1361.3799756522524</v>
      </c>
      <c r="Z12" s="76">
        <v>1360.7445405748967</v>
      </c>
      <c r="AA12" s="76">
        <v>1360.109105497541</v>
      </c>
      <c r="AB12" s="76">
        <v>1359.4736704201853</v>
      </c>
    </row>
    <row r="13" spans="1:1" s="5" customFormat="1" x14ac:dyDescent="0.25">
      <c r="A13" s="5" t="s">
        <v>193</v>
      </c>
    </row>
    <row r="14" spans="1:28" x14ac:dyDescent="0.25">
      <c r="A14" t="s">
        <v>298</v>
      </c>
      <c r="B14" t="s">
        <v>8</v>
      </c>
      <c r="C14" s="75">
        <v>4335.202681916245</v>
      </c>
      <c r="D14" s="75">
        <v>90.83314907635581</v>
      </c>
      <c r="E14" s="75">
        <v>95.3748065301736</v>
      </c>
      <c r="F14" s="75">
        <v>100.14354685668228</v>
      </c>
      <c r="G14" s="75">
        <v>105.1507241995164</v>
      </c>
      <c r="H14" s="75">
        <v>110.40826040949223</v>
      </c>
      <c r="I14" s="75">
        <v>115.92867342996685</v>
      </c>
      <c r="J14" s="75">
        <v>121.7251071014652</v>
      </c>
      <c r="K14" s="75">
        <v>127.81136245653846</v>
      </c>
      <c r="L14" s="75">
        <v>134.20193057936538</v>
      </c>
      <c r="M14" s="75">
        <v>140.91202710833366</v>
      </c>
      <c r="N14" s="75">
        <v>147.95762846375035</v>
      </c>
      <c r="O14" s="75">
        <v>155.35550988693788</v>
      </c>
      <c r="P14" s="75">
        <v>163.12328538128477</v>
      </c>
      <c r="Q14" s="75">
        <v>171.27944965034902</v>
      </c>
      <c r="R14" s="75">
        <v>179.8434221328665</v>
      </c>
      <c r="S14" s="75">
        <v>188.83559323950985</v>
      </c>
      <c r="T14" s="75">
        <v>198.2773729014853</v>
      </c>
      <c r="U14" s="75">
        <v>208.19124154655958</v>
      </c>
      <c r="V14" s="75">
        <v>218.60080362388757</v>
      </c>
      <c r="W14" s="75">
        <v>229.530843805082</v>
      </c>
      <c r="X14" s="75">
        <v>241.00738599533605</v>
      </c>
      <c r="Y14" s="75">
        <v>253.0577552951029</v>
      </c>
      <c r="Z14" s="75">
        <v>265.71064305985806</v>
      </c>
      <c r="AA14" s="75">
        <v>278.99617521285097</v>
      </c>
      <c r="AB14" s="75">
        <v>292.9459839734935</v>
      </c>
    </row>
    <row r="15" spans="1:28" x14ac:dyDescent="0.25">
      <c r="A15" t="s">
        <v>126</v>
      </c>
      <c r="B15" t="s">
        <v>8</v>
      </c>
      <c r="C15" s="75">
        <v>625.8039569171547</v>
      </c>
      <c r="D15" s="75">
        <v>25.032158276686186</v>
      </c>
      <c r="E15" s="75">
        <v>25.032158276686186</v>
      </c>
      <c r="F15" s="75">
        <v>25.032158276686186</v>
      </c>
      <c r="G15" s="75">
        <v>25.032158276686186</v>
      </c>
      <c r="H15" s="75">
        <v>25.032158276686186</v>
      </c>
      <c r="I15" s="75">
        <v>25.032158276686186</v>
      </c>
      <c r="J15" s="75">
        <v>25.032158276686186</v>
      </c>
      <c r="K15" s="75">
        <v>25.032158276686186</v>
      </c>
      <c r="L15" s="75">
        <v>25.032158276686186</v>
      </c>
      <c r="M15" s="75">
        <v>25.032158276686186</v>
      </c>
      <c r="N15" s="75">
        <v>25.032158276686186</v>
      </c>
      <c r="O15" s="75">
        <v>25.032158276686186</v>
      </c>
      <c r="P15" s="75">
        <v>25.032158276686186</v>
      </c>
      <c r="Q15" s="75">
        <v>25.032158276686186</v>
      </c>
      <c r="R15" s="75">
        <v>25.032158276686186</v>
      </c>
      <c r="S15" s="75">
        <v>25.032158276686186</v>
      </c>
      <c r="T15" s="75">
        <v>25.032158276686186</v>
      </c>
      <c r="U15" s="75">
        <v>25.032158276686186</v>
      </c>
      <c r="V15" s="75">
        <v>25.032158276686186</v>
      </c>
      <c r="W15" s="75">
        <v>25.032158276686186</v>
      </c>
      <c r="X15" s="75">
        <v>25.032158276686186</v>
      </c>
      <c r="Y15" s="75">
        <v>25.032158276686186</v>
      </c>
      <c r="Z15" s="75">
        <v>25.032158276686186</v>
      </c>
      <c r="AA15" s="75">
        <v>25.032158276686186</v>
      </c>
      <c r="AB15" s="75">
        <v>25.032158276686186</v>
      </c>
    </row>
    <row r="16" spans="1:28" x14ac:dyDescent="0.25">
      <c r="A16" t="s">
        <v>128</v>
      </c>
      <c r="B16" t="s">
        <v>8</v>
      </c>
      <c r="C16" s="75">
        <v>0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  <c r="Z16" s="75">
        <v>0</v>
      </c>
      <c r="AA16" s="75">
        <v>0</v>
      </c>
      <c r="AB16" s="75">
        <v>0</v>
      </c>
    </row>
    <row r="17" spans="1:28" s="14" customFormat="1" x14ac:dyDescent="0.25">
      <c r="A17" s="14" t="s">
        <v>194</v>
      </c>
      <c r="B17" s="14" t="s">
        <v>8</v>
      </c>
      <c r="C17" s="76">
        <v>4961.006638833399</v>
      </c>
      <c r="D17" s="76">
        <v>115.865307353042</v>
      </c>
      <c r="E17" s="76">
        <v>120.40696480685979</v>
      </c>
      <c r="F17" s="76">
        <v>125.17570513336847</v>
      </c>
      <c r="G17" s="76">
        <v>130.1828824762026</v>
      </c>
      <c r="H17" s="76">
        <v>135.44041868617842</v>
      </c>
      <c r="I17" s="76">
        <v>140.96083170665304</v>
      </c>
      <c r="J17" s="76">
        <v>146.75726537815137</v>
      </c>
      <c r="K17" s="76">
        <v>152.84352073322464</v>
      </c>
      <c r="L17" s="76">
        <v>159.23408885605156</v>
      </c>
      <c r="M17" s="76">
        <v>165.94418538501984</v>
      </c>
      <c r="N17" s="76">
        <v>172.98978674043653</v>
      </c>
      <c r="O17" s="76">
        <v>180.38766816362406</v>
      </c>
      <c r="P17" s="76">
        <v>188.15544365797095</v>
      </c>
      <c r="Q17" s="76">
        <v>196.3116079270352</v>
      </c>
      <c r="R17" s="76">
        <v>204.87558040955267</v>
      </c>
      <c r="S17" s="76">
        <v>213.86775151619602</v>
      </c>
      <c r="T17" s="76">
        <v>223.30953117817148</v>
      </c>
      <c r="U17" s="76">
        <v>233.22339982324576</v>
      </c>
      <c r="V17" s="76">
        <v>243.63296190057375</v>
      </c>
      <c r="W17" s="76">
        <v>254.56300208176816</v>
      </c>
      <c r="X17" s="76">
        <v>266.0395442720222</v>
      </c>
      <c r="Y17" s="76">
        <v>278.0899135717891</v>
      </c>
      <c r="Z17" s="76">
        <v>290.74280133654423</v>
      </c>
      <c r="AA17" s="76">
        <v>304.02833348953715</v>
      </c>
      <c r="AB17" s="76">
        <v>317.9781422501797</v>
      </c>
    </row>
    <row r="18" spans="1:1" s="5" customFormat="1" x14ac:dyDescent="0.25">
      <c r="A18" s="5" t="s">
        <v>345</v>
      </c>
    </row>
    <row r="19" spans="1:28" x14ac:dyDescent="0.25">
      <c r="A19" t="s">
        <v>141</v>
      </c>
      <c r="B19" t="s">
        <v>8</v>
      </c>
      <c r="C19" s="75">
        <v>1675.0836893466167</v>
      </c>
      <c r="D19" s="75">
        <v>0</v>
      </c>
      <c r="E19" s="75">
        <v>69.7951537227757</v>
      </c>
      <c r="F19" s="75">
        <v>69.7951537227757</v>
      </c>
      <c r="G19" s="75">
        <v>69.7951537227757</v>
      </c>
      <c r="H19" s="75">
        <v>69.7951537227757</v>
      </c>
      <c r="I19" s="75">
        <v>69.7951537227757</v>
      </c>
      <c r="J19" s="75">
        <v>69.7951537227757</v>
      </c>
      <c r="K19" s="75">
        <v>69.7951537227757</v>
      </c>
      <c r="L19" s="75">
        <v>69.7951537227757</v>
      </c>
      <c r="M19" s="75">
        <v>69.7951537227757</v>
      </c>
      <c r="N19" s="75">
        <v>69.7951537227757</v>
      </c>
      <c r="O19" s="75">
        <v>69.7951537227757</v>
      </c>
      <c r="P19" s="75">
        <v>69.7951537227757</v>
      </c>
      <c r="Q19" s="75">
        <v>69.7951537227757</v>
      </c>
      <c r="R19" s="75">
        <v>69.7951537227757</v>
      </c>
      <c r="S19" s="75">
        <v>69.7951537227757</v>
      </c>
      <c r="T19" s="75">
        <v>69.7951537227757</v>
      </c>
      <c r="U19" s="75">
        <v>69.7951537227757</v>
      </c>
      <c r="V19" s="75">
        <v>69.7951537227757</v>
      </c>
      <c r="W19" s="75">
        <v>69.7951537227757</v>
      </c>
      <c r="X19" s="75">
        <v>69.7951537227757</v>
      </c>
      <c r="Y19" s="75">
        <v>69.7951537227757</v>
      </c>
      <c r="Z19" s="75">
        <v>69.7951537227757</v>
      </c>
      <c r="AA19" s="75">
        <v>69.7951537227757</v>
      </c>
      <c r="AB19" s="75">
        <v>69.7951537227757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6" customFormat="1" x14ac:dyDescent="0.25">
      <c r="A1" s="66" t="s">
        <v>73</v>
      </c>
      <c r="B1" s="66" t="s">
        <v>74</v>
      </c>
      <c r="C1" s="66" t="s">
        <v>318</v>
      </c>
      <c r="D1" s="66" t="s">
        <v>319</v>
      </c>
      <c r="E1" s="66" t="s">
        <v>320</v>
      </c>
      <c r="F1" s="66" t="s">
        <v>321</v>
      </c>
      <c r="G1" s="66" t="s">
        <v>322</v>
      </c>
      <c r="H1" s="66" t="s">
        <v>323</v>
      </c>
      <c r="I1" s="66" t="s">
        <v>324</v>
      </c>
      <c r="J1" s="66" t="s">
        <v>325</v>
      </c>
      <c r="K1" s="66" t="s">
        <v>326</v>
      </c>
      <c r="L1" s="66" t="s">
        <v>327</v>
      </c>
      <c r="M1" s="66" t="s">
        <v>328</v>
      </c>
      <c r="N1" s="66" t="s">
        <v>329</v>
      </c>
      <c r="O1" s="66" t="s">
        <v>330</v>
      </c>
      <c r="P1" s="66" t="s">
        <v>331</v>
      </c>
      <c r="Q1" s="66" t="s">
        <v>332</v>
      </c>
      <c r="R1" s="66" t="s">
        <v>333</v>
      </c>
      <c r="S1" s="66" t="s">
        <v>334</v>
      </c>
      <c r="T1" s="66" t="s">
        <v>335</v>
      </c>
      <c r="U1" s="66" t="s">
        <v>336</v>
      </c>
      <c r="V1" s="66" t="s">
        <v>337</v>
      </c>
      <c r="W1" s="66" t="s">
        <v>338</v>
      </c>
      <c r="X1" s="66" t="s">
        <v>339</v>
      </c>
      <c r="Y1" s="66" t="s">
        <v>340</v>
      </c>
      <c r="Z1" s="66" t="s">
        <v>341</v>
      </c>
      <c r="AA1" s="66" t="s">
        <v>342</v>
      </c>
      <c r="AB1" s="66" t="s">
        <v>343</v>
      </c>
    </row>
    <row r="2" spans="1:1" s="5" customFormat="1" x14ac:dyDescent="0.25">
      <c r="A2" s="5" t="s">
        <v>344</v>
      </c>
    </row>
    <row r="3" spans="1:28" x14ac:dyDescent="0.25">
      <c r="A3" t="s">
        <v>179</v>
      </c>
      <c r="B3" t="s">
        <v>180</v>
      </c>
      <c r="C3" s="73">
        <v>43800</v>
      </c>
      <c r="D3" s="73">
        <v>1752</v>
      </c>
      <c r="E3" s="73">
        <v>1752</v>
      </c>
      <c r="F3" s="73">
        <v>1752</v>
      </c>
      <c r="G3" s="73">
        <v>1752</v>
      </c>
      <c r="H3" s="73">
        <v>1752</v>
      </c>
      <c r="I3" s="73">
        <v>1752</v>
      </c>
      <c r="J3" s="73">
        <v>1752</v>
      </c>
      <c r="K3" s="73">
        <v>1752</v>
      </c>
      <c r="L3" s="73">
        <v>1752</v>
      </c>
      <c r="M3" s="73">
        <v>1752</v>
      </c>
      <c r="N3" s="73">
        <v>1752</v>
      </c>
      <c r="O3" s="73">
        <v>1752</v>
      </c>
      <c r="P3" s="73">
        <v>1752</v>
      </c>
      <c r="Q3" s="73">
        <v>1752</v>
      </c>
      <c r="R3" s="73">
        <v>1752</v>
      </c>
      <c r="S3" s="73">
        <v>1752</v>
      </c>
      <c r="T3" s="73">
        <v>1752</v>
      </c>
      <c r="U3" s="73">
        <v>1752</v>
      </c>
      <c r="V3" s="73">
        <v>1752</v>
      </c>
      <c r="W3" s="73">
        <v>1752</v>
      </c>
      <c r="X3" s="73">
        <v>1752</v>
      </c>
      <c r="Y3" s="73">
        <v>1752</v>
      </c>
      <c r="Z3" s="73">
        <v>1752</v>
      </c>
      <c r="AA3" s="73">
        <v>1752</v>
      </c>
      <c r="AB3" s="73">
        <v>1752</v>
      </c>
    </row>
    <row r="4" spans="1:28" x14ac:dyDescent="0.25">
      <c r="A4" t="s">
        <v>181</v>
      </c>
      <c r="B4" t="s">
        <v>180</v>
      </c>
      <c r="C4" s="73">
        <v>43295.24452048354</v>
      </c>
      <c r="D4" s="73">
        <v>1741.469237255195</v>
      </c>
      <c r="E4" s="73">
        <v>1740.6642825522072</v>
      </c>
      <c r="F4" s="73">
        <v>1739.8593278492194</v>
      </c>
      <c r="G4" s="73">
        <v>1739.0543731462315</v>
      </c>
      <c r="H4" s="73">
        <v>1738.249418443244</v>
      </c>
      <c r="I4" s="73">
        <v>1737.444463740256</v>
      </c>
      <c r="J4" s="73">
        <v>1736.6395090372685</v>
      </c>
      <c r="K4" s="73">
        <v>1735.8345543342803</v>
      </c>
      <c r="L4" s="73">
        <v>1735.0295996312927</v>
      </c>
      <c r="M4" s="73">
        <v>1734.224644928305</v>
      </c>
      <c r="N4" s="73">
        <v>1733.4196902253173</v>
      </c>
      <c r="O4" s="73">
        <v>1732.6147355223293</v>
      </c>
      <c r="P4" s="73">
        <v>1731.8097808193415</v>
      </c>
      <c r="Q4" s="73">
        <v>1731.0048261163538</v>
      </c>
      <c r="R4" s="73">
        <v>1730.1998714133658</v>
      </c>
      <c r="S4" s="73">
        <v>1729.3949167103783</v>
      </c>
      <c r="T4" s="73">
        <v>1728.5899620073906</v>
      </c>
      <c r="U4" s="73">
        <v>1727.7850073044028</v>
      </c>
      <c r="V4" s="73">
        <v>1726.9800526014149</v>
      </c>
      <c r="W4" s="73">
        <v>1726.175097898427</v>
      </c>
      <c r="X4" s="73">
        <v>1725.3701431954394</v>
      </c>
      <c r="Y4" s="73">
        <v>1724.5651884924516</v>
      </c>
      <c r="Z4" s="73">
        <v>1723.7602337894637</v>
      </c>
      <c r="AA4" s="73">
        <v>1722.955279086476</v>
      </c>
      <c r="AB4" s="73">
        <v>1722.1503243834882</v>
      </c>
    </row>
    <row r="5" spans="1:28" x14ac:dyDescent="0.25">
      <c r="A5" t="s">
        <v>182</v>
      </c>
      <c r="B5" t="s">
        <v>8</v>
      </c>
      <c r="D5" s="71">
        <v>0.9939892906707734</v>
      </c>
      <c r="E5" s="71">
        <v>0.9935298416393876</v>
      </c>
      <c r="F5" s="71">
        <v>0.9930703926080019</v>
      </c>
      <c r="G5" s="71">
        <v>0.9926109435766162</v>
      </c>
      <c r="H5" s="71">
        <v>0.9921514945452306</v>
      </c>
      <c r="I5" s="71">
        <v>0.9916920455138447</v>
      </c>
      <c r="J5" s="71">
        <v>0.9912325964824591</v>
      </c>
      <c r="K5" s="71">
        <v>0.9907731474510733</v>
      </c>
      <c r="L5" s="71">
        <v>0.9903136984196876</v>
      </c>
      <c r="M5" s="71">
        <v>0.9898542493883019</v>
      </c>
      <c r="N5" s="71">
        <v>0.9893948003569162</v>
      </c>
      <c r="O5" s="71">
        <v>0.9889353513255305</v>
      </c>
      <c r="P5" s="71">
        <v>0.9884759022941447</v>
      </c>
      <c r="Q5" s="71">
        <v>0.988016453262759</v>
      </c>
      <c r="R5" s="71">
        <v>0.9875570042313733</v>
      </c>
      <c r="S5" s="71">
        <v>0.9870975551999877</v>
      </c>
      <c r="T5" s="71">
        <v>0.9866381061686019</v>
      </c>
      <c r="U5" s="71">
        <v>0.9861786571372162</v>
      </c>
      <c r="V5" s="71">
        <v>0.9857192081058305</v>
      </c>
      <c r="W5" s="71">
        <v>0.9852597590744447</v>
      </c>
      <c r="X5" s="71">
        <v>0.984800310043059</v>
      </c>
      <c r="Y5" s="71">
        <v>0.9843408610116733</v>
      </c>
      <c r="Z5" s="71">
        <v>0.9838814119802876</v>
      </c>
      <c r="AA5" s="71">
        <v>0.9834219629489018</v>
      </c>
      <c r="AB5" s="71">
        <v>0.9829625139175161</v>
      </c>
    </row>
    <row r="6" spans="1:28" x14ac:dyDescent="0.25">
      <c r="A6" t="s">
        <v>184</v>
      </c>
      <c r="B6" t="s">
        <v>180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>
        <v>0</v>
      </c>
      <c r="AA6" s="73">
        <v>0</v>
      </c>
      <c r="AB6" s="73">
        <v>0</v>
      </c>
    </row>
    <row r="7" spans="1:28" x14ac:dyDescent="0.25">
      <c r="A7" t="s">
        <v>100</v>
      </c>
      <c r="B7" t="s">
        <v>82</v>
      </c>
      <c r="D7" s="74">
        <v>7.894047640160928</v>
      </c>
      <c r="E7" s="74">
        <v>7.894047640160928</v>
      </c>
      <c r="F7" s="74">
        <v>7.894047640160928</v>
      </c>
      <c r="G7" s="74">
        <v>7.894047640160928</v>
      </c>
      <c r="H7" s="74">
        <v>7.894047640160928</v>
      </c>
      <c r="I7" s="74">
        <v>7.894047640160928</v>
      </c>
      <c r="J7" s="74">
        <v>7.894047640160928</v>
      </c>
      <c r="K7" s="74">
        <v>7.894047640160928</v>
      </c>
      <c r="L7" s="74">
        <v>7.894047640160928</v>
      </c>
      <c r="M7" s="74">
        <v>7.894047640160928</v>
      </c>
      <c r="N7" s="74">
        <v>7.894047640160928</v>
      </c>
      <c r="O7" s="74">
        <v>7.894047640160928</v>
      </c>
      <c r="P7" s="74">
        <v>7.894047640160928</v>
      </c>
      <c r="Q7" s="74">
        <v>7.894047640160928</v>
      </c>
      <c r="R7" s="74">
        <v>7.894047640160928</v>
      </c>
      <c r="S7" s="74">
        <v>7.894047640160928</v>
      </c>
      <c r="T7" s="74">
        <v>7.894047640160928</v>
      </c>
      <c r="U7" s="74">
        <v>7.894047640160928</v>
      </c>
      <c r="V7" s="74">
        <v>7.894047640160928</v>
      </c>
      <c r="W7" s="74">
        <v>7.894047640160928</v>
      </c>
      <c r="X7" s="74">
        <v>7.894047640160928</v>
      </c>
      <c r="Y7" s="74">
        <v>7.894047640160928</v>
      </c>
      <c r="Z7" s="74">
        <v>7.894047640160928</v>
      </c>
      <c r="AA7" s="74">
        <v>7.894047640160928</v>
      </c>
      <c r="AB7" s="74">
        <v>7.894047640160928</v>
      </c>
    </row>
    <row r="8" spans="1:1" s="5" customFormat="1" x14ac:dyDescent="0.25">
      <c r="A8" s="5" t="s">
        <v>189</v>
      </c>
    </row>
    <row r="9" spans="1:28" x14ac:dyDescent="0.25">
      <c r="A9" t="s">
        <v>190</v>
      </c>
      <c r="B9" t="s">
        <v>8</v>
      </c>
      <c r="C9" s="75">
        <v>34177.472283711344</v>
      </c>
      <c r="D9" s="75">
        <v>1374.7241122767223</v>
      </c>
      <c r="E9" s="75">
        <v>1374.0886771993667</v>
      </c>
      <c r="F9" s="75">
        <v>1373.453242122011</v>
      </c>
      <c r="G9" s="75">
        <v>1372.8178070446552</v>
      </c>
      <c r="H9" s="75">
        <v>1372.1823719672998</v>
      </c>
      <c r="I9" s="75">
        <v>1371.5469368899437</v>
      </c>
      <c r="J9" s="75">
        <v>1370.911501812588</v>
      </c>
      <c r="K9" s="75">
        <v>1370.2760667352322</v>
      </c>
      <c r="L9" s="75">
        <v>1369.6406316578766</v>
      </c>
      <c r="M9" s="75">
        <v>1369.005196580521</v>
      </c>
      <c r="N9" s="75">
        <v>1368.3697615031654</v>
      </c>
      <c r="O9" s="75">
        <v>1367.7343264258095</v>
      </c>
      <c r="P9" s="75">
        <v>1367.098891348454</v>
      </c>
      <c r="Q9" s="75">
        <v>1366.463456271098</v>
      </c>
      <c r="R9" s="75">
        <v>1365.8280211937424</v>
      </c>
      <c r="S9" s="75">
        <v>1365.1925861163868</v>
      </c>
      <c r="T9" s="75">
        <v>1364.557151039031</v>
      </c>
      <c r="U9" s="75">
        <v>1363.9217159616753</v>
      </c>
      <c r="V9" s="75">
        <v>1363.2862808843197</v>
      </c>
      <c r="W9" s="75">
        <v>1362.6508458069638</v>
      </c>
      <c r="X9" s="75">
        <v>1362.0154107296082</v>
      </c>
      <c r="Y9" s="75">
        <v>1361.3799756522524</v>
      </c>
      <c r="Z9" s="75">
        <v>1360.7445405748967</v>
      </c>
      <c r="AA9" s="75">
        <v>1360.109105497541</v>
      </c>
      <c r="AB9" s="75">
        <v>1359.4736704201853</v>
      </c>
    </row>
    <row r="10" spans="1:28" x14ac:dyDescent="0.25">
      <c r="A10" t="s">
        <v>191</v>
      </c>
      <c r="B10" t="s">
        <v>8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</row>
    <row r="11" spans="1:28" x14ac:dyDescent="0.25">
      <c r="A11" t="s">
        <v>139</v>
      </c>
      <c r="B11" t="s">
        <v>8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0</v>
      </c>
      <c r="Z11" s="75">
        <v>0</v>
      </c>
      <c r="AA11" s="75">
        <v>0</v>
      </c>
      <c r="AB11" s="75">
        <v>0</v>
      </c>
    </row>
    <row r="12" spans="1:28" s="14" customFormat="1" x14ac:dyDescent="0.25">
      <c r="A12" s="14" t="s">
        <v>192</v>
      </c>
      <c r="B12" s="14" t="s">
        <v>8</v>
      </c>
      <c r="C12" s="76">
        <v>34177.472283711344</v>
      </c>
      <c r="D12" s="76">
        <v>1374.7241122767223</v>
      </c>
      <c r="E12" s="76">
        <v>1374.0886771993667</v>
      </c>
      <c r="F12" s="76">
        <v>1373.453242122011</v>
      </c>
      <c r="G12" s="76">
        <v>1372.8178070446552</v>
      </c>
      <c r="H12" s="76">
        <v>1372.1823719672998</v>
      </c>
      <c r="I12" s="76">
        <v>1371.5469368899437</v>
      </c>
      <c r="J12" s="76">
        <v>1370.911501812588</v>
      </c>
      <c r="K12" s="76">
        <v>1370.2760667352322</v>
      </c>
      <c r="L12" s="76">
        <v>1369.6406316578766</v>
      </c>
      <c r="M12" s="76">
        <v>1369.005196580521</v>
      </c>
      <c r="N12" s="76">
        <v>1368.3697615031654</v>
      </c>
      <c r="O12" s="76">
        <v>1367.7343264258095</v>
      </c>
      <c r="P12" s="76">
        <v>1367.098891348454</v>
      </c>
      <c r="Q12" s="76">
        <v>1366.463456271098</v>
      </c>
      <c r="R12" s="76">
        <v>1365.8280211937424</v>
      </c>
      <c r="S12" s="76">
        <v>1365.1925861163868</v>
      </c>
      <c r="T12" s="76">
        <v>1364.557151039031</v>
      </c>
      <c r="U12" s="76">
        <v>1363.9217159616753</v>
      </c>
      <c r="V12" s="76">
        <v>1363.2862808843197</v>
      </c>
      <c r="W12" s="76">
        <v>1362.6508458069638</v>
      </c>
      <c r="X12" s="76">
        <v>1362.0154107296082</v>
      </c>
      <c r="Y12" s="76">
        <v>1361.3799756522524</v>
      </c>
      <c r="Z12" s="76">
        <v>1360.7445405748967</v>
      </c>
      <c r="AA12" s="76">
        <v>1360.109105497541</v>
      </c>
      <c r="AB12" s="76">
        <v>1359.4736704201853</v>
      </c>
    </row>
    <row r="13" spans="1:1" s="5" customFormat="1" x14ac:dyDescent="0.25">
      <c r="A13" s="5" t="s">
        <v>193</v>
      </c>
    </row>
    <row r="14" spans="1:28" x14ac:dyDescent="0.25">
      <c r="A14" t="s">
        <v>298</v>
      </c>
      <c r="B14" t="s">
        <v>8</v>
      </c>
      <c r="C14" s="75">
        <v>4335.202681916245</v>
      </c>
      <c r="D14" s="75">
        <v>90.83314907635581</v>
      </c>
      <c r="E14" s="75">
        <v>95.3748065301736</v>
      </c>
      <c r="F14" s="75">
        <v>100.14354685668228</v>
      </c>
      <c r="G14" s="75">
        <v>105.1507241995164</v>
      </c>
      <c r="H14" s="75">
        <v>110.40826040949223</v>
      </c>
      <c r="I14" s="75">
        <v>115.92867342996685</v>
      </c>
      <c r="J14" s="75">
        <v>121.7251071014652</v>
      </c>
      <c r="K14" s="75">
        <v>127.81136245653846</v>
      </c>
      <c r="L14" s="75">
        <v>134.20193057936538</v>
      </c>
      <c r="M14" s="75">
        <v>140.91202710833366</v>
      </c>
      <c r="N14" s="75">
        <v>147.95762846375035</v>
      </c>
      <c r="O14" s="75">
        <v>155.35550988693788</v>
      </c>
      <c r="P14" s="75">
        <v>163.12328538128477</v>
      </c>
      <c r="Q14" s="75">
        <v>171.27944965034902</v>
      </c>
      <c r="R14" s="75">
        <v>179.8434221328665</v>
      </c>
      <c r="S14" s="75">
        <v>188.83559323950985</v>
      </c>
      <c r="T14" s="75">
        <v>198.2773729014853</v>
      </c>
      <c r="U14" s="75">
        <v>208.19124154655958</v>
      </c>
      <c r="V14" s="75">
        <v>218.60080362388757</v>
      </c>
      <c r="W14" s="75">
        <v>229.530843805082</v>
      </c>
      <c r="X14" s="75">
        <v>241.00738599533605</v>
      </c>
      <c r="Y14" s="75">
        <v>253.0577552951029</v>
      </c>
      <c r="Z14" s="75">
        <v>265.71064305985806</v>
      </c>
      <c r="AA14" s="75">
        <v>278.99617521285097</v>
      </c>
      <c r="AB14" s="75">
        <v>292.9459839734935</v>
      </c>
    </row>
    <row r="15" spans="1:28" x14ac:dyDescent="0.25">
      <c r="A15" t="s">
        <v>126</v>
      </c>
      <c r="B15" t="s">
        <v>8</v>
      </c>
      <c r="C15" s="75">
        <v>625.8039569171547</v>
      </c>
      <c r="D15" s="75">
        <v>25.032158276686186</v>
      </c>
      <c r="E15" s="75">
        <v>25.032158276686186</v>
      </c>
      <c r="F15" s="75">
        <v>25.032158276686186</v>
      </c>
      <c r="G15" s="75">
        <v>25.032158276686186</v>
      </c>
      <c r="H15" s="75">
        <v>25.032158276686186</v>
      </c>
      <c r="I15" s="75">
        <v>25.032158276686186</v>
      </c>
      <c r="J15" s="75">
        <v>25.032158276686186</v>
      </c>
      <c r="K15" s="75">
        <v>25.032158276686186</v>
      </c>
      <c r="L15" s="75">
        <v>25.032158276686186</v>
      </c>
      <c r="M15" s="75">
        <v>25.032158276686186</v>
      </c>
      <c r="N15" s="75">
        <v>25.032158276686186</v>
      </c>
      <c r="O15" s="75">
        <v>25.032158276686186</v>
      </c>
      <c r="P15" s="75">
        <v>25.032158276686186</v>
      </c>
      <c r="Q15" s="75">
        <v>25.032158276686186</v>
      </c>
      <c r="R15" s="75">
        <v>25.032158276686186</v>
      </c>
      <c r="S15" s="75">
        <v>25.032158276686186</v>
      </c>
      <c r="T15" s="75">
        <v>25.032158276686186</v>
      </c>
      <c r="U15" s="75">
        <v>25.032158276686186</v>
      </c>
      <c r="V15" s="75">
        <v>25.032158276686186</v>
      </c>
      <c r="W15" s="75">
        <v>25.032158276686186</v>
      </c>
      <c r="X15" s="75">
        <v>25.032158276686186</v>
      </c>
      <c r="Y15" s="75">
        <v>25.032158276686186</v>
      </c>
      <c r="Z15" s="75">
        <v>25.032158276686186</v>
      </c>
      <c r="AA15" s="75">
        <v>25.032158276686186</v>
      </c>
      <c r="AB15" s="75">
        <v>25.032158276686186</v>
      </c>
    </row>
    <row r="16" spans="1:28" x14ac:dyDescent="0.25">
      <c r="A16" t="s">
        <v>128</v>
      </c>
      <c r="B16" t="s">
        <v>8</v>
      </c>
      <c r="C16" s="75">
        <v>0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  <c r="Z16" s="75">
        <v>0</v>
      </c>
      <c r="AA16" s="75">
        <v>0</v>
      </c>
      <c r="AB16" s="75">
        <v>0</v>
      </c>
    </row>
    <row r="17" spans="1:28" s="14" customFormat="1" x14ac:dyDescent="0.25">
      <c r="A17" s="14" t="s">
        <v>194</v>
      </c>
      <c r="B17" s="14" t="s">
        <v>8</v>
      </c>
      <c r="C17" s="76">
        <v>4961.006638833399</v>
      </c>
      <c r="D17" s="76">
        <v>115.865307353042</v>
      </c>
      <c r="E17" s="76">
        <v>120.40696480685979</v>
      </c>
      <c r="F17" s="76">
        <v>125.17570513336847</v>
      </c>
      <c r="G17" s="76">
        <v>130.1828824762026</v>
      </c>
      <c r="H17" s="76">
        <v>135.44041868617842</v>
      </c>
      <c r="I17" s="76">
        <v>140.96083170665304</v>
      </c>
      <c r="J17" s="76">
        <v>146.75726537815137</v>
      </c>
      <c r="K17" s="76">
        <v>152.84352073322464</v>
      </c>
      <c r="L17" s="76">
        <v>159.23408885605156</v>
      </c>
      <c r="M17" s="76">
        <v>165.94418538501984</v>
      </c>
      <c r="N17" s="76">
        <v>172.98978674043653</v>
      </c>
      <c r="O17" s="76">
        <v>180.38766816362406</v>
      </c>
      <c r="P17" s="76">
        <v>188.15544365797095</v>
      </c>
      <c r="Q17" s="76">
        <v>196.3116079270352</v>
      </c>
      <c r="R17" s="76">
        <v>204.87558040955267</v>
      </c>
      <c r="S17" s="76">
        <v>213.86775151619602</v>
      </c>
      <c r="T17" s="76">
        <v>223.30953117817148</v>
      </c>
      <c r="U17" s="76">
        <v>233.22339982324576</v>
      </c>
      <c r="V17" s="76">
        <v>243.63296190057375</v>
      </c>
      <c r="W17" s="76">
        <v>254.56300208176816</v>
      </c>
      <c r="X17" s="76">
        <v>266.0395442720222</v>
      </c>
      <c r="Y17" s="76">
        <v>278.0899135717891</v>
      </c>
      <c r="Z17" s="76">
        <v>290.74280133654423</v>
      </c>
      <c r="AA17" s="76">
        <v>304.02833348953715</v>
      </c>
      <c r="AB17" s="76">
        <v>317.9781422501797</v>
      </c>
    </row>
    <row r="18" spans="1:1" s="5" customFormat="1" x14ac:dyDescent="0.25">
      <c r="A18" s="5" t="s">
        <v>210</v>
      </c>
    </row>
    <row r="19" spans="1:28" s="14" customFormat="1" x14ac:dyDescent="0.25">
      <c r="A19" s="14" t="s">
        <v>195</v>
      </c>
      <c r="B19" s="14" t="s">
        <v>8</v>
      </c>
      <c r="C19" s="76">
        <v>29216.46564487795</v>
      </c>
      <c r="D19" s="76">
        <v>1258.8588049236803</v>
      </c>
      <c r="E19" s="76">
        <v>1253.6817123925068</v>
      </c>
      <c r="F19" s="76">
        <v>1248.2775369886426</v>
      </c>
      <c r="G19" s="76">
        <v>1242.6349245684526</v>
      </c>
      <c r="H19" s="76">
        <v>1236.7419532811214</v>
      </c>
      <c r="I19" s="76">
        <v>1230.5861051832908</v>
      </c>
      <c r="J19" s="76">
        <v>1224.1542364344368</v>
      </c>
      <c r="K19" s="76">
        <v>1217.4325460020077</v>
      </c>
      <c r="L19" s="76">
        <v>1210.406542801825</v>
      </c>
      <c r="M19" s="76">
        <v>1203.0610111955011</v>
      </c>
      <c r="N19" s="76">
        <v>1195.3799747627288</v>
      </c>
      <c r="O19" s="76">
        <v>1187.3466582621854</v>
      </c>
      <c r="P19" s="76">
        <v>1178.943447690483</v>
      </c>
      <c r="Q19" s="76">
        <v>1170.1518483440627</v>
      </c>
      <c r="R19" s="76">
        <v>1160.9524407841898</v>
      </c>
      <c r="S19" s="76">
        <v>1151.3248346001908</v>
      </c>
      <c r="T19" s="76">
        <v>1141.2476198608595</v>
      </c>
      <c r="U19" s="76">
        <v>1130.6983161384296</v>
      </c>
      <c r="V19" s="76">
        <v>1119.653318983746</v>
      </c>
      <c r="W19" s="76">
        <v>1108.0878437251956</v>
      </c>
      <c r="X19" s="76">
        <v>1095.975866457586</v>
      </c>
      <c r="Y19" s="76">
        <v>1083.2900620804633</v>
      </c>
      <c r="Z19" s="76">
        <v>1070.0017392383525</v>
      </c>
      <c r="AA19" s="76">
        <v>1056.0807720080038</v>
      </c>
      <c r="AB19" s="76">
        <v>1041.4955281700056</v>
      </c>
    </row>
    <row r="20" spans="1:28" x14ac:dyDescent="0.25">
      <c r="A20" t="s">
        <v>198</v>
      </c>
      <c r="B20" t="s">
        <v>8</v>
      </c>
      <c r="C20" s="75">
        <v>9560.213546502768</v>
      </c>
      <c r="D20" s="75">
        <v>315.405194286246</v>
      </c>
      <c r="E20" s="75">
        <v>318.3133256913617</v>
      </c>
      <c r="F20" s="75">
        <v>321.3478975923519</v>
      </c>
      <c r="G20" s="75">
        <v>324.5204045797508</v>
      </c>
      <c r="H20" s="75">
        <v>327.8439833284544</v>
      </c>
      <c r="I20" s="75">
        <v>331.3337410145932</v>
      </c>
      <c r="J20" s="75">
        <v>335.0071701578972</v>
      </c>
      <c r="K20" s="75">
        <v>338.8846786980514</v>
      </c>
      <c r="L20" s="75">
        <v>342.9902759758617</v>
      </c>
      <c r="M20" s="75">
        <v>347.3524730835352</v>
      </c>
      <c r="N20" s="75">
        <v>352.00548333172026</v>
      </c>
      <c r="O20" s="75">
        <v>356.9908514547757</v>
      </c>
      <c r="P20" s="75">
        <v>362.3597094334507</v>
      </c>
      <c r="Q20" s="75">
        <v>368.175972243682</v>
      </c>
      <c r="R20" s="75">
        <v>374.52098621847983</v>
      </c>
      <c r="S20" s="75">
        <v>381.5005015907574</v>
      </c>
      <c r="T20" s="75">
        <v>389.2555186710658</v>
      </c>
      <c r="U20" s="75">
        <v>397.97991288641276</v>
      </c>
      <c r="V20" s="75">
        <v>407.95064913252355</v>
      </c>
      <c r="W20" s="75">
        <v>419.58317475298617</v>
      </c>
      <c r="X20" s="75">
        <v>433.5422054975413</v>
      </c>
      <c r="Y20" s="75">
        <v>450.99099392823524</v>
      </c>
      <c r="Z20" s="75">
        <v>474.2560451691605</v>
      </c>
      <c r="AA20" s="75">
        <v>509.1536220305483</v>
      </c>
      <c r="AB20" s="75">
        <v>578.9487757533241</v>
      </c>
    </row>
    <row r="21" spans="1:28" x14ac:dyDescent="0.25">
      <c r="A21" t="s">
        <v>203</v>
      </c>
      <c r="B21" t="s">
        <v>8</v>
      </c>
      <c r="C21" s="75">
        <v>4415.672720007444</v>
      </c>
      <c r="D21" s="75">
        <v>551.9590900009305</v>
      </c>
      <c r="E21" s="75">
        <v>515.1618173342017</v>
      </c>
      <c r="F21" s="75">
        <v>478.36454466747307</v>
      </c>
      <c r="G21" s="75">
        <v>441.56727200074437</v>
      </c>
      <c r="H21" s="75">
        <v>404.7699993340157</v>
      </c>
      <c r="I21" s="75">
        <v>367.972726667287</v>
      </c>
      <c r="J21" s="75">
        <v>331.1754540005583</v>
      </c>
      <c r="K21" s="75">
        <v>294.3781813338296</v>
      </c>
      <c r="L21" s="75">
        <v>257.58090866710097</v>
      </c>
      <c r="M21" s="75">
        <v>220.78363600037227</v>
      </c>
      <c r="N21" s="75">
        <v>183.9863633336436</v>
      </c>
      <c r="O21" s="75">
        <v>147.1890906669149</v>
      </c>
      <c r="P21" s="75">
        <v>110.39181800018622</v>
      </c>
      <c r="Q21" s="75">
        <v>73.59454533345752</v>
      </c>
      <c r="R21" s="75">
        <v>36.79727266672883</v>
      </c>
      <c r="S21" s="75">
        <v>1.3301360013429075e-13</v>
      </c>
      <c r="T21" s="75">
        <v>1.3301360013429075e-13</v>
      </c>
      <c r="U21" s="75">
        <v>1.3301360013429075e-13</v>
      </c>
      <c r="V21" s="75">
        <v>1.3301360013429075e-13</v>
      </c>
      <c r="W21" s="75">
        <v>1.3301360013429075e-13</v>
      </c>
      <c r="X21" s="75">
        <v>1.3301360013429075e-13</v>
      </c>
      <c r="Y21" s="75">
        <v>1.3301360013429075e-13</v>
      </c>
      <c r="Z21" s="75">
        <v>1.3301360013429075e-13</v>
      </c>
      <c r="AA21" s="75">
        <v>1.3301360013429075e-13</v>
      </c>
      <c r="AB21" s="75">
        <v>1.3301360013429075e-13</v>
      </c>
    </row>
    <row r="22" spans="1:28" x14ac:dyDescent="0.25">
      <c r="A22" t="s">
        <v>213</v>
      </c>
      <c r="B22" t="s">
        <v>8</v>
      </c>
      <c r="C22" s="75">
        <v>15240.579378367735</v>
      </c>
      <c r="D22" s="75">
        <v>391.4945206365038</v>
      </c>
      <c r="E22" s="75">
        <v>420.2065693669434</v>
      </c>
      <c r="F22" s="75">
        <v>448.5650947288176</v>
      </c>
      <c r="G22" s="75">
        <v>476.5472479879574</v>
      </c>
      <c r="H22" s="75">
        <v>504.1279706186512</v>
      </c>
      <c r="I22" s="75">
        <v>531.2796375014105</v>
      </c>
      <c r="J22" s="75">
        <v>557.9716122759812</v>
      </c>
      <c r="K22" s="75">
        <v>584.1696859701267</v>
      </c>
      <c r="L22" s="75">
        <v>609.8353581588623</v>
      </c>
      <c r="M22" s="75">
        <v>634.9249021115936</v>
      </c>
      <c r="N22" s="75">
        <v>659.388128097365</v>
      </c>
      <c r="O22" s="75">
        <v>683.1667161404948</v>
      </c>
      <c r="P22" s="75">
        <v>706.1919202568461</v>
      </c>
      <c r="Q22" s="75">
        <v>728.3813307669232</v>
      </c>
      <c r="R22" s="75">
        <v>749.6341818989811</v>
      </c>
      <c r="S22" s="75">
        <v>769.8243330094333</v>
      </c>
      <c r="T22" s="75">
        <v>751.9921011897935</v>
      </c>
      <c r="U22" s="75">
        <v>732.7184032520167</v>
      </c>
      <c r="V22" s="75">
        <v>711.7026698512224</v>
      </c>
      <c r="W22" s="75">
        <v>688.5046689722093</v>
      </c>
      <c r="X22" s="75">
        <v>662.4336609600447</v>
      </c>
      <c r="Y22" s="75">
        <v>632.299068152228</v>
      </c>
      <c r="Z22" s="75">
        <v>595.7456940691919</v>
      </c>
      <c r="AA22" s="75">
        <v>546.9271499774553</v>
      </c>
      <c r="AB22" s="75">
        <v>462.54675241668144</v>
      </c>
    </row>
    <row r="23" spans="1:28" x14ac:dyDescent="0.25">
      <c r="A23" t="s">
        <v>161</v>
      </c>
      <c r="B23" t="s">
        <v>8</v>
      </c>
      <c r="C23" s="75">
        <v>10331.621943175258</v>
      </c>
      <c r="D23" s="75">
        <v>3504.5021587360666</v>
      </c>
      <c r="E23" s="75">
        <v>2130.6193567307505</v>
      </c>
      <c r="F23" s="75">
        <v>1306.2896755275606</v>
      </c>
      <c r="G23" s="75">
        <v>811.6918668056464</v>
      </c>
      <c r="H23" s="75">
        <v>514.9331815724981</v>
      </c>
      <c r="I23" s="75">
        <v>336.8779704326092</v>
      </c>
      <c r="J23" s="75">
        <v>230.04484374867582</v>
      </c>
      <c r="K23" s="75">
        <v>165.94496773831577</v>
      </c>
      <c r="L23" s="75">
        <v>127.48504213209972</v>
      </c>
      <c r="M23" s="75">
        <v>104.40908676837012</v>
      </c>
      <c r="N23" s="75">
        <v>90.56351355013236</v>
      </c>
      <c r="O23" s="75">
        <v>82.25616961918968</v>
      </c>
      <c r="P23" s="75">
        <v>77.27176326062408</v>
      </c>
      <c r="Q23" s="75">
        <v>74.28111944548473</v>
      </c>
      <c r="R23" s="75">
        <v>72.48673315640112</v>
      </c>
      <c r="S23" s="75">
        <v>71.41010138295094</v>
      </c>
      <c r="T23" s="75">
        <v>70.76412231888085</v>
      </c>
      <c r="U23" s="75">
        <v>70.37653488043878</v>
      </c>
      <c r="V23" s="75">
        <v>70.14398241737355</v>
      </c>
      <c r="W23" s="75">
        <v>70.00445093953441</v>
      </c>
      <c r="X23" s="75">
        <v>69.92073205283091</v>
      </c>
      <c r="Y23" s="75">
        <v>69.87050072080882</v>
      </c>
      <c r="Z23" s="75">
        <v>69.84036192159557</v>
      </c>
      <c r="AA23" s="75">
        <v>69.82227864206762</v>
      </c>
      <c r="AB23" s="75">
        <v>69.81142867435085</v>
      </c>
    </row>
    <row r="24" spans="1:28" x14ac:dyDescent="0.25">
      <c r="A24" t="s">
        <v>219</v>
      </c>
      <c r="B24" t="s">
        <v>8</v>
      </c>
      <c r="C24" s="75">
        <v>3641.890336092693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37.793684138295355</v>
      </c>
      <c r="O24" s="75">
        <v>241.10378187057955</v>
      </c>
      <c r="P24" s="75">
        <v>249.5051423803486</v>
      </c>
      <c r="Q24" s="75">
        <v>257.30691540334084</v>
      </c>
      <c r="R24" s="75">
        <v>264.70494507969875</v>
      </c>
      <c r="S24" s="75">
        <v>271.81453835077923</v>
      </c>
      <c r="T24" s="75">
        <v>269.4406963313159</v>
      </c>
      <c r="U24" s="75">
        <v>266.8829923426362</v>
      </c>
      <c r="V24" s="75">
        <v>264.16150001375587</v>
      </c>
      <c r="W24" s="75">
        <v>261.28558996415086</v>
      </c>
      <c r="X24" s="75">
        <v>258.2580773296768</v>
      </c>
      <c r="Y24" s="75">
        <v>255.07770359422494</v>
      </c>
      <c r="Z24" s="75">
        <v>251.74061867062764</v>
      </c>
      <c r="AA24" s="75">
        <v>248.24126278020606</v>
      </c>
      <c r="AB24" s="75">
        <v>244.57288784305624</v>
      </c>
    </row>
    <row r="25" spans="1:28" s="14" customFormat="1" x14ac:dyDescent="0.25">
      <c r="A25" s="14" t="s">
        <v>220</v>
      </c>
      <c r="B25" s="14" t="s">
        <v>8</v>
      </c>
      <c r="C25" s="76">
        <v>11598.689042275038</v>
      </c>
      <c r="D25" s="76">
        <v>391.4945206365038</v>
      </c>
      <c r="E25" s="76">
        <v>420.2065693669434</v>
      </c>
      <c r="F25" s="76">
        <v>448.5650947288176</v>
      </c>
      <c r="G25" s="76">
        <v>476.5472479879574</v>
      </c>
      <c r="H25" s="76">
        <v>504.1279706186512</v>
      </c>
      <c r="I25" s="76">
        <v>531.2796375014105</v>
      </c>
      <c r="J25" s="76">
        <v>557.9716122759812</v>
      </c>
      <c r="K25" s="76">
        <v>584.1696859701267</v>
      </c>
      <c r="L25" s="76">
        <v>609.8353581588623</v>
      </c>
      <c r="M25" s="76">
        <v>634.9249021115936</v>
      </c>
      <c r="N25" s="76">
        <v>621.5944439590696</v>
      </c>
      <c r="O25" s="76">
        <v>442.0629342699153</v>
      </c>
      <c r="P25" s="76">
        <v>456.68677787649744</v>
      </c>
      <c r="Q25" s="76">
        <v>471.0744153635823</v>
      </c>
      <c r="R25" s="76">
        <v>484.9292368192823</v>
      </c>
      <c r="S25" s="76">
        <v>498.0097946586541</v>
      </c>
      <c r="T25" s="76">
        <v>482.5514048584776</v>
      </c>
      <c r="U25" s="76">
        <v>465.8354109093805</v>
      </c>
      <c r="V25" s="76">
        <v>447.5411698374665</v>
      </c>
      <c r="W25" s="76">
        <v>427.21907900805843</v>
      </c>
      <c r="X25" s="76">
        <v>404.1755836303679</v>
      </c>
      <c r="Y25" s="76">
        <v>377.221364558003</v>
      </c>
      <c r="Z25" s="76">
        <v>344.00507539856426</v>
      </c>
      <c r="AA25" s="76">
        <v>298.68588719724926</v>
      </c>
      <c r="AB25" s="76">
        <v>217.9738645736252</v>
      </c>
    </row>
    <row r="26" spans="1:1" s="5" customFormat="1" x14ac:dyDescent="0.25">
      <c r="A26" s="5" t="s">
        <v>221</v>
      </c>
    </row>
    <row r="27" spans="1:28" x14ac:dyDescent="0.25">
      <c r="A27" t="s">
        <v>222</v>
      </c>
      <c r="B27" t="s">
        <v>86</v>
      </c>
      <c r="D27" s="75">
        <v>169.48653439028084</v>
      </c>
      <c r="E27" s="75">
        <v>169.40819307937397</v>
      </c>
      <c r="F27" s="75">
        <v>169.3298517684671</v>
      </c>
      <c r="G27" s="75">
        <v>169.25151045756024</v>
      </c>
      <c r="H27" s="75">
        <v>169.1731691466534</v>
      </c>
      <c r="I27" s="75">
        <v>169.09482783574649</v>
      </c>
      <c r="J27" s="75">
        <v>169.01648652483962</v>
      </c>
      <c r="K27" s="75">
        <v>168.93814521393276</v>
      </c>
      <c r="L27" s="75">
        <v>168.8598039030259</v>
      </c>
      <c r="M27" s="75">
        <v>168.78146259211903</v>
      </c>
      <c r="N27" s="75">
        <v>168.70312128121216</v>
      </c>
      <c r="O27" s="75">
        <v>168.62477997030527</v>
      </c>
      <c r="P27" s="75">
        <v>168.54643865939843</v>
      </c>
      <c r="Q27" s="75">
        <v>168.46809734849154</v>
      </c>
      <c r="R27" s="75">
        <v>168.38975603758468</v>
      </c>
      <c r="S27" s="75">
        <v>168.31141472667784</v>
      </c>
      <c r="T27" s="75">
        <v>168.23307341577095</v>
      </c>
      <c r="U27" s="75">
        <v>168.15473210486408</v>
      </c>
      <c r="V27" s="75">
        <v>168.07639079395722</v>
      </c>
      <c r="W27" s="75">
        <v>167.99804948305035</v>
      </c>
      <c r="X27" s="75">
        <v>167.9197081721435</v>
      </c>
      <c r="Y27" s="75">
        <v>167.8413668612366</v>
      </c>
      <c r="Z27" s="75">
        <v>167.76302555032973</v>
      </c>
      <c r="AA27" s="75">
        <v>167.68468423942286</v>
      </c>
      <c r="AB27" s="75">
        <v>167.606342928516</v>
      </c>
    </row>
    <row r="28" spans="1:28" x14ac:dyDescent="0.25">
      <c r="A28" t="s">
        <v>346</v>
      </c>
      <c r="B28" t="s">
        <v>8</v>
      </c>
      <c r="C28" s="75">
        <v>167.606342928516</v>
      </c>
      <c r="D28" s="75">
        <v>169.48653439028084</v>
      </c>
      <c r="E28" s="75">
        <v>-0.07834131090686469</v>
      </c>
      <c r="F28" s="75">
        <v>-0.07834131090686469</v>
      </c>
      <c r="G28" s="75">
        <v>-0.07834131090686469</v>
      </c>
      <c r="H28" s="75">
        <v>-0.07834131090683627</v>
      </c>
      <c r="I28" s="75">
        <v>-0.07834131090692154</v>
      </c>
      <c r="J28" s="75">
        <v>-0.07834131090686469</v>
      </c>
      <c r="K28" s="75">
        <v>-0.07834131090686469</v>
      </c>
      <c r="L28" s="75">
        <v>-0.07834131090686469</v>
      </c>
      <c r="M28" s="75">
        <v>-0.07834131090686469</v>
      </c>
      <c r="N28" s="75">
        <v>-0.07834131090686469</v>
      </c>
      <c r="O28" s="75">
        <v>-0.07834131090689311</v>
      </c>
      <c r="P28" s="75">
        <v>-0.07834131090683627</v>
      </c>
      <c r="Q28" s="75">
        <v>-0.07834131090689311</v>
      </c>
      <c r="R28" s="75">
        <v>-0.07834131090686469</v>
      </c>
      <c r="S28" s="75">
        <v>-0.07834131090683627</v>
      </c>
      <c r="T28" s="75">
        <v>-0.07834131090689311</v>
      </c>
      <c r="U28" s="75">
        <v>-0.07834131090686469</v>
      </c>
      <c r="V28" s="75">
        <v>-0.07834131090686469</v>
      </c>
      <c r="W28" s="75">
        <v>-0.07834131090686469</v>
      </c>
      <c r="X28" s="75">
        <v>-0.07834131090686469</v>
      </c>
      <c r="Y28" s="75">
        <v>-0.07834131090689311</v>
      </c>
      <c r="Z28" s="75">
        <v>-0.07834131090686469</v>
      </c>
      <c r="AA28" s="75">
        <v>-0.07834131090686469</v>
      </c>
      <c r="AB28" s="75">
        <v>-0.07834131090686469</v>
      </c>
    </row>
    <row r="29" spans="1:28" x14ac:dyDescent="0.25">
      <c r="A29" t="s">
        <v>141</v>
      </c>
      <c r="B29" t="s">
        <v>8</v>
      </c>
      <c r="C29" s="75">
        <v>1675.0836893466167</v>
      </c>
      <c r="D29" s="75">
        <v>0</v>
      </c>
      <c r="E29" s="75">
        <v>69.7951537227757</v>
      </c>
      <c r="F29" s="75">
        <v>69.7951537227757</v>
      </c>
      <c r="G29" s="75">
        <v>69.7951537227757</v>
      </c>
      <c r="H29" s="75">
        <v>69.7951537227757</v>
      </c>
      <c r="I29" s="75">
        <v>69.7951537227757</v>
      </c>
      <c r="J29" s="75">
        <v>69.7951537227757</v>
      </c>
      <c r="K29" s="75">
        <v>69.7951537227757</v>
      </c>
      <c r="L29" s="75">
        <v>69.7951537227757</v>
      </c>
      <c r="M29" s="75">
        <v>69.7951537227757</v>
      </c>
      <c r="N29" s="75">
        <v>69.7951537227757</v>
      </c>
      <c r="O29" s="75">
        <v>69.7951537227757</v>
      </c>
      <c r="P29" s="75">
        <v>69.7951537227757</v>
      </c>
      <c r="Q29" s="75">
        <v>69.7951537227757</v>
      </c>
      <c r="R29" s="75">
        <v>69.7951537227757</v>
      </c>
      <c r="S29" s="75">
        <v>69.7951537227757</v>
      </c>
      <c r="T29" s="75">
        <v>69.7951537227757</v>
      </c>
      <c r="U29" s="75">
        <v>69.7951537227757</v>
      </c>
      <c r="V29" s="75">
        <v>69.7951537227757</v>
      </c>
      <c r="W29" s="75">
        <v>69.7951537227757</v>
      </c>
      <c r="X29" s="75">
        <v>69.7951537227757</v>
      </c>
      <c r="Y29" s="75">
        <v>69.7951537227757</v>
      </c>
      <c r="Z29" s="75">
        <v>69.7951537227757</v>
      </c>
      <c r="AA29" s="75">
        <v>69.7951537227757</v>
      </c>
      <c r="AB29" s="75">
        <v>69.7951537227757</v>
      </c>
    </row>
    <row r="30" spans="1:28" s="14" customFormat="1" x14ac:dyDescent="0.25">
      <c r="A30" s="14" t="s">
        <v>347</v>
      </c>
      <c r="B30" s="14" t="s">
        <v>8</v>
      </c>
      <c r="C30" s="76">
        <v>23731.88527651012</v>
      </c>
      <c r="D30" s="76">
        <v>1089.3722705333994</v>
      </c>
      <c r="E30" s="76">
        <v>1183.964899980638</v>
      </c>
      <c r="F30" s="76">
        <v>1178.5607245767737</v>
      </c>
      <c r="G30" s="76">
        <v>1172.9181121565837</v>
      </c>
      <c r="H30" s="76">
        <v>1167.0251408692525</v>
      </c>
      <c r="I30" s="76">
        <v>1160.8692927714221</v>
      </c>
      <c r="J30" s="76">
        <v>1154.437424022568</v>
      </c>
      <c r="K30" s="76">
        <v>1147.7157335901388</v>
      </c>
      <c r="L30" s="76">
        <v>1140.6897303899561</v>
      </c>
      <c r="M30" s="76">
        <v>1133.3441987836322</v>
      </c>
      <c r="N30" s="76">
        <v>1087.8694782125647</v>
      </c>
      <c r="O30" s="76">
        <v>876.5260639797372</v>
      </c>
      <c r="P30" s="76">
        <v>859.7214928982655</v>
      </c>
      <c r="Q30" s="76">
        <v>843.1281205288532</v>
      </c>
      <c r="R30" s="76">
        <v>826.5306832926221</v>
      </c>
      <c r="S30" s="76">
        <v>809.7934838375427</v>
      </c>
      <c r="T30" s="76">
        <v>802.0901111176748</v>
      </c>
      <c r="U30" s="76">
        <v>794.0985113839245</v>
      </c>
      <c r="V30" s="76">
        <v>785.7750065581213</v>
      </c>
      <c r="W30" s="76">
        <v>777.0854413491759</v>
      </c>
      <c r="X30" s="76">
        <v>768.0009767160404</v>
      </c>
      <c r="Y30" s="76">
        <v>758.4955460743696</v>
      </c>
      <c r="Z30" s="76">
        <v>748.544308155856</v>
      </c>
      <c r="AA30" s="76">
        <v>738.122696815929</v>
      </c>
      <c r="AB30" s="76">
        <v>727.2058279150806</v>
      </c>
    </row>
    <row r="31" spans="1:28" x14ac:dyDescent="0.25">
      <c r="A31" t="s">
        <v>206</v>
      </c>
      <c r="B31" t="s">
        <v>8</v>
      </c>
      <c r="C31" s="75">
        <v>10548.55149779556</v>
      </c>
      <c r="D31" s="75">
        <v>960.8176751868049</v>
      </c>
      <c r="E31" s="75">
        <v>924.0204025200761</v>
      </c>
      <c r="F31" s="75">
        <v>887.2231298533475</v>
      </c>
      <c r="G31" s="75">
        <v>850.4258571866187</v>
      </c>
      <c r="H31" s="75">
        <v>813.6285845198902</v>
      </c>
      <c r="I31" s="75">
        <v>776.8313118531614</v>
      </c>
      <c r="J31" s="75">
        <v>740.0340391864327</v>
      </c>
      <c r="K31" s="75">
        <v>703.236766519704</v>
      </c>
      <c r="L31" s="75">
        <v>666.4394938529754</v>
      </c>
      <c r="M31" s="75">
        <v>629.6422211862466</v>
      </c>
      <c r="N31" s="75">
        <v>592.844948519518</v>
      </c>
      <c r="O31" s="75">
        <v>556.0476758527893</v>
      </c>
      <c r="P31" s="75">
        <v>519.2504031860606</v>
      </c>
      <c r="Q31" s="75">
        <v>482.4531305193319</v>
      </c>
      <c r="R31" s="75">
        <v>445.6558578526032</v>
      </c>
      <c r="S31" s="75">
        <v>1.3301360013429075e-13</v>
      </c>
      <c r="T31" s="75">
        <v>1.3301360013429075e-13</v>
      </c>
      <c r="U31" s="75">
        <v>1.3301360013429075e-13</v>
      </c>
      <c r="V31" s="75">
        <v>1.3301360013429075e-13</v>
      </c>
      <c r="W31" s="75">
        <v>1.3301360013429075e-13</v>
      </c>
      <c r="X31" s="75">
        <v>1.3301360013429075e-13</v>
      </c>
      <c r="Y31" s="75">
        <v>1.3301360013429075e-13</v>
      </c>
      <c r="Z31" s="75">
        <v>1.3301360013429075e-13</v>
      </c>
      <c r="AA31" s="75">
        <v>1.3301360013429075e-13</v>
      </c>
      <c r="AB31" s="75">
        <v>1.3301360013429075e-13</v>
      </c>
    </row>
    <row r="32" spans="1:28" s="14" customFormat="1" x14ac:dyDescent="0.25">
      <c r="A32" s="14" t="s">
        <v>348</v>
      </c>
      <c r="B32" s="14" t="s">
        <v>8</v>
      </c>
      <c r="C32" s="76">
        <v>14227.065661327091</v>
      </c>
      <c r="D32" s="76">
        <v>128.5545953465945</v>
      </c>
      <c r="E32" s="76">
        <v>259.9444974605618</v>
      </c>
      <c r="F32" s="76">
        <v>291.33759472342626</v>
      </c>
      <c r="G32" s="76">
        <v>322.49225496996496</v>
      </c>
      <c r="H32" s="76">
        <v>353.3965563493623</v>
      </c>
      <c r="I32" s="76">
        <v>384.0379809182607</v>
      </c>
      <c r="J32" s="76">
        <v>414.4033848361353</v>
      </c>
      <c r="K32" s="76">
        <v>444.4789670704348</v>
      </c>
      <c r="L32" s="76">
        <v>474.25023653698076</v>
      </c>
      <c r="M32" s="76">
        <v>503.7019775973856</v>
      </c>
      <c r="N32" s="76">
        <v>495.0245296930467</v>
      </c>
      <c r="O32" s="76">
        <v>320.47838812694783</v>
      </c>
      <c r="P32" s="76">
        <v>340.47108971220496</v>
      </c>
      <c r="Q32" s="76">
        <v>360.67499000952125</v>
      </c>
      <c r="R32" s="76">
        <v>380.8748254400189</v>
      </c>
      <c r="S32" s="76">
        <v>809.7934838375426</v>
      </c>
      <c r="T32" s="76">
        <v>802.0901111176747</v>
      </c>
      <c r="U32" s="76">
        <v>794.0985113839243</v>
      </c>
      <c r="V32" s="76">
        <v>785.7750065581212</v>
      </c>
      <c r="W32" s="76">
        <v>777.0854413491758</v>
      </c>
      <c r="X32" s="76">
        <v>768.0009767160403</v>
      </c>
      <c r="Y32" s="76">
        <v>758.4955460743695</v>
      </c>
      <c r="Z32" s="76">
        <v>748.5443081558559</v>
      </c>
      <c r="AA32" s="76">
        <v>738.1226968159289</v>
      </c>
      <c r="AB32" s="76">
        <v>1770.9377105276117</v>
      </c>
    </row>
    <row r="33" spans="1:28" x14ac:dyDescent="0.25">
      <c r="A33" t="s">
        <v>230</v>
      </c>
      <c r="B33" t="s">
        <v>86</v>
      </c>
      <c r="D33" s="75">
        <v>-2499.8220237054556</v>
      </c>
      <c r="E33" s="75">
        <v>-2239.877526244894</v>
      </c>
      <c r="F33" s="75">
        <v>-1948.5399315214677</v>
      </c>
      <c r="G33" s="75">
        <v>-1626.0476765515027</v>
      </c>
      <c r="H33" s="75">
        <v>-1272.6511202021404</v>
      </c>
      <c r="I33" s="75">
        <v>-888.6131392838797</v>
      </c>
      <c r="J33" s="75">
        <v>-474.20975444774444</v>
      </c>
      <c r="K33" s="75">
        <v>-29.73078737730964</v>
      </c>
      <c r="L33" s="75">
        <v>444.5194491596711</v>
      </c>
      <c r="M33" s="75">
        <v>948.2214267570567</v>
      </c>
      <c r="N33" s="75">
        <v>1443.2459564501034</v>
      </c>
      <c r="O33" s="75">
        <v>1763.7243445770514</v>
      </c>
      <c r="P33" s="75">
        <v>2104.1954342892564</v>
      </c>
      <c r="Q33" s="75">
        <v>2464.870424298778</v>
      </c>
      <c r="R33" s="75">
        <v>2845.7452497387967</v>
      </c>
      <c r="S33" s="75">
        <v>3655.5387335763394</v>
      </c>
      <c r="T33" s="75">
        <v>4457.628844694014</v>
      </c>
      <c r="U33" s="75">
        <v>5251.727356077939</v>
      </c>
      <c r="V33" s="75">
        <v>6037.50236263606</v>
      </c>
      <c r="W33" s="75">
        <v>6814.587803985236</v>
      </c>
      <c r="X33" s="75">
        <v>7582.588780701276</v>
      </c>
      <c r="Y33" s="75">
        <v>8341.084326775646</v>
      </c>
      <c r="Z33" s="75">
        <v>9089.628634931501</v>
      </c>
      <c r="AA33" s="75">
        <v>9827.75133174743</v>
      </c>
      <c r="AB33" s="75">
        <v>11598.68904227504</v>
      </c>
    </row>
    <row r="34" spans="1:28" x14ac:dyDescent="0.25">
      <c r="A34" t="s">
        <v>349</v>
      </c>
      <c r="B34" t="s">
        <v>8</v>
      </c>
      <c r="C34" s="75">
        <v>22863.63704299202</v>
      </c>
      <c r="D34" s="75">
        <v>1089.3722705333994</v>
      </c>
      <c r="E34" s="75">
        <v>1183.964899980638</v>
      </c>
      <c r="F34" s="75">
        <v>1178.5607245767737</v>
      </c>
      <c r="G34" s="75">
        <v>1064.4497445176853</v>
      </c>
      <c r="H34" s="75">
        <v>985.345873030192</v>
      </c>
      <c r="I34" s="75">
        <v>935.9229552546755</v>
      </c>
      <c r="J34" s="75">
        <v>904.220089883562</v>
      </c>
      <c r="K34" s="75">
        <v>883.0563101411676</v>
      </c>
      <c r="L34" s="75">
        <v>868.1183886713864</v>
      </c>
      <c r="M34" s="75">
        <v>856.8135094053234</v>
      </c>
      <c r="N34" s="75">
        <v>847.5808590636493</v>
      </c>
      <c r="O34" s="75">
        <v>839.4785698588747</v>
      </c>
      <c r="P34" s="75">
        <v>831.9358723076186</v>
      </c>
      <c r="Q34" s="75">
        <v>824.6043734684218</v>
      </c>
      <c r="R34" s="75">
        <v>817.2688097624066</v>
      </c>
      <c r="S34" s="75">
        <v>809.7934838375427</v>
      </c>
      <c r="T34" s="75">
        <v>802.0901111176747</v>
      </c>
      <c r="U34" s="75">
        <v>794.0985113839245</v>
      </c>
      <c r="V34" s="75">
        <v>785.7750065581213</v>
      </c>
      <c r="W34" s="75">
        <v>777.0854413491759</v>
      </c>
      <c r="X34" s="75">
        <v>768.0009767160404</v>
      </c>
      <c r="Y34" s="75">
        <v>758.4955460743695</v>
      </c>
      <c r="Z34" s="75">
        <v>748.544308155856</v>
      </c>
      <c r="AA34" s="75">
        <v>738.1226968159287</v>
      </c>
      <c r="AB34" s="75">
        <v>1770.9377105276133</v>
      </c>
    </row>
    <row r="35" spans="1:1" s="5" customFormat="1" x14ac:dyDescent="0.25">
      <c r="A35" s="5" t="s">
        <v>94</v>
      </c>
    </row>
    <row r="36" spans="1:28" x14ac:dyDescent="0.25">
      <c r="A36" t="s">
        <v>202</v>
      </c>
      <c r="B36" t="s">
        <v>86</v>
      </c>
      <c r="D36" s="75">
        <v>6132.878777788116</v>
      </c>
      <c r="E36" s="75">
        <v>5724.020192602242</v>
      </c>
      <c r="F36" s="75">
        <v>5315.161607416368</v>
      </c>
      <c r="G36" s="75">
        <v>4906.303022230493</v>
      </c>
      <c r="H36" s="75">
        <v>4497.444437044619</v>
      </c>
      <c r="I36" s="75">
        <v>4088.5858518587447</v>
      </c>
      <c r="J36" s="75">
        <v>3679.7272666728704</v>
      </c>
      <c r="K36" s="75">
        <v>3270.868681486996</v>
      </c>
      <c r="L36" s="75">
        <v>2862.010096301122</v>
      </c>
      <c r="M36" s="75">
        <v>2453.1515111152476</v>
      </c>
      <c r="N36" s="75">
        <v>2044.2929259293733</v>
      </c>
      <c r="O36" s="75">
        <v>1635.434340743499</v>
      </c>
      <c r="P36" s="75">
        <v>1226.5757555576247</v>
      </c>
      <c r="Q36" s="75">
        <v>817.7171703717503</v>
      </c>
      <c r="R36" s="75">
        <v>408.8585851858759</v>
      </c>
      <c r="S36" s="75">
        <v>1.4779288903810084e-12</v>
      </c>
      <c r="T36" s="75">
        <v>1.4779288903810084e-12</v>
      </c>
      <c r="U36" s="75">
        <v>1.4779288903810084e-12</v>
      </c>
      <c r="V36" s="75">
        <v>1.4779288903810084e-12</v>
      </c>
      <c r="W36" s="75">
        <v>1.4779288903810084e-12</v>
      </c>
      <c r="X36" s="75">
        <v>1.4779288903810084e-12</v>
      </c>
      <c r="Y36" s="75">
        <v>1.4779288903810084e-12</v>
      </c>
      <c r="Z36" s="75">
        <v>1.4779288903810084e-12</v>
      </c>
      <c r="AA36" s="75">
        <v>1.4779288903810084e-12</v>
      </c>
      <c r="AB36" s="75">
        <v>1.4779288903810084e-12</v>
      </c>
    </row>
    <row r="37" spans="1:28" x14ac:dyDescent="0.25">
      <c r="A37" t="s">
        <v>203</v>
      </c>
      <c r="B37" t="s">
        <v>8</v>
      </c>
      <c r="C37" s="75">
        <v>4415.672720007444</v>
      </c>
      <c r="D37" s="75">
        <v>551.9590900009305</v>
      </c>
      <c r="E37" s="75">
        <v>515.1618173342017</v>
      </c>
      <c r="F37" s="75">
        <v>478.36454466747307</v>
      </c>
      <c r="G37" s="75">
        <v>441.56727200074437</v>
      </c>
      <c r="H37" s="75">
        <v>404.7699993340157</v>
      </c>
      <c r="I37" s="75">
        <v>367.972726667287</v>
      </c>
      <c r="J37" s="75">
        <v>331.1754540005583</v>
      </c>
      <c r="K37" s="75">
        <v>294.3781813338296</v>
      </c>
      <c r="L37" s="75">
        <v>257.58090866710097</v>
      </c>
      <c r="M37" s="75">
        <v>220.78363600037227</v>
      </c>
      <c r="N37" s="75">
        <v>183.9863633336436</v>
      </c>
      <c r="O37" s="75">
        <v>147.1890906669149</v>
      </c>
      <c r="P37" s="75">
        <v>110.39181800018622</v>
      </c>
      <c r="Q37" s="75">
        <v>73.59454533345752</v>
      </c>
      <c r="R37" s="75">
        <v>36.79727266672883</v>
      </c>
      <c r="S37" s="75">
        <v>1.3301360013429075e-13</v>
      </c>
      <c r="T37" s="75">
        <v>1.3301360013429075e-13</v>
      </c>
      <c r="U37" s="75">
        <v>1.3301360013429075e-13</v>
      </c>
      <c r="V37" s="75">
        <v>1.3301360013429075e-13</v>
      </c>
      <c r="W37" s="75">
        <v>1.3301360013429075e-13</v>
      </c>
      <c r="X37" s="75">
        <v>1.3301360013429075e-13</v>
      </c>
      <c r="Y37" s="75">
        <v>1.3301360013429075e-13</v>
      </c>
      <c r="Z37" s="75">
        <v>1.3301360013429075e-13</v>
      </c>
      <c r="AA37" s="75">
        <v>1.3301360013429075e-13</v>
      </c>
      <c r="AB37" s="75">
        <v>1.3301360013429075e-13</v>
      </c>
    </row>
    <row r="38" spans="1:28" x14ac:dyDescent="0.25">
      <c r="A38" t="s">
        <v>204</v>
      </c>
      <c r="B38" t="s">
        <v>8</v>
      </c>
      <c r="C38" s="75">
        <v>6132.878777788115</v>
      </c>
      <c r="D38" s="75">
        <v>408.8585851858744</v>
      </c>
      <c r="E38" s="75">
        <v>408.8585851858744</v>
      </c>
      <c r="F38" s="75">
        <v>408.8585851858744</v>
      </c>
      <c r="G38" s="75">
        <v>408.8585851858744</v>
      </c>
      <c r="H38" s="75">
        <v>408.8585851858744</v>
      </c>
      <c r="I38" s="75">
        <v>408.8585851858744</v>
      </c>
      <c r="J38" s="75">
        <v>408.8585851858744</v>
      </c>
      <c r="K38" s="75">
        <v>408.8585851858744</v>
      </c>
      <c r="L38" s="75">
        <v>408.8585851858744</v>
      </c>
      <c r="M38" s="75">
        <v>408.8585851858744</v>
      </c>
      <c r="N38" s="75">
        <v>408.8585851858744</v>
      </c>
      <c r="O38" s="75">
        <v>408.8585851858744</v>
      </c>
      <c r="P38" s="75">
        <v>408.8585851858744</v>
      </c>
      <c r="Q38" s="75">
        <v>408.8585851858744</v>
      </c>
      <c r="R38" s="75">
        <v>408.8585851858744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</row>
    <row r="39" spans="1:28" x14ac:dyDescent="0.25">
      <c r="A39" t="s">
        <v>205</v>
      </c>
      <c r="B39" t="s">
        <v>86</v>
      </c>
      <c r="D39" s="75">
        <v>5724.020192602242</v>
      </c>
      <c r="E39" s="75">
        <v>5315.161607416368</v>
      </c>
      <c r="F39" s="75">
        <v>4906.303022230493</v>
      </c>
      <c r="G39" s="75">
        <v>4497.444437044619</v>
      </c>
      <c r="H39" s="75">
        <v>4088.5858518587447</v>
      </c>
      <c r="I39" s="75">
        <v>3679.7272666728704</v>
      </c>
      <c r="J39" s="75">
        <v>3270.868681486996</v>
      </c>
      <c r="K39" s="75">
        <v>2862.010096301122</v>
      </c>
      <c r="L39" s="75">
        <v>2453.1515111152476</v>
      </c>
      <c r="M39" s="75">
        <v>2044.2929259293733</v>
      </c>
      <c r="N39" s="75">
        <v>1635.434340743499</v>
      </c>
      <c r="O39" s="75">
        <v>1226.5757555576247</v>
      </c>
      <c r="P39" s="75">
        <v>817.7171703717503</v>
      </c>
      <c r="Q39" s="75">
        <v>408.8585851858759</v>
      </c>
      <c r="R39" s="75">
        <v>1.4779288903810084e-12</v>
      </c>
      <c r="S39" s="75">
        <v>1.4779288903810084e-12</v>
      </c>
      <c r="T39" s="75">
        <v>1.4779288903810084e-12</v>
      </c>
      <c r="U39" s="75">
        <v>1.4779288903810084e-12</v>
      </c>
      <c r="V39" s="75">
        <v>1.4779288903810084e-12</v>
      </c>
      <c r="W39" s="75">
        <v>1.4779288903810084e-12</v>
      </c>
      <c r="X39" s="75">
        <v>1.4779288903810084e-12</v>
      </c>
      <c r="Y39" s="75">
        <v>1.4779288903810084e-12</v>
      </c>
      <c r="Z39" s="75">
        <v>1.4779288903810084e-12</v>
      </c>
      <c r="AA39" s="75">
        <v>1.4779288903810084e-12</v>
      </c>
      <c r="AB39" s="75">
        <v>1.4779288903810084e-12</v>
      </c>
    </row>
    <row r="40" spans="1:28" x14ac:dyDescent="0.25">
      <c r="A40" t="s">
        <v>226</v>
      </c>
      <c r="B40" t="s">
        <v>88</v>
      </c>
      <c r="D40" s="77">
        <v>1.1337970758308547</v>
      </c>
      <c r="E40" s="77">
        <v>1.2813190019956449</v>
      </c>
      <c r="F40" s="77">
        <v>1.3283701528065242</v>
      </c>
      <c r="G40" s="77">
        <v>1.379212664154915</v>
      </c>
      <c r="H40" s="77">
        <v>1.4343462890477185</v>
      </c>
      <c r="I40" s="77">
        <v>1.4943647031967895</v>
      </c>
      <c r="J40" s="77">
        <v>1.559978815693013</v>
      </c>
      <c r="K40" s="77">
        <v>1.6320473960287185</v>
      </c>
      <c r="L40" s="77">
        <v>1.7116178451477038</v>
      </c>
      <c r="M40" s="77">
        <v>1.7999812602280874</v>
      </c>
      <c r="N40" s="77">
        <v>1.834998309303717</v>
      </c>
      <c r="O40" s="77">
        <v>1.576350557774461</v>
      </c>
      <c r="P40" s="77">
        <v>1.6556973044664263</v>
      </c>
      <c r="Q40" s="77">
        <v>1.7475855522406418</v>
      </c>
      <c r="R40" s="77">
        <v>1.8546388849801452</v>
      </c>
    </row>
    <row r="42" spans="1:1" s="5" customFormat="1" x14ac:dyDescent="0.25">
      <c r="A42" s="5" t="s">
        <v>350</v>
      </c>
    </row>
    <row r="43" spans="1:28" s="66" customFormat="1" x14ac:dyDescent="0.25">
      <c r="A43" s="66" t="s">
        <v>221</v>
      </c>
      <c r="B43" s="66" t="s">
        <v>74</v>
      </c>
      <c r="C43" s="66" t="s">
        <v>76</v>
      </c>
      <c r="D43" s="66" t="s">
        <v>319</v>
      </c>
      <c r="E43" s="66" t="s">
        <v>320</v>
      </c>
      <c r="F43" s="66" t="s">
        <v>321</v>
      </c>
      <c r="G43" s="66" t="s">
        <v>322</v>
      </c>
      <c r="H43" s="66" t="s">
        <v>323</v>
      </c>
      <c r="I43" s="66" t="s">
        <v>324</v>
      </c>
      <c r="J43" s="66" t="s">
        <v>325</v>
      </c>
      <c r="K43" s="66" t="s">
        <v>326</v>
      </c>
      <c r="L43" s="66" t="s">
        <v>327</v>
      </c>
      <c r="M43" s="66" t="s">
        <v>328</v>
      </c>
      <c r="N43" s="66" t="s">
        <v>329</v>
      </c>
      <c r="O43" s="66" t="s">
        <v>330</v>
      </c>
      <c r="P43" s="66" t="s">
        <v>331</v>
      </c>
      <c r="Q43" s="66" t="s">
        <v>332</v>
      </c>
      <c r="R43" s="66" t="s">
        <v>333</v>
      </c>
      <c r="S43" s="66" t="s">
        <v>334</v>
      </c>
      <c r="T43" s="66" t="s">
        <v>335</v>
      </c>
      <c r="U43" s="66" t="s">
        <v>336</v>
      </c>
      <c r="V43" s="66" t="s">
        <v>337</v>
      </c>
      <c r="W43" s="66" t="s">
        <v>338</v>
      </c>
      <c r="X43" s="66" t="s">
        <v>339</v>
      </c>
      <c r="Y43" s="66" t="s">
        <v>340</v>
      </c>
      <c r="Z43" s="66" t="s">
        <v>341</v>
      </c>
      <c r="AA43" s="66" t="s">
        <v>342</v>
      </c>
      <c r="AB43" s="66" t="s">
        <v>343</v>
      </c>
    </row>
    <row r="44" spans="1:28" x14ac:dyDescent="0.25">
      <c r="A44" t="s">
        <v>351</v>
      </c>
      <c r="B44" t="s">
        <v>86</v>
      </c>
      <c r="C44" s="75">
        <v>-2628.37661905205</v>
      </c>
      <c r="D44" s="75">
        <v>128.5545953465945</v>
      </c>
      <c r="E44" s="75">
        <v>259.9444974605618</v>
      </c>
      <c r="F44" s="75">
        <v>291.33759472342626</v>
      </c>
      <c r="G44" s="75">
        <v>322.49225496996496</v>
      </c>
      <c r="H44" s="75">
        <v>353.3965563493623</v>
      </c>
      <c r="I44" s="75">
        <v>384.0379809182607</v>
      </c>
      <c r="J44" s="75">
        <v>414.4033848361353</v>
      </c>
      <c r="K44" s="75">
        <v>444.4789670704348</v>
      </c>
      <c r="L44" s="75">
        <v>474.25023653698076</v>
      </c>
      <c r="M44" s="75">
        <v>503.7019775973856</v>
      </c>
      <c r="N44" s="75">
        <v>495.0245296930467</v>
      </c>
      <c r="O44" s="75">
        <v>320.47838812694783</v>
      </c>
      <c r="P44" s="75">
        <v>340.47108971220496</v>
      </c>
      <c r="Q44" s="75">
        <v>360.67499000952125</v>
      </c>
      <c r="R44" s="75">
        <v>380.8748254400189</v>
      </c>
      <c r="S44" s="75">
        <v>809.7934838375426</v>
      </c>
      <c r="T44" s="75">
        <v>802.0901111176747</v>
      </c>
      <c r="U44" s="75">
        <v>794.0985113839243</v>
      </c>
      <c r="V44" s="75">
        <v>785.7750065581212</v>
      </c>
      <c r="W44" s="75">
        <v>777.0854413491758</v>
      </c>
      <c r="X44" s="75">
        <v>768.0009767160403</v>
      </c>
      <c r="Y44" s="75">
        <v>758.4955460743695</v>
      </c>
      <c r="Z44" s="75">
        <v>748.5443081558559</v>
      </c>
      <c r="AA44" s="75">
        <v>738.1226968159289</v>
      </c>
      <c r="AB44" s="75">
        <v>1770.9377105276117</v>
      </c>
    </row>
    <row r="45" spans="1:28" x14ac:dyDescent="0.25">
      <c r="A45" t="s">
        <v>349</v>
      </c>
      <c r="B45" t="s">
        <v>86</v>
      </c>
      <c r="C45" s="75">
        <v>-8761.255396840166</v>
      </c>
      <c r="D45" s="75">
        <v>1089.3722705333994</v>
      </c>
      <c r="E45" s="75">
        <v>1183.964899980638</v>
      </c>
      <c r="F45" s="75">
        <v>1178.5607245767737</v>
      </c>
      <c r="G45" s="75">
        <v>1064.4497445176853</v>
      </c>
      <c r="H45" s="75">
        <v>985.345873030192</v>
      </c>
      <c r="I45" s="75">
        <v>935.9229552546755</v>
      </c>
      <c r="J45" s="75">
        <v>904.220089883562</v>
      </c>
      <c r="K45" s="75">
        <v>883.0563101411676</v>
      </c>
      <c r="L45" s="75">
        <v>868.1183886713864</v>
      </c>
      <c r="M45" s="75">
        <v>856.8135094053234</v>
      </c>
      <c r="N45" s="75">
        <v>847.5808590636493</v>
      </c>
      <c r="O45" s="75">
        <v>839.4785698588747</v>
      </c>
      <c r="P45" s="75">
        <v>831.9358723076186</v>
      </c>
      <c r="Q45" s="75">
        <v>824.6043734684218</v>
      </c>
      <c r="R45" s="75">
        <v>817.2688097624066</v>
      </c>
      <c r="S45" s="75">
        <v>809.7934838375427</v>
      </c>
      <c r="T45" s="75">
        <v>802.0901111176747</v>
      </c>
      <c r="U45" s="75">
        <v>794.0985113839245</v>
      </c>
      <c r="V45" s="75">
        <v>785.7750065581213</v>
      </c>
      <c r="W45" s="75">
        <v>777.0854413491759</v>
      </c>
      <c r="X45" s="75">
        <v>768.0009767160404</v>
      </c>
      <c r="Y45" s="75">
        <v>758.4955460743695</v>
      </c>
      <c r="Z45" s="75">
        <v>748.544308155856</v>
      </c>
      <c r="AA45" s="75">
        <v>738.1226968159287</v>
      </c>
      <c r="AB45" s="75">
        <v>1770.9377105276133</v>
      </c>
    </row>
    <row r="46" spans="1:3" x14ac:dyDescent="0.25">
      <c r="A46" t="s">
        <v>7</v>
      </c>
      <c r="B46" s="7">
        <v>0.13999999993597156</v>
      </c>
      <c r="C46" t="s">
        <v>8</v>
      </c>
    </row>
    <row r="47" spans="1:3" x14ac:dyDescent="0.25">
      <c r="A47" t="s">
        <v>9</v>
      </c>
      <c r="B47" s="7">
        <v>0.09989827646990307</v>
      </c>
      <c r="C47" t="s">
        <v>8</v>
      </c>
    </row>
    <row r="48" spans="1:3" x14ac:dyDescent="0.25">
      <c r="A48" t="s">
        <v>10</v>
      </c>
      <c r="B48" s="8">
        <v>4.831690603168681e-13</v>
      </c>
      <c r="C48" t="s">
        <v>8</v>
      </c>
    </row>
    <row r="49" spans="1:3" x14ac:dyDescent="0.25">
      <c r="A49" t="s">
        <v>11</v>
      </c>
      <c r="B49" s="9">
        <v>1.1337970758308547</v>
      </c>
      <c r="C49" t="s">
        <v>8</v>
      </c>
    </row>
    <row r="50" spans="1:3" x14ac:dyDescent="0.25">
      <c r="A50" t="s">
        <v>12</v>
      </c>
      <c r="B50" s="9">
        <v>1.5616203875263572</v>
      </c>
      <c r="C50" t="s">
        <v>8</v>
      </c>
    </row>
    <row r="51" spans="1:3" x14ac:dyDescent="0.25">
      <c r="A51" t="s">
        <v>13</v>
      </c>
      <c r="B51" s="10">
        <v>9</v>
      </c>
      <c r="C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Live model</vt:lpstr>
      <vt:lpstr>Tender conditions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Tender to Bid</dc:creator>
  <dc:title/>
  <dc:subject/>
  <dc:description/>
  <cp:keywords/>
  <cp:category/>
  <cp:lastModifiedBy>Unknown</cp:lastModifiedBy>
  <dcterms:created xsi:type="dcterms:W3CDTF">2026-10-24T12:44:21Z</dcterms:created>
  <dcterms:modified xsi:type="dcterms:W3CDTF">2026-10-24T12:44:21Z</dcterms:modified>
</cp:coreProperties>
</file>