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55" authorId="0">
      <text>
        <r>
          <t>On the energy short of each time-block's floor, at this multiple of the year's tariff (SECI RTC-TM: 1.5)</t>
        </r>
      </text>
    </comment>
    <comment ref="A70" authorId="0">
      <text>
        <r>
          <t>wdv: written-down value at the WDV rate; slm: the book depreciation</t>
        </r>
      </text>
    </comment>
    <comment ref="A87" authorId="0">
      <text>
        <r>
          <t>The PPA term the optimiser dispatched; one column per year</t>
        </r>
      </text>
    </comment>
    <comment ref="A99" authorId="0">
      <text>
        <r>
          <t>Each hour's energy below its floor (peak and off-peak blocks), from the dispatch</t>
        </r>
      </text>
    </comment>
    <comment ref="A111" authorId="0">
      <text>
        <r>
          <t>Delivered MU × tariff ₹/kWh ÷ 10 = ₹ crore</t>
        </r>
      </text>
    </comment>
    <comment ref="A114" authorId="0">
      <text>
        <r>
          <t>Energy short of the block floors × multiple × the year's tariff</t>
        </r>
      </text>
    </comment>
    <comment ref="A118" authorId="0">
      <text>
        <r>
          <t>Size × ₹ lakh ÷ 100 = ₹ crore, escalated</t>
        </r>
      </text>
    </comment>
    <comment ref="A119" authorId="0">
      <text>
        <r>
          <t>Size × ₹ lakh ÷ 100 = ₹ crore, escalated</t>
        </r>
      </text>
    </comment>
    <comment ref="A120" authorId="0">
      <text>
        <r>
          <t>Size × ₹ lakh ÷ 100 = ₹ crore, escalated</t>
        </r>
      </text>
    </comment>
    <comment ref="A128" authorId="0">
      <text>
        <r>
          <t>annual: each year from year 2 replaces the year's fade (MWh × fade × the year's battery price); oneTime: the fade to that year (at most 60%), once</t>
        </r>
      </text>
    </comment>
    <comment ref="A132" authorId="0">
      <text>
        <r>
          <t>Augmentation is depreciated over the years left</t>
        </r>
      </text>
    </comment>
    <comment ref="A154" authorId="0">
      <text>
        <r>
          <t>EBITDA − interest − tax depreciation</t>
        </r>
      </text>
    </comment>
    <comment ref="A163" authorId="0">
      <text>
        <r>
          <t>Revenue × receivable days ÷ 365, held at the year end</t>
        </r>
      </text>
    </comment>
    <comment ref="A165" authorId="0">
      <text>
        <r>
          <t>EBITDA − tax − working capital − battery augmentation</t>
        </r>
      </text>
    </comment>
    <comment ref="A172" authorId="0">
      <text>
        <r>
          <t>The payback year is the first year marked here</t>
        </r>
      </text>
    </comment>
    <comment ref="A173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<sst xmlns="http://schemas.openxmlformats.org/spreadsheetml/2006/main" count="933" uniqueCount="361">
  <si>
    <t>SECI RTC-TM · bid financial model</t>
  </si>
  <si>
    <t>SECI/C&amp;P/IPP/13/0020/25-26 · 200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</si>
  <si>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</si>
  <si>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</si>
  <si>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</si>
  <si>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</si>
  <si>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</si>
  <si>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</si>
  <si>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</si>
  <si>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</si>
  <si>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</si>
  <si>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</si>
  <si>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</si>
  <si>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</si>
  <si>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</si>
  <si>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₹27.03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</si>
  <si>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</si>
  <si>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</si>
  <si>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</si>
  <si>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</si>
  <si>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</si>
  <si>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</si>
  <si>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</si>
  <si>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83.3% of contracted</t>
  </si>
  <si>
    <t>Year-1 market sale (MU)</t>
  </si>
  <si>
    <t>Revenue over 25 years (₹ cr)</t>
  </si>
  <si>
    <t>Tender conditions</t>
  </si>
  <si>
    <t>5 met, 0 not met</t>
  </si>
  <si>
    <t>Plant</t>
  </si>
  <si>
    <t>Contracted capacity (MW)</t>
  </si>
  <si>
    <t>bid capacity</t>
  </si>
  <si>
    <t>Solar (MW)</t>
  </si>
  <si>
    <t>sized by the optimizer</t>
  </si>
  <si>
    <t>Wind (MW)</t>
  </si>
  <si>
    <t>Battery power (MW)</t>
  </si>
  <si>
    <t>Battery energy (MWh)</t>
  </si>
  <si>
    <t>Key inputs</t>
  </si>
  <si>
    <t>Bid capacity (MW)</t>
  </si>
  <si>
    <t>Solar</t>
  </si>
  <si>
    <t>CUF (AC) 25.0% · Capex per MWac 4 ₹ cr/MWac · O&amp;M per MWac 4 ₹ lakh/MWac/yr</t>
  </si>
  <si>
    <t>Wind</t>
  </si>
  <si>
    <t>CUF 33.0% · Capex 6.5 ₹ cr/MW · O&amp;M 9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</si>
  <si>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</si>
  <si>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</si>
  <si>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</si>
  <si>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</si>
  <si>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</si>
  <si>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</si>
  <si>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</si>
  <si>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</si>
  <si>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</si>
  <si>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</si>
  <si>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</si>
  <si>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</si>
  <si>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</si>
  <si>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</si>
  <si>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</si>
  <si>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</si>
  <si>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</si>
  <si>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</si>
  <si>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</si>
  <si>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</si>
  <si>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</si>
  <si>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</si>
  <si>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</si>
  <si>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</si>
  <si>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</si>
  <si>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</si>
  <si>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</si>
  <si>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</si>
  <si>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</si>
  <si>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</si>
  <si>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</si>
  <si>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</si>
  <si>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</si>
  <si>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</si>
  <si>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</si>
  <si>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</si>
  <si>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</si>
  <si>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</si>
  <si>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</si>
  <si>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</si>
  <si>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</si>
  <si>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</si>
  <si>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</si>
  <si>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</si>
  <si>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</si>
  <si>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</si>
  <si>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</si>
  <si>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</si>
  <si>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</si>
  <si>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</si>
  <si>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</si>
  <si>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</si>
  <si>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</si>
  <si>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</si>
  <si>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</si>
  <si>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</si>
  <si>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</si>
  <si>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</si>
  <si>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</si>
  <si>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</si>
  <si>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</si>
  <si>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</si>
  <si>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</si>
  <si>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</si>
  <si>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</si>
  <si>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</si>
  <si>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</si>
  <si>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</si>
  <si>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</si>
  <si>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</si>
  <si>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</si>
  <si>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</si>
  <si>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</si>
  <si>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</si>
  <si>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</si>
  <si>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</si>
  <si>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</si>
  <si>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</si>
  <si>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</si>
  <si>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</si>
  <si>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</si>
  <si>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</si>
  <si>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</si>
  <si>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</si>
  <si>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</si>
  <si>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</si>
  <si>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</si>
  <si>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</si>
  <si>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</si>
  <si>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</si>
  <si>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</si>
  <si>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</si>
  <si>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</si>
  <si>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</si>
  <si>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</si>
  <si>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</si>
  <si>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</si>
  <si>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</si>
  <si>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</si>
  <si>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Time-block shortfall penalty</t>
  </si>
  <si>
    <t>× tariff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</si>
  <si>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</si>
  <si>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</si>
  <si>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</si>
  <si>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</si>
  <si>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</si>
  <si>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</si>
  <si>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</si>
  <si>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</si>
  <si>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</si>
  <si>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</si>
  <si>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</si>
  <si>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</si>
  <si>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</si>
  <si>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</si>
  <si>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</si>
  <si>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</si>
  <si>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</si>
  <si>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</si>
  <si>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</si>
  <si>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</si>
  <si>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</si>
  <si>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</si>
  <si>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</si>
  <si>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</si>
  <si>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</si>
  <si>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</si>
  <si>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</si>
  <si>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</si>
  <si>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</si>
  <si>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</si>
  <si>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</si>
  <si>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</si>
  <si>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</si>
  <si>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</si>
  <si>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</si>
  <si>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</si>
  <si>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</si>
  <si>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</si>
  <si>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</si>
  <si>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</si>
  <si>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</si>
  <si>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</si>
  <si>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</si>
  <si>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Short of the time-block floors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</si>
  <si>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</si>
  <si>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</si>
  <si>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</si>
  <si>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</si>
  <si>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</si>
  <si>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</si>
  <si>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</si>
  <si>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</si>
  <si>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</si>
  <si>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</si>
  <si>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</si>
  <si>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</si>
  <si>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</si>
  <si>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</si>
  <si>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</si>
  <si>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</si>
  <si>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</si>
  <si>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</si>
  <si>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</si>
  <si>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</si>
  <si>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</si>
  <si>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</si>
  <si>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</si>
  <si>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</si>
  <si>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</si>
  <si>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</si>
  <si>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</si>
  <si>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</si>
  <si>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</si>
  <si>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</si>
  <si>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</si>
  <si>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</si>
  <si>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</si>
  <si>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</si>
  <si>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</si>
  <si>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</si>
  <si>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</si>
  <si>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</si>
  <si>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</si>
  <si>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</si>
  <si>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</si>
  <si>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</si>
  <si>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</si>
  <si>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</si>
  <si>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</si>
  <si>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</si>
  <si>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</si>
  <si>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</si>
  <si>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</si>
  <si>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</si>
  <si>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</si>
  <si>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</si>
  <si>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</si>
  <si>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</si>
  <si>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</si>
  <si>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</si>
  <si>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</si>
  <si>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</si>
  <si>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</si>
  <si>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</si>
  <si>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</si>
  <si>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</si>
  <si>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</si>
  <si>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</si>
  <si>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</si>
  <si>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</si>
  <si>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</si>
  <si>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</si>
  <si>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</si>
  <si>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</si>
  <si>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</si>
  <si>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</si>
  <si>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</si>
  <si>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200 MW bid</t>
  </si>
  <si>
    <t>Met</t>
  </si>
  <si>
    <t>Peak Hours floor (every block)</t>
  </si>
  <si>
    <t>At least 90% of contracted capacity in every peak time-block; shortfall costs 1.5 × tariff</t>
  </si>
  <si>
    <t>(i) a minimum DFR of 90% in each time-block during the Peak Hours</t>
  </si>
  <si>
    <t>82.9% of the hours at the floor; 39.98 MU short in the worst modelled year</t>
  </si>
  <si>
    <t>Noted</t>
  </si>
  <si>
    <t>Off-peak floor (every block)</t>
  </si>
  <si>
    <t>At least 70% of contracted capacity in every off-peak time-block; shortfall costs 1.5 × tariff</t>
  </si>
  <si>
    <t>(ii) a minimum DFR of 70% in each time-block during the off-Peak Hours.</t>
  </si>
  <si>
    <t>87.1% of the hours at the floor; 77.81 MU short in the worst modelled year</t>
  </si>
  <si>
    <t>Peak hours</t>
  </si>
  <si>
    <t>Evening 18:00–24:00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</si>
  <si>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</si>
  <si>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</si>
  <si>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</si>
  <si>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</si>
  <si>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</si>
  <si>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292 MW / 1,167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</si>
  <si>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</si>
  <si>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</si>
  <si>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</si>
  <si>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</si>
  <si>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</si>
  <si>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</si>
  <si>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</si>
  <si>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₹6.530/kWh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</si>
  <si>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</si>
  <si>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</si>
  <si>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</si>
  <si>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</si>
  <si>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</si>
  <si>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</si>
  <si>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</si>
  <si>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</si>
  <si>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</si>
  <si>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</si>
  <si>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</si>
  <si>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</si>
  <si>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</si>
  <si>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MWp/MWac</t>
  </si>
  <si>
    <t>Annual degradation</t>
  </si>
  <si>
    <t>Capex per MWac</t>
  </si>
  <si>
    <t>₹ cr/MWac</t>
  </si>
  <si>
    <t>O&amp;M per MWac</t>
  </si>
  <si>
    <t>₹ lakh/MWac/yr</t>
  </si>
  <si>
    <t>CUF</t>
  </si>
  <si>
    <t>Capex</t>
  </si>
  <si>
    <t>O&amp;M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</si>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</sst>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67" fontId="8" fillId="3" borderId="1" xfId="0" applyNumberFormat="1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4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6.530374840944462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0.0996201770065818</v>
      </c>
      <c r="C12" t="s">
        <v>8</v>
      </c>
    </row>
    <row r="13" spans="1:3" x14ac:dyDescent="0.25">
      <c r="A13" t="s">
        <v>10</v>
      </c>
      <c r="B13" s="8">
        <f>'Live model'!$C$13</f>
        <v>9.947598300641403e-14</v>
      </c>
      <c r="C13" t="s">
        <v>8</v>
      </c>
    </row>
    <row r="14" spans="1:3" x14ac:dyDescent="0.25">
      <c r="A14" t="s">
        <v>11</v>
      </c>
      <c r="B14" s="9">
        <f>'Live model'!$C$15</f>
        <v>1.1242661523607729</v>
      </c>
      <c r="C14" t="s">
        <v>8</v>
      </c>
    </row>
    <row r="15" spans="1:3" x14ac:dyDescent="0.25">
      <c r="A15" t="s">
        <v>12</v>
      </c>
      <c r="B15" s="9">
        <f>'Live model'!$C$16</f>
        <v>1.5592739205330317</v>
      </c>
      <c r="C15" t="s">
        <v>8</v>
      </c>
    </row>
    <row r="16" spans="1:3" x14ac:dyDescent="0.25">
      <c r="A16" t="s">
        <v>13</v>
      </c>
      <c r="B16" s="10">
        <f>'Live model'!$C$19</f>
        <v>8</v>
      </c>
      <c r="C16" t="s">
        <v>8</v>
      </c>
    </row>
    <row r="17" spans="1:3" x14ac:dyDescent="0.25">
      <c r="A17" t="s">
        <v>14</v>
      </c>
      <c r="B17" s="8">
        <f>'Live model'!$C$20</f>
        <v>5406.4049462433695</v>
      </c>
      <c r="C17" t="s">
        <v>15</v>
      </c>
    </row>
    <row r="18" spans="1:3" x14ac:dyDescent="0.25">
      <c r="A18" t="s">
        <v>16</v>
      </c>
      <c r="B18" s="8">
        <f>'Live model'!$C$21</f>
        <v>3784.483462370358</v>
      </c>
      <c r="C18" t="s">
        <v>8</v>
      </c>
    </row>
    <row r="19" spans="1:3" x14ac:dyDescent="0.25">
      <c r="A19" t="s">
        <v>17</v>
      </c>
      <c r="B19" s="8">
        <f>'Live model'!$C$22</f>
        <v>1621.9214838730113</v>
      </c>
      <c r="C19" t="s">
        <v>8</v>
      </c>
    </row>
    <row r="20" spans="1:3" x14ac:dyDescent="0.25">
      <c r="A20" t="s">
        <v>18</v>
      </c>
      <c r="B20" s="6">
        <f>'Live model'!$C$17</f>
        <v>5.020353898824472</v>
      </c>
      <c r="C20" t="s">
        <v>19</v>
      </c>
    </row>
    <row r="21" spans="1:3" x14ac:dyDescent="0.25">
      <c r="A21" t="s">
        <v>20</v>
      </c>
      <c r="B21" s="6">
        <v>6.524886118819515</v>
      </c>
      <c r="C21" t="s">
        <v>21</v>
      </c>
    </row>
    <row r="22" spans="1:3" x14ac:dyDescent="0.25">
      <c r="A22" t="s">
        <v>22</v>
      </c>
      <c r="B22" s="11">
        <v>1459.4079902466867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20703.024840104146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200</v>
      </c>
      <c r="C28" t="s">
        <v>30</v>
      </c>
    </row>
    <row r="29" spans="1:3" x14ac:dyDescent="0.25">
      <c r="A29" t="s">
        <v>31</v>
      </c>
      <c r="B29" s="11">
        <v>424.2244085840473</v>
      </c>
      <c r="C29" t="s">
        <v>32</v>
      </c>
    </row>
    <row r="30" spans="1:3" x14ac:dyDescent="0.25">
      <c r="A30" t="s">
        <v>33</v>
      </c>
      <c r="B30" s="11">
        <v>315.69620893894404</v>
      </c>
      <c r="C30" t="s">
        <v>32</v>
      </c>
    </row>
    <row r="31" spans="1:3" x14ac:dyDescent="0.25">
      <c r="A31" t="s">
        <v>34</v>
      </c>
      <c r="B31" s="11">
        <v>291.6737706710471</v>
      </c>
      <c r="C31" t="s">
        <v>8</v>
      </c>
    </row>
    <row r="32" spans="1:3" x14ac:dyDescent="0.25">
      <c r="A32" t="s">
        <v>35</v>
      </c>
      <c r="B32" s="11">
        <v>1166.6950826841885</v>
      </c>
      <c r="C32" t="s">
        <v>8</v>
      </c>
    </row>
    <row r="34" spans="1:1" s="5" customFormat="1" x14ac:dyDescent="0.25">
      <c r="A34" s="5" t="s">
        <v>36</v>
      </c>
    </row>
    <row r="35" spans="1:3" x14ac:dyDescent="0.25">
      <c r="A35" t="s">
        <v>37</v>
      </c>
      <c r="B35" s="11">
        <v>200</v>
      </c>
      <c r="C35" t="s">
        <v>8</v>
      </c>
    </row>
    <row r="36" spans="1:3" x14ac:dyDescent="0.25">
      <c r="A36" t="s">
        <v>38</v>
      </c>
      <c r="B36" s="12" t="s">
        <v>39</v>
      </c>
      <c r="C36" t="s">
        <v>8</v>
      </c>
    </row>
    <row r="37" spans="1:3" x14ac:dyDescent="0.25">
      <c r="A37" t="s">
        <v>40</v>
      </c>
      <c r="B37" s="12" t="s">
        <v>41</v>
      </c>
      <c r="C37" t="s">
        <v>8</v>
      </c>
    </row>
    <row r="38" spans="1:3" x14ac:dyDescent="0.25">
      <c r="A38" t="s">
        <v>42</v>
      </c>
      <c r="B38" s="12" t="s">
        <v>43</v>
      </c>
      <c r="C38" t="s">
        <v>8</v>
      </c>
    </row>
    <row r="39" spans="1:3" x14ac:dyDescent="0.25">
      <c r="A39" t="s">
        <v>44</v>
      </c>
      <c r="B39" s="12" t="s">
        <v>45</v>
      </c>
      <c r="C39" t="s">
        <v>8</v>
      </c>
    </row>
    <row r="40" spans="1:3" x14ac:dyDescent="0.25">
      <c r="A40" t="s">
        <v>46</v>
      </c>
      <c r="B40" s="12" t="s">
        <v>47</v>
      </c>
      <c r="C40" t="s">
        <v>8</v>
      </c>
    </row>
    <row r="42" spans="1:1" s="5" customFormat="1" x14ac:dyDescent="0.25">
      <c r="A42" s="5" t="s">
        <v>48</v>
      </c>
    </row>
    <row r="43" spans="1:3" x14ac:dyDescent="0.25">
      <c r="A43" t="s">
        <v>49</v>
      </c>
      <c r="B43" s="12" t="s">
        <v>50</v>
      </c>
      <c r="C43" t="s">
        <v>8</v>
      </c>
    </row>
    <row r="44" spans="1:3" x14ac:dyDescent="0.25">
      <c r="A44" t="s">
        <v>48</v>
      </c>
      <c r="B44" s="12" t="s">
        <v>51</v>
      </c>
      <c r="C44" t="s">
        <v>52</v>
      </c>
    </row>
    <row r="45" spans="1:3" x14ac:dyDescent="0.25">
      <c r="A45" t="s">
        <v>53</v>
      </c>
      <c r="B45" s="12" t="s">
        <v>54</v>
      </c>
      <c r="C45" t="s">
        <v>8</v>
      </c>
    </row>
    <row r="46" spans="1:3" x14ac:dyDescent="0.25">
      <c r="A46" t="s">
        <v>55</v>
      </c>
      <c r="B46" s="12" t="s">
        <v>56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58</v>
      </c>
      <c r="C48" t="s">
        <v>8</v>
      </c>
    </row>
    <row r="49" spans="1:3" x14ac:dyDescent="0.25">
      <c r="A49" t="s">
        <v>60</v>
      </c>
      <c r="B49" s="12" t="s">
        <v>61</v>
      </c>
      <c r="C49" t="s">
        <v>8</v>
      </c>
    </row>
    <row r="50" spans="1:3" x14ac:dyDescent="0.25">
      <c r="A50" t="s">
        <v>62</v>
      </c>
      <c r="B50" s="12" t="s">
        <v>63</v>
      </c>
      <c r="C50" t="s">
        <v>8</v>
      </c>
    </row>
    <row r="51" spans="1:3" x14ac:dyDescent="0.25">
      <c r="A51" t="s">
        <v>64</v>
      </c>
      <c r="B51" s="12" t="s">
        <v>58</v>
      </c>
      <c r="C51" t="s">
        <v>8</v>
      </c>
    </row>
    <row r="53" spans="1:1" s="13" customFormat="1" x14ac:dyDescent="0.25">
      <c r="A53" s="13" t="s">
        <v>65</v>
      </c>
    </row>
    <row r="54" spans="1:1" s="13" customFormat="1" x14ac:dyDescent="0.25">
      <c r="A54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9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67</v>
      </c>
    </row>
    <row r="3" spans="1:4" x14ac:dyDescent="0.25">
      <c r="A3" s="14" t="s">
        <v>68</v>
      </c>
      <c r="B3" s="15" t="s">
        <v>69</v>
      </c>
      <c r="C3" s="16" t="s">
        <v>70</v>
      </c>
      <c r="D3" s="17" t="s">
        <v>71</v>
      </c>
    </row>
    <row r="4" spans="1:1" x14ac:dyDescent="0.25">
      <c r="A4" s="3" t="s">
        <v>72</v>
      </c>
    </row>
    <row r="5" spans="1:29" x14ac:dyDescent="0.25">
      <c r="A5" s="18" t="s">
        <v>73</v>
      </c>
      <c r="B5" s="18" t="s">
        <v>74</v>
      </c>
      <c r="C5" s="19" t="s">
        <v>75</v>
      </c>
      <c r="D5" s="19" t="s">
        <v>76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77</v>
      </c>
      <c r="D8" s="24" t="s">
        <v>78</v>
      </c>
      <c r="E8" s="24" t="s">
        <v>79</v>
      </c>
      <c r="F8" s="24" t="s">
        <v>80</v>
      </c>
    </row>
    <row r="9" spans="1:6" x14ac:dyDescent="0.25">
      <c r="A9" s="25" t="s">
        <v>81</v>
      </c>
      <c r="B9" s="26" t="s">
        <v>82</v>
      </c>
      <c r="C9" s="27">
        <f>$C$29</f>
        <v>6.530374840944462</v>
      </c>
      <c r="D9" s="28">
        <v>6.530374840944462</v>
      </c>
      <c r="E9" s="29">
        <f>IF(ISNUMBER(C9),C9-D9,"")</f>
        <v>0</v>
      </c>
      <c r="F9" s="12" t="str">
        <f>IF(ISNUMBER(E9),IF(ABS(E9)&lt;=0.000006530374840944462,"Yes","Changed"),"")</f>
        <v>Yes</v>
      </c>
    </row>
    <row r="10" spans="1:6" x14ac:dyDescent="0.25">
      <c r="A10" s="25" t="s">
        <v>7</v>
      </c>
      <c r="B10" s="26" t="s">
        <v>83</v>
      </c>
      <c r="C10" s="30">
        <f>IFERROR(IRR(D170:AC170),"n/a")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84</v>
      </c>
      <c r="B11" s="26" t="s">
        <v>83</v>
      </c>
      <c r="C11" s="34">
        <f>IFERROR($C$10-$C$66,"n/a")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83</v>
      </c>
      <c r="C12" s="34">
        <f>IFERROR(IRR(D174:AC174),"n/a")</f>
        <v>0.09962017714217722</v>
      </c>
      <c r="D12" s="31">
        <v>0.0996201770065818</v>
      </c>
      <c r="E12" s="32">
        <f>IF(ISNUMBER(C12),C12-D12,"")</f>
        <v>1.3559542377805656e-10</v>
      </c>
      <c r="F12" s="12" t="str">
        <f>IF(ISNUMBER(E12),IF(ABS(E12)&lt;=0.00001,"Yes","Changed"),"")</f>
        <v>Yes</v>
      </c>
    </row>
    <row r="13" spans="1:6" x14ac:dyDescent="0.25">
      <c r="A13" s="33" t="s">
        <v>85</v>
      </c>
      <c r="B13" s="26" t="s">
        <v>86</v>
      </c>
      <c r="C13" s="35">
        <f>D170+NPV($C$66,E170:AC170)</f>
        <v>-4.121147867408581e-13</v>
      </c>
      <c r="D13" s="36">
        <v>9.947598300641403e-14</v>
      </c>
      <c r="E13" s="37">
        <f>IF(ISNUMBER(C13),C13-D13,"")</f>
        <v>-5.115907697472721e-13</v>
      </c>
      <c r="F13" s="12" t="str">
        <f>IF(ISNUMBER(E13),IF(ABS(E13)&lt;=0.000001,"Yes","Changed"),"")</f>
        <v>Yes</v>
      </c>
    </row>
    <row r="14" spans="1:6" x14ac:dyDescent="0.25">
      <c r="A14" s="33" t="s">
        <v>87</v>
      </c>
      <c r="B14" s="26" t="s">
        <v>86</v>
      </c>
      <c r="C14" s="35">
        <f>D174+NPV($C$67,E174:AC174)</f>
        <v>-14.464161624841793</v>
      </c>
      <c r="D14" s="36">
        <v>-14.46416162484175</v>
      </c>
      <c r="E14" s="37">
        <f>IF(ISNUMBER(C14),C14-D14,"")</f>
        <v>-4.263256414560601e-14</v>
      </c>
      <c r="F14" s="12" t="str">
        <f>IF(ISNUMBER(E14),IF(ABS(E14)&lt;=0.00001446416162484175,"Yes","Changed"),"")</f>
        <v>Yes</v>
      </c>
    </row>
    <row r="15" spans="1:6" x14ac:dyDescent="0.25">
      <c r="A15" s="33" t="s">
        <v>11</v>
      </c>
      <c r="B15" s="26" t="s">
        <v>88</v>
      </c>
      <c r="C15" s="38">
        <f>IF(COUNT(E167:AC167)=0,"",MIN(E167:AC167))</f>
        <v>1.124266152360773</v>
      </c>
      <c r="D15" s="39">
        <v>1.1242661523607729</v>
      </c>
      <c r="E15" s="40">
        <f>IF(ISNUMBER(C15),C15-D15,"")</f>
        <v>2.220446049250313e-16</v>
      </c>
      <c r="F15" s="12" t="str">
        <f>IF(ISNUMBER(E15),IF(ABS(E15)&lt;=0.0000011242661523607727,"Yes","Changed"),"")</f>
        <v>Yes</v>
      </c>
    </row>
    <row r="16" spans="1:6" x14ac:dyDescent="0.25">
      <c r="A16" s="33" t="s">
        <v>12</v>
      </c>
      <c r="B16" s="26" t="s">
        <v>88</v>
      </c>
      <c r="C16" s="38">
        <f>IF(COUNT(E167:AC167)=0,"",AVERAGE(E167:AC167))</f>
        <v>1.5592739205330317</v>
      </c>
      <c r="D16" s="39">
        <v>1.5592739205330317</v>
      </c>
      <c r="E16" s="40">
        <f>IF(ISNUMBER(C16),C16-D16,"")</f>
        <v>0</v>
      </c>
      <c r="F16" s="12" t="str">
        <f>IF(ISNUMBER(E16),IF(ABS(E16)&lt;=0.0000015592739205330316,"Yes","Changed"),"")</f>
        <v>Yes</v>
      </c>
    </row>
    <row r="17" spans="1:6" x14ac:dyDescent="0.25">
      <c r="A17" s="33" t="s">
        <v>89</v>
      </c>
      <c r="B17" s="26" t="s">
        <v>82</v>
      </c>
      <c r="C17" s="41">
        <f>IF(C179&gt;0,($C$84+C178)*10/C179,"")</f>
        <v>5.020353898824474</v>
      </c>
      <c r="D17" s="28">
        <v>5.020353898824472</v>
      </c>
      <c r="E17" s="29">
        <f>IF(ISNUMBER(C17),C17-D17,"")</f>
        <v>1.7763568394002505e-15</v>
      </c>
      <c r="F17" s="12" t="str">
        <f>IF(ISNUMBER(E17),IF(ABS(E17)&lt;=0.000005020353898824472,"Yes","Changed"),"")</f>
        <v>Yes</v>
      </c>
    </row>
    <row r="18" spans="1:6" x14ac:dyDescent="0.25">
      <c r="A18" s="33" t="s">
        <v>90</v>
      </c>
      <c r="B18" s="26" t="s">
        <v>82</v>
      </c>
      <c r="C18" s="41">
        <f>IF(C179&gt;0,C180*10/C179,"")</f>
        <v>6.530374840944461</v>
      </c>
      <c r="D18" s="28">
        <v>6.530374840944463</v>
      </c>
      <c r="E18" s="29">
        <f>IF(ISNUMBER(C18),C18-D18,"")</f>
        <v>-1.7763568394002505e-15</v>
      </c>
      <c r="F18" s="12" t="str">
        <f>IF(ISNUMBER(E18),IF(ABS(E18)&lt;=0.0000065303748409444625,"Yes","Changed"),"")</f>
        <v>Yes</v>
      </c>
    </row>
    <row r="19" spans="1:6" x14ac:dyDescent="0.25">
      <c r="A19" s="33" t="s">
        <v>91</v>
      </c>
      <c r="B19" s="26" t="s">
        <v>92</v>
      </c>
      <c r="C19" s="42">
        <f>IF(COUNT(E172:AC172)=0,"beyond the term",MIN(E172:AC172))</f>
        <v>8</v>
      </c>
      <c r="D19" s="43">
        <v>8</v>
      </c>
      <c r="E19" s="44">
        <f>IF(ISNUMBER(C19),C19-D19,"")</f>
        <v>0</v>
      </c>
      <c r="F19" s="12" t="str">
        <f>IF(ISNUMBER(E19),IF(ABS(E19)&lt;=0.000008,"Yes","Changed"),"")</f>
        <v>Yes</v>
      </c>
    </row>
    <row r="20" spans="1:6" x14ac:dyDescent="0.25">
      <c r="A20" s="33" t="s">
        <v>93</v>
      </c>
      <c r="B20" s="26" t="s">
        <v>86</v>
      </c>
      <c r="C20" s="35">
        <f>$C$84</f>
        <v>5406.4049462433695</v>
      </c>
      <c r="D20" s="36">
        <v>5406.4049462433695</v>
      </c>
      <c r="E20" s="37">
        <f>IF(ISNUMBER(C20),C20-D20,"")</f>
        <v>0</v>
      </c>
      <c r="F20" s="12" t="str">
        <f>IF(ISNUMBER(E20),IF(ABS(E20)&lt;=0.005406404946243369,"Yes","Changed"),"")</f>
        <v>Yes</v>
      </c>
    </row>
    <row r="21" spans="1:6" x14ac:dyDescent="0.25">
      <c r="A21" s="33" t="s">
        <v>94</v>
      </c>
      <c r="B21" s="26" t="s">
        <v>86</v>
      </c>
      <c r="C21" s="35">
        <f>$C$85</f>
        <v>3784.483462370358</v>
      </c>
      <c r="D21" s="36">
        <v>3784.483462370358</v>
      </c>
      <c r="E21" s="37">
        <f>IF(ISNUMBER(C21),C21-D21,"")</f>
        <v>0</v>
      </c>
      <c r="F21" s="12" t="str">
        <f>IF(ISNUMBER(E21),IF(ABS(E21)&lt;=0.003784483462370358,"Yes","Changed"),"")</f>
        <v>Yes</v>
      </c>
    </row>
    <row r="22" spans="1:6" x14ac:dyDescent="0.25">
      <c r="A22" s="33" t="s">
        <v>95</v>
      </c>
      <c r="B22" s="26" t="s">
        <v>86</v>
      </c>
      <c r="C22" s="35">
        <f>$C$86</f>
        <v>1621.9214838730113</v>
      </c>
      <c r="D22" s="36">
        <v>1621.9214838730113</v>
      </c>
      <c r="E22" s="37">
        <f>IF(ISNUMBER(C22),C22-D22,"")</f>
        <v>0</v>
      </c>
      <c r="F22" s="12" t="str">
        <f>IF(ISNUMBER(E22),IF(ABS(E22)&lt;=0.0016219214838730112,"Yes","Changed"),"")</f>
        <v>Yes</v>
      </c>
    </row>
    <row r="23" spans="1:6" x14ac:dyDescent="0.25">
      <c r="A23" s="33" t="s">
        <v>96</v>
      </c>
      <c r="B23" s="26" t="s">
        <v>86</v>
      </c>
      <c r="C23" s="35">
        <f>C115</f>
        <v>20703.024840104146</v>
      </c>
      <c r="D23" s="36">
        <v>20703.024840104146</v>
      </c>
      <c r="E23" s="37">
        <f>IF(ISNUMBER(C23),C23-D23,"")</f>
        <v>0</v>
      </c>
      <c r="F23" s="12" t="str">
        <f>IF(ISNUMBER(E23),IF(ABS(E23)&lt;=0.020703024840104146,"Yes","Changed"),"")</f>
        <v>Yes</v>
      </c>
    </row>
    <row r="24" spans="1:6" x14ac:dyDescent="0.25">
      <c r="A24" s="33" t="s">
        <v>97</v>
      </c>
      <c r="C24" s="45" t="str">
        <f>IF(AND($C$194="OK",$C$195="OK",$C$196="OK",$C$197="OK"),"OK","CHECK")</f>
        <v>OK</v>
      </c>
      <c r="F24" s="12" t="str">
        <f>IF(C24="OK","OK","CHECK")</f>
        <v>OK</v>
      </c>
    </row>
    <row r="25" spans="1:1" x14ac:dyDescent="0.25">
      <c r="A25" s="13" t="s">
        <v>98</v>
      </c>
    </row>
    <row r="27" ht="20" customHeight="1" spans="1:29" x14ac:dyDescent="0.25">
      <c r="A27" s="21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100</v>
      </c>
      <c r="B28" s="47"/>
      <c r="C28" s="47"/>
      <c r="D28" s="47"/>
    </row>
    <row r="29" spans="1:4" x14ac:dyDescent="0.25">
      <c r="A29" s="33" t="s">
        <v>81</v>
      </c>
      <c r="B29" s="26" t="s">
        <v>82</v>
      </c>
      <c r="C29" s="48">
        <v>6.530374840944462</v>
      </c>
      <c r="D29" s="3" t="s">
        <v>101</v>
      </c>
    </row>
    <row r="30" spans="1:4" x14ac:dyDescent="0.25">
      <c r="A30" s="33" t="s">
        <v>102</v>
      </c>
      <c r="B30" s="26" t="s">
        <v>103</v>
      </c>
      <c r="C30" s="49">
        <v>0</v>
      </c>
      <c r="D30" s="50" t="s">
        <v>104</v>
      </c>
    </row>
    <row r="31" spans="1:4" x14ac:dyDescent="0.25">
      <c r="A31" s="46" t="s">
        <v>105</v>
      </c>
      <c r="B31" s="47"/>
      <c r="C31" s="47"/>
      <c r="D31" s="47"/>
    </row>
    <row r="32" spans="1:4" x14ac:dyDescent="0.25">
      <c r="A32" s="33" t="s">
        <v>38</v>
      </c>
      <c r="B32" s="26" t="s">
        <v>106</v>
      </c>
      <c r="C32" s="51">
        <v>424.2244085840473</v>
      </c>
      <c r="D32" s="3" t="s">
        <v>107</v>
      </c>
    </row>
    <row r="33" spans="1:4" x14ac:dyDescent="0.25">
      <c r="A33" s="33" t="s">
        <v>40</v>
      </c>
      <c r="B33" s="26" t="s">
        <v>106</v>
      </c>
      <c r="C33" s="51">
        <v>315.69620893894404</v>
      </c>
      <c r="D33" s="3" t="s">
        <v>107</v>
      </c>
    </row>
    <row r="34" spans="1:4" x14ac:dyDescent="0.25">
      <c r="A34" s="33" t="s">
        <v>108</v>
      </c>
      <c r="B34" s="26" t="s">
        <v>106</v>
      </c>
      <c r="C34" s="51">
        <v>291.6737706710471</v>
      </c>
      <c r="D34" s="3" t="s">
        <v>107</v>
      </c>
    </row>
    <row r="35" spans="1:4" x14ac:dyDescent="0.25">
      <c r="A35" s="33" t="s">
        <v>109</v>
      </c>
      <c r="B35" s="26" t="s">
        <v>110</v>
      </c>
      <c r="C35" s="51">
        <v>1166.6950826841885</v>
      </c>
      <c r="D35" s="3" t="s">
        <v>107</v>
      </c>
    </row>
    <row r="36" spans="1:4" x14ac:dyDescent="0.25">
      <c r="A36" s="46" t="s">
        <v>111</v>
      </c>
      <c r="B36" s="47"/>
      <c r="C36" s="47"/>
      <c r="D36" s="47"/>
    </row>
    <row r="37" spans="1:4" x14ac:dyDescent="0.25">
      <c r="A37" s="33" t="s">
        <v>38</v>
      </c>
      <c r="B37" s="26" t="s">
        <v>112</v>
      </c>
      <c r="C37" s="52">
        <v>4</v>
      </c>
      <c r="D37" s="50" t="s">
        <v>104</v>
      </c>
    </row>
    <row r="38" spans="1:4" x14ac:dyDescent="0.25">
      <c r="A38" s="33" t="s">
        <v>40</v>
      </c>
      <c r="B38" s="26" t="s">
        <v>112</v>
      </c>
      <c r="C38" s="52">
        <v>6.5</v>
      </c>
      <c r="D38" s="50" t="s">
        <v>104</v>
      </c>
    </row>
    <row r="39" spans="1:4" x14ac:dyDescent="0.25">
      <c r="A39" s="33" t="s">
        <v>109</v>
      </c>
      <c r="B39" s="26" t="s">
        <v>113</v>
      </c>
      <c r="C39" s="52">
        <v>1.2</v>
      </c>
      <c r="D39" s="50" t="s">
        <v>104</v>
      </c>
    </row>
    <row r="40" spans="1:4" x14ac:dyDescent="0.25">
      <c r="A40" s="33" t="s">
        <v>114</v>
      </c>
      <c r="B40" s="26" t="s">
        <v>112</v>
      </c>
      <c r="C40" s="52">
        <v>0</v>
      </c>
      <c r="D40" s="3" t="s">
        <v>115</v>
      </c>
    </row>
    <row r="41" spans="1:4" x14ac:dyDescent="0.25">
      <c r="A41" s="33" t="s">
        <v>116</v>
      </c>
      <c r="B41" s="26" t="s">
        <v>86</v>
      </c>
      <c r="C41" s="53">
        <v>0</v>
      </c>
      <c r="D41" s="50" t="s">
        <v>104</v>
      </c>
    </row>
    <row r="42" spans="1:4" x14ac:dyDescent="0.25">
      <c r="A42" s="33" t="s">
        <v>117</v>
      </c>
      <c r="B42" s="26" t="s">
        <v>118</v>
      </c>
      <c r="C42" s="49">
        <v>0.05</v>
      </c>
      <c r="D42" s="50" t="s">
        <v>104</v>
      </c>
    </row>
    <row r="43" spans="1:4" x14ac:dyDescent="0.25">
      <c r="A43" s="46" t="s">
        <v>119</v>
      </c>
      <c r="B43" s="47"/>
      <c r="C43" s="47"/>
      <c r="D43" s="47"/>
    </row>
    <row r="44" spans="1:4" x14ac:dyDescent="0.25">
      <c r="A44" s="33" t="s">
        <v>120</v>
      </c>
      <c r="B44" s="26" t="s">
        <v>121</v>
      </c>
      <c r="C44" s="52">
        <v>4</v>
      </c>
      <c r="D44" s="50" t="s">
        <v>104</v>
      </c>
    </row>
    <row r="45" spans="1:4" x14ac:dyDescent="0.25">
      <c r="A45" s="33" t="s">
        <v>122</v>
      </c>
      <c r="B45" s="26" t="s">
        <v>121</v>
      </c>
      <c r="C45" s="52">
        <v>9</v>
      </c>
      <c r="D45" s="50" t="s">
        <v>104</v>
      </c>
    </row>
    <row r="46" spans="1:4" x14ac:dyDescent="0.25">
      <c r="A46" s="33" t="s">
        <v>123</v>
      </c>
      <c r="B46" s="26" t="s">
        <v>124</v>
      </c>
      <c r="C46" s="52">
        <v>1.2</v>
      </c>
      <c r="D46" s="50" t="s">
        <v>104</v>
      </c>
    </row>
    <row r="47" spans="1:4" x14ac:dyDescent="0.25">
      <c r="A47" s="33" t="s">
        <v>125</v>
      </c>
      <c r="B47" s="26" t="s">
        <v>103</v>
      </c>
      <c r="C47" s="49">
        <v>0.05</v>
      </c>
      <c r="D47" s="50" t="s">
        <v>104</v>
      </c>
    </row>
    <row r="48" spans="1:4" x14ac:dyDescent="0.25">
      <c r="A48" s="33" t="s">
        <v>126</v>
      </c>
      <c r="B48" s="26" t="s">
        <v>127</v>
      </c>
      <c r="C48" s="49">
        <v>0.003</v>
      </c>
      <c r="D48" s="50" t="s">
        <v>104</v>
      </c>
    </row>
    <row r="49" spans="1:4" x14ac:dyDescent="0.25">
      <c r="A49" s="33" t="s">
        <v>128</v>
      </c>
      <c r="B49" s="26" t="s">
        <v>129</v>
      </c>
      <c r="C49" s="53">
        <v>0</v>
      </c>
      <c r="D49" s="3" t="s">
        <v>130</v>
      </c>
    </row>
    <row r="50" spans="1:4" x14ac:dyDescent="0.25">
      <c r="A50" s="46" t="s">
        <v>131</v>
      </c>
      <c r="B50" s="47"/>
      <c r="C50" s="47"/>
      <c r="D50" s="47"/>
    </row>
    <row r="51" spans="1:4" x14ac:dyDescent="0.25">
      <c r="A51" s="33" t="s">
        <v>132</v>
      </c>
      <c r="B51" s="26" t="s">
        <v>133</v>
      </c>
      <c r="C51" s="54" t="s">
        <v>134</v>
      </c>
      <c r="D51" s="50" t="s">
        <v>104</v>
      </c>
    </row>
    <row r="52" spans="1:4" x14ac:dyDescent="0.25">
      <c r="A52" s="33" t="s">
        <v>135</v>
      </c>
      <c r="B52" s="26" t="s">
        <v>82</v>
      </c>
      <c r="C52" s="48">
        <v>0</v>
      </c>
      <c r="D52" s="3" t="s">
        <v>136</v>
      </c>
    </row>
    <row r="53" spans="1:4" x14ac:dyDescent="0.25">
      <c r="A53" s="33" t="s">
        <v>137</v>
      </c>
      <c r="B53" s="26" t="s">
        <v>138</v>
      </c>
      <c r="C53" s="49">
        <v>0</v>
      </c>
      <c r="D53" s="3" t="s">
        <v>48</v>
      </c>
    </row>
    <row r="54" spans="1:4" x14ac:dyDescent="0.25">
      <c r="A54" s="33" t="s">
        <v>139</v>
      </c>
      <c r="B54" s="26" t="s">
        <v>140</v>
      </c>
      <c r="C54" s="48">
        <v>0</v>
      </c>
      <c r="D54" s="3" t="s">
        <v>130</v>
      </c>
    </row>
    <row r="55" spans="1:4" x14ac:dyDescent="0.25">
      <c r="A55" s="33" t="s">
        <v>141</v>
      </c>
      <c r="B55" s="26" t="s">
        <v>142</v>
      </c>
      <c r="C55" s="55">
        <v>1.5</v>
      </c>
      <c r="D55" s="3" t="s">
        <v>48</v>
      </c>
    </row>
    <row r="56" spans="1:4" x14ac:dyDescent="0.25">
      <c r="A56" s="46" t="s">
        <v>143</v>
      </c>
      <c r="B56" s="47"/>
      <c r="C56" s="47"/>
      <c r="D56" s="47"/>
    </row>
    <row r="57" spans="1:4" x14ac:dyDescent="0.25">
      <c r="A57" s="33" t="s">
        <v>144</v>
      </c>
      <c r="B57" s="26" t="s">
        <v>145</v>
      </c>
      <c r="C57" s="54" t="s">
        <v>146</v>
      </c>
      <c r="D57" s="50" t="s">
        <v>104</v>
      </c>
    </row>
    <row r="58" spans="1:4" x14ac:dyDescent="0.25">
      <c r="A58" s="33" t="s">
        <v>147</v>
      </c>
      <c r="B58" s="26" t="s">
        <v>103</v>
      </c>
      <c r="C58" s="49">
        <v>0.02</v>
      </c>
      <c r="D58" s="50" t="s">
        <v>104</v>
      </c>
    </row>
    <row r="59" spans="1:4" x14ac:dyDescent="0.25">
      <c r="A59" s="33" t="s">
        <v>148</v>
      </c>
      <c r="B59" s="26" t="s">
        <v>92</v>
      </c>
      <c r="C59" s="56">
        <v>12</v>
      </c>
      <c r="D59" s="3" t="s">
        <v>149</v>
      </c>
    </row>
    <row r="60" spans="1:4" x14ac:dyDescent="0.25">
      <c r="A60" s="33" t="s">
        <v>150</v>
      </c>
      <c r="B60" s="26" t="s">
        <v>103</v>
      </c>
      <c r="C60" s="49">
        <v>0</v>
      </c>
      <c r="D60" s="3" t="s">
        <v>130</v>
      </c>
    </row>
    <row r="61" spans="1:4" x14ac:dyDescent="0.25">
      <c r="A61" s="46" t="s">
        <v>44</v>
      </c>
      <c r="B61" s="47"/>
      <c r="C61" s="47"/>
      <c r="D61" s="47"/>
    </row>
    <row r="62" spans="1:4" x14ac:dyDescent="0.25">
      <c r="A62" s="33" t="s">
        <v>151</v>
      </c>
      <c r="B62" s="26" t="s">
        <v>152</v>
      </c>
      <c r="C62" s="49">
        <v>0.7</v>
      </c>
      <c r="D62" s="50" t="s">
        <v>104</v>
      </c>
    </row>
    <row r="63" spans="1:4" x14ac:dyDescent="0.25">
      <c r="A63" s="33" t="s">
        <v>153</v>
      </c>
      <c r="B63" s="26" t="s">
        <v>103</v>
      </c>
      <c r="C63" s="49">
        <v>0.09</v>
      </c>
      <c r="D63" s="50" t="s">
        <v>104</v>
      </c>
    </row>
    <row r="64" spans="1:4" x14ac:dyDescent="0.25">
      <c r="A64" s="33" t="s">
        <v>154</v>
      </c>
      <c r="B64" s="26" t="s">
        <v>155</v>
      </c>
      <c r="C64" s="56">
        <v>15</v>
      </c>
      <c r="D64" s="50" t="s">
        <v>104</v>
      </c>
    </row>
    <row r="65" spans="1:4" x14ac:dyDescent="0.25">
      <c r="A65" s="33" t="s">
        <v>156</v>
      </c>
      <c r="B65" s="26" t="s">
        <v>157</v>
      </c>
      <c r="C65" s="54" t="s">
        <v>158</v>
      </c>
      <c r="D65" s="3" t="s">
        <v>130</v>
      </c>
    </row>
    <row r="66" spans="1:4" x14ac:dyDescent="0.25">
      <c r="A66" s="33" t="s">
        <v>159</v>
      </c>
      <c r="B66" s="26" t="s">
        <v>83</v>
      </c>
      <c r="C66" s="49">
        <v>0.14</v>
      </c>
      <c r="D66" s="50" t="s">
        <v>104</v>
      </c>
    </row>
    <row r="67" spans="1:4" x14ac:dyDescent="0.25">
      <c r="A67" s="33" t="s">
        <v>160</v>
      </c>
      <c r="B67" s="26" t="s">
        <v>83</v>
      </c>
      <c r="C67" s="49">
        <v>0.1</v>
      </c>
      <c r="D67" s="3" t="s">
        <v>130</v>
      </c>
    </row>
    <row r="68" spans="1:4" x14ac:dyDescent="0.25">
      <c r="A68" s="46" t="s">
        <v>161</v>
      </c>
      <c r="B68" s="47"/>
      <c r="C68" s="47"/>
      <c r="D68" s="47"/>
    </row>
    <row r="69" spans="1:4" x14ac:dyDescent="0.25">
      <c r="A69" s="33" t="s">
        <v>162</v>
      </c>
      <c r="B69" s="26" t="s">
        <v>83</v>
      </c>
      <c r="C69" s="49">
        <v>0.2517</v>
      </c>
      <c r="D69" s="50" t="s">
        <v>104</v>
      </c>
    </row>
    <row r="70" spans="1:4" x14ac:dyDescent="0.25">
      <c r="A70" s="33" t="s">
        <v>163</v>
      </c>
      <c r="B70" s="26" t="s">
        <v>164</v>
      </c>
      <c r="C70" s="54" t="s">
        <v>165</v>
      </c>
      <c r="D70" s="3" t="s">
        <v>130</v>
      </c>
    </row>
    <row r="71" spans="1:4" x14ac:dyDescent="0.25">
      <c r="A71" s="33" t="s">
        <v>166</v>
      </c>
      <c r="B71" s="26" t="s">
        <v>103</v>
      </c>
      <c r="C71" s="49">
        <v>0.4</v>
      </c>
      <c r="D71" s="3" t="s">
        <v>130</v>
      </c>
    </row>
    <row r="72" spans="1:4" x14ac:dyDescent="0.25">
      <c r="A72" s="33" t="s">
        <v>167</v>
      </c>
      <c r="B72" s="26" t="s">
        <v>155</v>
      </c>
      <c r="C72" s="56">
        <v>25</v>
      </c>
      <c r="D72" s="3" t="s">
        <v>130</v>
      </c>
    </row>
    <row r="73" spans="1:4" x14ac:dyDescent="0.25">
      <c r="A73" s="33" t="s">
        <v>168</v>
      </c>
      <c r="B73" s="26" t="s">
        <v>152</v>
      </c>
      <c r="C73" s="49">
        <v>0.1</v>
      </c>
      <c r="D73" s="3" t="s">
        <v>130</v>
      </c>
    </row>
    <row r="74" spans="1:4" x14ac:dyDescent="0.25">
      <c r="A74" s="33" t="s">
        <v>169</v>
      </c>
      <c r="B74" s="26" t="s">
        <v>170</v>
      </c>
      <c r="C74" s="56">
        <v>45</v>
      </c>
      <c r="D74" s="3" t="s">
        <v>130</v>
      </c>
    </row>
    <row r="76" ht="20" customHeight="1" spans="1:29" x14ac:dyDescent="0.25">
      <c r="A76" s="21" t="s">
        <v>171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3" x14ac:dyDescent="0.25">
      <c r="A77" s="33" t="s">
        <v>38</v>
      </c>
      <c r="B77" s="26" t="s">
        <v>86</v>
      </c>
      <c r="C77" s="37">
        <f>$C$32*$C$37</f>
        <v>1696.8976343361892</v>
      </c>
    </row>
    <row r="78" spans="1:3" x14ac:dyDescent="0.25">
      <c r="A78" s="33" t="s">
        <v>40</v>
      </c>
      <c r="B78" s="26" t="s">
        <v>86</v>
      </c>
      <c r="C78" s="37">
        <f>$C$33*$C$38</f>
        <v>2052.025358103136</v>
      </c>
    </row>
    <row r="79" spans="1:3" x14ac:dyDescent="0.25">
      <c r="A79" s="33" t="s">
        <v>109</v>
      </c>
      <c r="B79" s="26" t="s">
        <v>86</v>
      </c>
      <c r="C79" s="37">
        <f>$C$35*$C$39</f>
        <v>1400.034099221026</v>
      </c>
    </row>
    <row r="80" spans="1:3" x14ac:dyDescent="0.25">
      <c r="A80" s="33" t="s">
        <v>114</v>
      </c>
      <c r="B80" s="26" t="s">
        <v>86</v>
      </c>
      <c r="C80" s="37">
        <f>$C$34*$C$40</f>
        <v>0</v>
      </c>
    </row>
    <row r="81" spans="1:3" x14ac:dyDescent="0.25">
      <c r="A81" s="33" t="s">
        <v>116</v>
      </c>
      <c r="B81" s="26" t="s">
        <v>86</v>
      </c>
      <c r="C81" s="37">
        <f>$C$41</f>
        <v>0</v>
      </c>
    </row>
    <row r="82" spans="1:3" x14ac:dyDescent="0.25">
      <c r="A82" s="25" t="s">
        <v>172</v>
      </c>
      <c r="B82" s="26" t="s">
        <v>86</v>
      </c>
      <c r="C82" s="57">
        <f>SUM($C$77:$C$81)</f>
        <v>5148.957091660352</v>
      </c>
    </row>
    <row r="83" spans="1:3" x14ac:dyDescent="0.25">
      <c r="A83" s="33" t="s">
        <v>117</v>
      </c>
      <c r="B83" s="26" t="s">
        <v>86</v>
      </c>
      <c r="C83" s="37">
        <f>$C$82*$C$42</f>
        <v>257.4478545830176</v>
      </c>
    </row>
    <row r="84" spans="1:3" x14ac:dyDescent="0.25">
      <c r="A84" s="25" t="s">
        <v>173</v>
      </c>
      <c r="B84" s="26" t="s">
        <v>86</v>
      </c>
      <c r="C84" s="57">
        <f>$C$82+$C$83</f>
        <v>5406.4049462433695</v>
      </c>
    </row>
    <row r="85" spans="1:3" x14ac:dyDescent="0.25">
      <c r="A85" s="33" t="s">
        <v>94</v>
      </c>
      <c r="B85" s="26" t="s">
        <v>86</v>
      </c>
      <c r="C85" s="37">
        <f>$C$84*$C$62</f>
        <v>3784.483462370358</v>
      </c>
    </row>
    <row r="86" spans="1:3" x14ac:dyDescent="0.25">
      <c r="A86" s="33" t="s">
        <v>95</v>
      </c>
      <c r="B86" s="26" t="s">
        <v>86</v>
      </c>
      <c r="C86" s="37">
        <f>$C$84-$C$85</f>
        <v>1621.9214838730113</v>
      </c>
    </row>
    <row r="87" spans="1:3" x14ac:dyDescent="0.25">
      <c r="A87" s="33" t="s">
        <v>174</v>
      </c>
      <c r="B87" s="26" t="s">
        <v>155</v>
      </c>
      <c r="C87" s="44">
        <f>COUNT(E5:AC5)</f>
        <v>25</v>
      </c>
    </row>
    <row r="88" spans="1:3" x14ac:dyDescent="0.25">
      <c r="A88" s="33" t="s">
        <v>175</v>
      </c>
      <c r="B88" s="26" t="s">
        <v>155</v>
      </c>
      <c r="C88" s="44">
        <f>MIN($C$87,MAX(1,ROUND($C$64,0)))</f>
        <v>15</v>
      </c>
    </row>
    <row r="89" spans="1:3" x14ac:dyDescent="0.25">
      <c r="A89" s="33" t="s">
        <v>176</v>
      </c>
      <c r="B89" s="26" t="s">
        <v>129</v>
      </c>
      <c r="C89" s="37">
        <f>IF($C$63&lt;=0,$C$85/$C$88,$C$85*$C$63*(1+$C$63)^$C$88/((1+$C$63)^$C$88-1))</f>
        <v>469.49878975024325</v>
      </c>
    </row>
    <row r="90" spans="1:3" x14ac:dyDescent="0.25">
      <c r="A90" s="33" t="s">
        <v>177</v>
      </c>
      <c r="B90" s="26" t="s">
        <v>129</v>
      </c>
      <c r="C90" s="37">
        <f>$C$85/$C$88</f>
        <v>252.29889749135722</v>
      </c>
    </row>
    <row r="91" spans="1:3" x14ac:dyDescent="0.25">
      <c r="A91" s="33" t="s">
        <v>178</v>
      </c>
      <c r="B91" s="26" t="s">
        <v>86</v>
      </c>
      <c r="C91" s="37">
        <f>$C$84*(1-$C$73)</f>
        <v>4865.764451619033</v>
      </c>
    </row>
    <row r="92" spans="1:3" x14ac:dyDescent="0.25">
      <c r="A92" s="33" t="s">
        <v>179</v>
      </c>
      <c r="B92" s="26" t="s">
        <v>129</v>
      </c>
      <c r="C92" s="37">
        <f>$C$91/$C$72</f>
        <v>194.63057806476132</v>
      </c>
    </row>
    <row r="94" ht="20" customHeight="1" spans="1:29" x14ac:dyDescent="0.25">
      <c r="A94" s="21" t="s">
        <v>180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x14ac:dyDescent="0.25">
      <c r="A95" s="33" t="s">
        <v>181</v>
      </c>
      <c r="B95" s="26" t="s">
        <v>182</v>
      </c>
      <c r="C95" s="58">
        <f>SUM(E95:AC95)</f>
        <v>43800</v>
      </c>
      <c r="E95" s="51">
        <v>1752</v>
      </c>
      <c r="F95" s="51">
        <v>1752</v>
      </c>
      <c r="G95" s="51">
        <v>1752</v>
      </c>
      <c r="H95" s="51">
        <v>1752</v>
      </c>
      <c r="I95" s="51">
        <v>1752</v>
      </c>
      <c r="J95" s="51">
        <v>1752</v>
      </c>
      <c r="K95" s="51">
        <v>1752</v>
      </c>
      <c r="L95" s="51">
        <v>1752</v>
      </c>
      <c r="M95" s="51">
        <v>1752</v>
      </c>
      <c r="N95" s="51">
        <v>1752</v>
      </c>
      <c r="O95" s="51">
        <v>1752</v>
      </c>
      <c r="P95" s="51">
        <v>1752</v>
      </c>
      <c r="Q95" s="51">
        <v>1752</v>
      </c>
      <c r="R95" s="51">
        <v>1752</v>
      </c>
      <c r="S95" s="51">
        <v>1752</v>
      </c>
      <c r="T95" s="51">
        <v>1752</v>
      </c>
      <c r="U95" s="51">
        <v>1752</v>
      </c>
      <c r="V95" s="51">
        <v>1752</v>
      </c>
      <c r="W95" s="51">
        <v>1752</v>
      </c>
      <c r="X95" s="51">
        <v>1752</v>
      </c>
      <c r="Y95" s="51">
        <v>1752</v>
      </c>
      <c r="Z95" s="51">
        <v>1752</v>
      </c>
      <c r="AA95" s="51">
        <v>1752</v>
      </c>
      <c r="AB95" s="51">
        <v>1752</v>
      </c>
      <c r="AC95" s="51">
        <v>1752</v>
      </c>
    </row>
    <row r="96" spans="1:29" x14ac:dyDescent="0.25">
      <c r="A96" s="33" t="s">
        <v>183</v>
      </c>
      <c r="B96" s="26" t="s">
        <v>182</v>
      </c>
      <c r="C96" s="58">
        <f>SUM(E96:AC96)</f>
        <v>35966.65589750897</v>
      </c>
      <c r="E96" s="51">
        <v>1459.4079902466867</v>
      </c>
      <c r="F96" s="51">
        <v>1457.679510717826</v>
      </c>
      <c r="G96" s="51">
        <v>1455.9510311889653</v>
      </c>
      <c r="H96" s="51">
        <v>1454.2225516601047</v>
      </c>
      <c r="I96" s="51">
        <v>1452.494072131244</v>
      </c>
      <c r="J96" s="51">
        <v>1450.7655926023833</v>
      </c>
      <c r="K96" s="51">
        <v>1449.0371130735227</v>
      </c>
      <c r="L96" s="51">
        <v>1447.3086335446621</v>
      </c>
      <c r="M96" s="51">
        <v>1445.5801540158016</v>
      </c>
      <c r="N96" s="51">
        <v>1443.8516744869407</v>
      </c>
      <c r="O96" s="51">
        <v>1442.1231949580801</v>
      </c>
      <c r="P96" s="51">
        <v>1440.3947154292196</v>
      </c>
      <c r="Q96" s="51">
        <v>1438.6662359003587</v>
      </c>
      <c r="R96" s="51">
        <v>1436.9377563714982</v>
      </c>
      <c r="S96" s="51">
        <v>1435.2092768426378</v>
      </c>
      <c r="T96" s="51">
        <v>1433.480797313777</v>
      </c>
      <c r="U96" s="51">
        <v>1431.7523177849164</v>
      </c>
      <c r="V96" s="51">
        <v>1430.0238382560558</v>
      </c>
      <c r="W96" s="51">
        <v>1428.2953587271948</v>
      </c>
      <c r="X96" s="51">
        <v>1426.5668791983342</v>
      </c>
      <c r="Y96" s="51">
        <v>1424.8383996694738</v>
      </c>
      <c r="Z96" s="51">
        <v>1423.1099201406132</v>
      </c>
      <c r="AA96" s="51">
        <v>1421.3814406117524</v>
      </c>
      <c r="AB96" s="51">
        <v>1419.6529610828918</v>
      </c>
      <c r="AC96" s="51">
        <v>1417.9244815540312</v>
      </c>
    </row>
    <row r="97" spans="1:29" x14ac:dyDescent="0.25">
      <c r="A97" s="33" t="s">
        <v>184</v>
      </c>
      <c r="B97" s="26" t="s">
        <v>83</v>
      </c>
      <c r="E97" s="32">
        <f>IF(E95&gt;0,E96/E95,1)</f>
        <v>0.8329954282229947</v>
      </c>
      <c r="F97" s="32">
        <f>IF(F95&gt;0,F96/F95,1)</f>
        <v>0.8320088531494441</v>
      </c>
      <c r="G97" s="32">
        <f>IF(G95&gt;0,G96/G95,1)</f>
        <v>0.8310222780758935</v>
      </c>
      <c r="H97" s="32">
        <f>IF(H95&gt;0,H96/H95,1)</f>
        <v>0.8300357030023429</v>
      </c>
      <c r="I97" s="32">
        <f>IF(I95&gt;0,I96/I95,1)</f>
        <v>0.8290491279287922</v>
      </c>
      <c r="J97" s="32">
        <f>IF(J95&gt;0,J96/J95,1)</f>
        <v>0.8280625528552417</v>
      </c>
      <c r="K97" s="32">
        <f>IF(K95&gt;0,K96/K95,1)</f>
        <v>0.8270759777816911</v>
      </c>
      <c r="L97" s="32">
        <f>IF(L95&gt;0,L96/L95,1)</f>
        <v>0.8260894027081405</v>
      </c>
      <c r="M97" s="32">
        <f>IF(M95&gt;0,M96/M95,1)</f>
        <v>0.82510282763459</v>
      </c>
      <c r="N97" s="32">
        <f>IF(N95&gt;0,N96/N95,1)</f>
        <v>0.8241162525610393</v>
      </c>
      <c r="O97" s="32">
        <f>IF(O95&gt;0,O96/O95,1)</f>
        <v>0.8231296774874887</v>
      </c>
      <c r="P97" s="32">
        <f>IF(P95&gt;0,P96/P95,1)</f>
        <v>0.8221431024139381</v>
      </c>
      <c r="Q97" s="32">
        <f>IF(Q95&gt;0,Q96/Q95,1)</f>
        <v>0.8211565273403875</v>
      </c>
      <c r="R97" s="32">
        <f>IF(R95&gt;0,R96/R95,1)</f>
        <v>0.8201699522668369</v>
      </c>
      <c r="S97" s="32">
        <f>IF(S95&gt;0,S96/S95,1)</f>
        <v>0.8191833771932864</v>
      </c>
      <c r="T97" s="32">
        <f>IF(T95&gt;0,T96/T95,1)</f>
        <v>0.8181968021197357</v>
      </c>
      <c r="U97" s="32">
        <f>IF(U95&gt;0,U96/U95,1)</f>
        <v>0.8172102270461852</v>
      </c>
      <c r="V97" s="32">
        <f>IF(V95&gt;0,V96/V95,1)</f>
        <v>0.8162236519726346</v>
      </c>
      <c r="W97" s="32">
        <f>IF(W95&gt;0,W96/W95,1)</f>
        <v>0.8152370768990838</v>
      </c>
      <c r="X97" s="32">
        <f>IF(X95&gt;0,X96/X95,1)</f>
        <v>0.8142505018255332</v>
      </c>
      <c r="Y97" s="32">
        <f>IF(Y95&gt;0,Y96/Y95,1)</f>
        <v>0.8132639267519828</v>
      </c>
      <c r="Z97" s="32">
        <f>IF(Z95&gt;0,Z96/Z95,1)</f>
        <v>0.8122773516784322</v>
      </c>
      <c r="AA97" s="32">
        <f>IF(AA95&gt;0,AA96/AA95,1)</f>
        <v>0.8112907766048815</v>
      </c>
      <c r="AB97" s="32">
        <f>IF(AB95&gt;0,AB96/AB95,1)</f>
        <v>0.810304201531331</v>
      </c>
      <c r="AC97" s="32">
        <f>IF(AC95&gt;0,AC96/AC95,1)</f>
        <v>0.8093176264577804</v>
      </c>
    </row>
    <row r="98" spans="1:29" x14ac:dyDescent="0.25">
      <c r="A98" s="33" t="s">
        <v>185</v>
      </c>
      <c r="B98" s="26" t="s">
        <v>182</v>
      </c>
      <c r="C98" s="58">
        <f>SUM(E98:AC98)</f>
        <v>0</v>
      </c>
      <c r="E98" s="59">
        <f>MAX(0,$C$53*E95-E96)</f>
        <v>0</v>
      </c>
      <c r="F98" s="59">
        <f>MAX(0,$C$53*F95-F96)</f>
        <v>0</v>
      </c>
      <c r="G98" s="59">
        <f>MAX(0,$C$53*G95-G96)</f>
        <v>0</v>
      </c>
      <c r="H98" s="59">
        <f>MAX(0,$C$53*H95-H96)</f>
        <v>0</v>
      </c>
      <c r="I98" s="59">
        <f>MAX(0,$C$53*I95-I96)</f>
        <v>0</v>
      </c>
      <c r="J98" s="59">
        <f>MAX(0,$C$53*J95-J96)</f>
        <v>0</v>
      </c>
      <c r="K98" s="59">
        <f>MAX(0,$C$53*K95-K96)</f>
        <v>0</v>
      </c>
      <c r="L98" s="59">
        <f>MAX(0,$C$53*L95-L96)</f>
        <v>0</v>
      </c>
      <c r="M98" s="59">
        <f>MAX(0,$C$53*M95-M96)</f>
        <v>0</v>
      </c>
      <c r="N98" s="59">
        <f>MAX(0,$C$53*N95-N96)</f>
        <v>0</v>
      </c>
      <c r="O98" s="59">
        <f>MAX(0,$C$53*O95-O96)</f>
        <v>0</v>
      </c>
      <c r="P98" s="59">
        <f>MAX(0,$C$53*P95-P96)</f>
        <v>0</v>
      </c>
      <c r="Q98" s="59">
        <f>MAX(0,$C$53*Q95-Q96)</f>
        <v>0</v>
      </c>
      <c r="R98" s="59">
        <f>MAX(0,$C$53*R95-R96)</f>
        <v>0</v>
      </c>
      <c r="S98" s="59">
        <f>MAX(0,$C$53*S95-S96)</f>
        <v>0</v>
      </c>
      <c r="T98" s="59">
        <f>MAX(0,$C$53*T95-T96)</f>
        <v>0</v>
      </c>
      <c r="U98" s="59">
        <f>MAX(0,$C$53*U95-U96)</f>
        <v>0</v>
      </c>
      <c r="V98" s="59">
        <f>MAX(0,$C$53*V95-V96)</f>
        <v>0</v>
      </c>
      <c r="W98" s="59">
        <f>MAX(0,$C$53*W95-W96)</f>
        <v>0</v>
      </c>
      <c r="X98" s="59">
        <f>MAX(0,$C$53*X95-X96)</f>
        <v>0</v>
      </c>
      <c r="Y98" s="59">
        <f>MAX(0,$C$53*Y95-Y96)</f>
        <v>0</v>
      </c>
      <c r="Z98" s="59">
        <f>MAX(0,$C$53*Z95-Z96)</f>
        <v>0</v>
      </c>
      <c r="AA98" s="59">
        <f>MAX(0,$C$53*AA95-AA96)</f>
        <v>0</v>
      </c>
      <c r="AB98" s="59">
        <f>MAX(0,$C$53*AB95-AB96)</f>
        <v>0</v>
      </c>
      <c r="AC98" s="59">
        <f>MAX(0,$C$53*AC95-AC96)</f>
        <v>0</v>
      </c>
    </row>
    <row r="99" spans="1:29" x14ac:dyDescent="0.25">
      <c r="A99" s="33" t="s">
        <v>186</v>
      </c>
      <c r="B99" s="26" t="s">
        <v>182</v>
      </c>
      <c r="C99" s="58">
        <f>SUM(E99:AC99)</f>
        <v>2842.6644272005933</v>
      </c>
      <c r="E99" s="51">
        <v>109.61956757744719</v>
      </c>
      <c r="F99" s="51">
        <v>109.96015170332858</v>
      </c>
      <c r="G99" s="51">
        <v>110.30073582920994</v>
      </c>
      <c r="H99" s="51">
        <v>110.64131995509133</v>
      </c>
      <c r="I99" s="51">
        <v>110.98190408097271</v>
      </c>
      <c r="J99" s="51">
        <v>111.32248820685409</v>
      </c>
      <c r="K99" s="51">
        <v>111.66307233273547</v>
      </c>
      <c r="L99" s="51">
        <v>112.00365645861685</v>
      </c>
      <c r="M99" s="51">
        <v>112.34424058449822</v>
      </c>
      <c r="N99" s="51">
        <v>112.6848247103796</v>
      </c>
      <c r="O99" s="51">
        <v>113.02540883626098</v>
      </c>
      <c r="P99" s="51">
        <v>113.36599296214237</v>
      </c>
      <c r="Q99" s="51">
        <v>113.70657708802374</v>
      </c>
      <c r="R99" s="51">
        <v>114.04716121390513</v>
      </c>
      <c r="S99" s="51">
        <v>114.3877453397865</v>
      </c>
      <c r="T99" s="51">
        <v>114.7283294656679</v>
      </c>
      <c r="U99" s="51">
        <v>115.06891359154926</v>
      </c>
      <c r="V99" s="51">
        <v>115.40949771743065</v>
      </c>
      <c r="W99" s="51">
        <v>115.75008184331202</v>
      </c>
      <c r="X99" s="51">
        <v>116.09066596919341</v>
      </c>
      <c r="Y99" s="51">
        <v>116.43125009507477</v>
      </c>
      <c r="Z99" s="51">
        <v>116.77183422095617</v>
      </c>
      <c r="AA99" s="51">
        <v>117.11241834683754</v>
      </c>
      <c r="AB99" s="51">
        <v>117.45300247271894</v>
      </c>
      <c r="AC99" s="51">
        <v>117.7935865986003</v>
      </c>
    </row>
    <row r="100" spans="1:29" x14ac:dyDescent="0.25">
      <c r="A100" s="33" t="s">
        <v>187</v>
      </c>
      <c r="B100" s="26" t="s">
        <v>182</v>
      </c>
      <c r="C100" s="58">
        <f>SUM(E100:AC100)</f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</row>
    <row r="101" spans="1:29" x14ac:dyDescent="0.25">
      <c r="A101" s="33" t="s">
        <v>135</v>
      </c>
      <c r="B101" s="26" t="s">
        <v>82</v>
      </c>
      <c r="E101" s="29">
        <f>$C$52</f>
        <v>0</v>
      </c>
      <c r="F101" s="29">
        <f>$C$52</f>
        <v>0</v>
      </c>
      <c r="G101" s="29">
        <f>$C$52</f>
        <v>0</v>
      </c>
      <c r="H101" s="29">
        <f>$C$52</f>
        <v>0</v>
      </c>
      <c r="I101" s="29">
        <f>$C$52</f>
        <v>0</v>
      </c>
      <c r="J101" s="29">
        <f>$C$52</f>
        <v>0</v>
      </c>
      <c r="K101" s="29">
        <f>$C$52</f>
        <v>0</v>
      </c>
      <c r="L101" s="29">
        <f>$C$52</f>
        <v>0</v>
      </c>
      <c r="M101" s="29">
        <f>$C$52</f>
        <v>0</v>
      </c>
      <c r="N101" s="29">
        <f>$C$52</f>
        <v>0</v>
      </c>
      <c r="O101" s="29">
        <f>$C$52</f>
        <v>0</v>
      </c>
      <c r="P101" s="29">
        <f>$C$52</f>
        <v>0</v>
      </c>
      <c r="Q101" s="29">
        <f>$C$52</f>
        <v>0</v>
      </c>
      <c r="R101" s="29">
        <f>$C$52</f>
        <v>0</v>
      </c>
      <c r="S101" s="29">
        <f>$C$52</f>
        <v>0</v>
      </c>
      <c r="T101" s="29">
        <f>$C$52</f>
        <v>0</v>
      </c>
      <c r="U101" s="29">
        <f>$C$52</f>
        <v>0</v>
      </c>
      <c r="V101" s="29">
        <f>$C$52</f>
        <v>0</v>
      </c>
      <c r="W101" s="29">
        <f>$C$52</f>
        <v>0</v>
      </c>
      <c r="X101" s="29">
        <f>$C$52</f>
        <v>0</v>
      </c>
      <c r="Y101" s="29">
        <f>$C$52</f>
        <v>0</v>
      </c>
      <c r="Z101" s="29">
        <f>$C$52</f>
        <v>0</v>
      </c>
      <c r="AA101" s="29">
        <f>$C$52</f>
        <v>0</v>
      </c>
      <c r="AB101" s="29">
        <f>$C$52</f>
        <v>0</v>
      </c>
      <c r="AC101" s="29">
        <f>$C$52</f>
        <v>0</v>
      </c>
    </row>
    <row r="103" ht="20" customHeight="1" spans="1:29" x14ac:dyDescent="0.25">
      <c r="A103" s="21" t="s">
        <v>188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x14ac:dyDescent="0.25">
      <c r="A104" s="33" t="s">
        <v>100</v>
      </c>
      <c r="B104" s="26" t="s">
        <v>88</v>
      </c>
      <c r="E104" s="60">
        <f>(1+$C$30)^(E$5-1)</f>
        <v>1</v>
      </c>
      <c r="F104" s="60">
        <f>(1+$C$30)^(F$5-1)</f>
        <v>1</v>
      </c>
      <c r="G104" s="60">
        <f>(1+$C$30)^(G$5-1)</f>
        <v>1</v>
      </c>
      <c r="H104" s="60">
        <f>(1+$C$30)^(H$5-1)</f>
        <v>1</v>
      </c>
      <c r="I104" s="60">
        <f>(1+$C$30)^(I$5-1)</f>
        <v>1</v>
      </c>
      <c r="J104" s="60">
        <f>(1+$C$30)^(J$5-1)</f>
        <v>1</v>
      </c>
      <c r="K104" s="60">
        <f>(1+$C$30)^(K$5-1)</f>
        <v>1</v>
      </c>
      <c r="L104" s="60">
        <f>(1+$C$30)^(L$5-1)</f>
        <v>1</v>
      </c>
      <c r="M104" s="60">
        <f>(1+$C$30)^(M$5-1)</f>
        <v>1</v>
      </c>
      <c r="N104" s="60">
        <f>(1+$C$30)^(N$5-1)</f>
        <v>1</v>
      </c>
      <c r="O104" s="60">
        <f>(1+$C$30)^(O$5-1)</f>
        <v>1</v>
      </c>
      <c r="P104" s="60">
        <f>(1+$C$30)^(P$5-1)</f>
        <v>1</v>
      </c>
      <c r="Q104" s="60">
        <f>(1+$C$30)^(Q$5-1)</f>
        <v>1</v>
      </c>
      <c r="R104" s="60">
        <f>(1+$C$30)^(R$5-1)</f>
        <v>1</v>
      </c>
      <c r="S104" s="60">
        <f>(1+$C$30)^(S$5-1)</f>
        <v>1</v>
      </c>
      <c r="T104" s="60">
        <f>(1+$C$30)^(T$5-1)</f>
        <v>1</v>
      </c>
      <c r="U104" s="60">
        <f>(1+$C$30)^(U$5-1)</f>
        <v>1</v>
      </c>
      <c r="V104" s="60">
        <f>(1+$C$30)^(V$5-1)</f>
        <v>1</v>
      </c>
      <c r="W104" s="60">
        <f>(1+$C$30)^(W$5-1)</f>
        <v>1</v>
      </c>
      <c r="X104" s="60">
        <f>(1+$C$30)^(X$5-1)</f>
        <v>1</v>
      </c>
      <c r="Y104" s="60">
        <f>(1+$C$30)^(Y$5-1)</f>
        <v>1</v>
      </c>
      <c r="Z104" s="60">
        <f>(1+$C$30)^(Z$5-1)</f>
        <v>1</v>
      </c>
      <c r="AA104" s="60">
        <f>(1+$C$30)^(AA$5-1)</f>
        <v>1</v>
      </c>
      <c r="AB104" s="60">
        <f>(1+$C$30)^(AB$5-1)</f>
        <v>1</v>
      </c>
      <c r="AC104" s="60">
        <f>(1+$C$30)^(AC$5-1)</f>
        <v>1</v>
      </c>
    </row>
    <row r="105" spans="1:29" x14ac:dyDescent="0.25">
      <c r="A105" s="33" t="s">
        <v>189</v>
      </c>
      <c r="B105" s="26" t="s">
        <v>88</v>
      </c>
      <c r="E105" s="60">
        <f>(1+$C$47)^(E$5-1)</f>
        <v>1</v>
      </c>
      <c r="F105" s="60">
        <f>(1+$C$47)^(F$5-1)</f>
        <v>1.05</v>
      </c>
      <c r="G105" s="60">
        <f>(1+$C$47)^(G$5-1)</f>
        <v>1.1025</v>
      </c>
      <c r="H105" s="60">
        <f>(1+$C$47)^(H$5-1)</f>
        <v>1.1576250000000001</v>
      </c>
      <c r="I105" s="60">
        <f>(1+$C$47)^(I$5-1)</f>
        <v>1.2155062500000002</v>
      </c>
      <c r="J105" s="60">
        <f>(1+$C$47)^(J$5-1)</f>
        <v>1.2762815625000004</v>
      </c>
      <c r="K105" s="60">
        <f>(1+$C$47)^(K$5-1)</f>
        <v>1.3400956406250004</v>
      </c>
      <c r="L105" s="60">
        <f>(1+$C$47)^(L$5-1)</f>
        <v>1.4071004226562505</v>
      </c>
      <c r="M105" s="60">
        <f>(1+$C$47)^(M$5-1)</f>
        <v>1.477455443789063</v>
      </c>
      <c r="N105" s="60">
        <f>(1+$C$47)^(N$5-1)</f>
        <v>1.5513282159785162</v>
      </c>
      <c r="O105" s="60">
        <f>(1+$C$47)^(O$5-1)</f>
        <v>1.6288946267774422</v>
      </c>
      <c r="P105" s="60">
        <f>(1+$C$47)^(P$5-1)</f>
        <v>1.7103393581163142</v>
      </c>
      <c r="Q105" s="60">
        <f>(1+$C$47)^(Q$5-1)</f>
        <v>1.79585632602213</v>
      </c>
      <c r="R105" s="60">
        <f>(1+$C$47)^(R$5-1)</f>
        <v>1.8856491423232367</v>
      </c>
      <c r="S105" s="60">
        <f>(1+$C$47)^(S$5-1)</f>
        <v>1.9799315994393987</v>
      </c>
      <c r="T105" s="60">
        <f>(1+$C$47)^(T$5-1)</f>
        <v>2.0789281794113688</v>
      </c>
      <c r="U105" s="60">
        <f>(1+$C$47)^(U$5-1)</f>
        <v>2.182874588381937</v>
      </c>
      <c r="V105" s="60">
        <f>(1+$C$47)^(V$5-1)</f>
        <v>2.292018317801034</v>
      </c>
      <c r="W105" s="60">
        <f>(1+$C$47)^(W$5-1)</f>
        <v>2.406619233691086</v>
      </c>
      <c r="X105" s="60">
        <f>(1+$C$47)^(X$5-1)</f>
        <v>2.5269501953756404</v>
      </c>
      <c r="Y105" s="60">
        <f>(1+$C$47)^(Y$5-1)</f>
        <v>2.653297705144422</v>
      </c>
      <c r="Z105" s="60">
        <f>(1+$C$47)^(Z$5-1)</f>
        <v>2.7859625904016436</v>
      </c>
      <c r="AA105" s="60">
        <f>(1+$C$47)^(AA$5-1)</f>
        <v>2.925260719921726</v>
      </c>
      <c r="AB105" s="60">
        <f>(1+$C$47)^(AB$5-1)</f>
        <v>3.0715237559178123</v>
      </c>
      <c r="AC105" s="60">
        <f>(1+$C$47)^(AC$5-1)</f>
        <v>3.225099943713703</v>
      </c>
    </row>
    <row r="106" spans="1:29" x14ac:dyDescent="0.25">
      <c r="A106" s="33" t="s">
        <v>190</v>
      </c>
      <c r="B106" s="26" t="s">
        <v>88</v>
      </c>
      <c r="E106" s="60">
        <f>(1-$C$60)^(E$5-1)</f>
        <v>1</v>
      </c>
      <c r="F106" s="60">
        <f>(1-$C$60)^(F$5-1)</f>
        <v>1</v>
      </c>
      <c r="G106" s="60">
        <f>(1-$C$60)^(G$5-1)</f>
        <v>1</v>
      </c>
      <c r="H106" s="60">
        <f>(1-$C$60)^(H$5-1)</f>
        <v>1</v>
      </c>
      <c r="I106" s="60">
        <f>(1-$C$60)^(I$5-1)</f>
        <v>1</v>
      </c>
      <c r="J106" s="60">
        <f>(1-$C$60)^(J$5-1)</f>
        <v>1</v>
      </c>
      <c r="K106" s="60">
        <f>(1-$C$60)^(K$5-1)</f>
        <v>1</v>
      </c>
      <c r="L106" s="60">
        <f>(1-$C$60)^(L$5-1)</f>
        <v>1</v>
      </c>
      <c r="M106" s="60">
        <f>(1-$C$60)^(M$5-1)</f>
        <v>1</v>
      </c>
      <c r="N106" s="60">
        <f>(1-$C$60)^(N$5-1)</f>
        <v>1</v>
      </c>
      <c r="O106" s="60">
        <f>(1-$C$60)^(O$5-1)</f>
        <v>1</v>
      </c>
      <c r="P106" s="60">
        <f>(1-$C$60)^(P$5-1)</f>
        <v>1</v>
      </c>
      <c r="Q106" s="60">
        <f>(1-$C$60)^(Q$5-1)</f>
        <v>1</v>
      </c>
      <c r="R106" s="60">
        <f>(1-$C$60)^(R$5-1)</f>
        <v>1</v>
      </c>
      <c r="S106" s="60">
        <f>(1-$C$60)^(S$5-1)</f>
        <v>1</v>
      </c>
      <c r="T106" s="60">
        <f>(1-$C$60)^(T$5-1)</f>
        <v>1</v>
      </c>
      <c r="U106" s="60">
        <f>(1-$C$60)^(U$5-1)</f>
        <v>1</v>
      </c>
      <c r="V106" s="60">
        <f>(1-$C$60)^(V$5-1)</f>
        <v>1</v>
      </c>
      <c r="W106" s="60">
        <f>(1-$C$60)^(W$5-1)</f>
        <v>1</v>
      </c>
      <c r="X106" s="60">
        <f>(1-$C$60)^(X$5-1)</f>
        <v>1</v>
      </c>
      <c r="Y106" s="60">
        <f>(1-$C$60)^(Y$5-1)</f>
        <v>1</v>
      </c>
      <c r="Z106" s="60">
        <f>(1-$C$60)^(Z$5-1)</f>
        <v>1</v>
      </c>
      <c r="AA106" s="60">
        <f>(1-$C$60)^(AA$5-1)</f>
        <v>1</v>
      </c>
      <c r="AB106" s="60">
        <f>(1-$C$60)^(AB$5-1)</f>
        <v>1</v>
      </c>
      <c r="AC106" s="60">
        <f>(1-$C$60)^(AC$5-1)</f>
        <v>1</v>
      </c>
    </row>
    <row r="107" spans="1:29" x14ac:dyDescent="0.25">
      <c r="A107" s="33" t="s">
        <v>191</v>
      </c>
      <c r="B107" s="26" t="s">
        <v>88</v>
      </c>
      <c r="E107" s="60">
        <f>1/(1+$C$67)^E$5</f>
        <v>0.9090909090909091</v>
      </c>
      <c r="F107" s="60">
        <f>1/(1+$C$67)^F$5</f>
        <v>0.8264462809917354</v>
      </c>
      <c r="G107" s="60">
        <f>1/(1+$C$67)^G$5</f>
        <v>0.7513148009015775</v>
      </c>
      <c r="H107" s="60">
        <f>1/(1+$C$67)^H$5</f>
        <v>0.6830134553650704</v>
      </c>
      <c r="I107" s="60">
        <f>1/(1+$C$67)^I$5</f>
        <v>0.6209213230591549</v>
      </c>
      <c r="J107" s="60">
        <f>1/(1+$C$67)^J$5</f>
        <v>0.5644739300537772</v>
      </c>
      <c r="K107" s="60">
        <f>1/(1+$C$67)^K$5</f>
        <v>0.5131581182307065</v>
      </c>
      <c r="L107" s="60">
        <f>1/(1+$C$67)^L$5</f>
        <v>0.4665073802097331</v>
      </c>
      <c r="M107" s="60">
        <f>1/(1+$C$67)^M$5</f>
        <v>0.42409761837248455</v>
      </c>
      <c r="N107" s="60">
        <f>1/(1+$C$67)^N$5</f>
        <v>0.3855432894295314</v>
      </c>
      <c r="O107" s="60">
        <f>1/(1+$C$67)^O$5</f>
        <v>0.3504938994813922</v>
      </c>
      <c r="P107" s="60">
        <f>1/(1+$C$67)^P$5</f>
        <v>0.3186308177103565</v>
      </c>
      <c r="Q107" s="60">
        <f>1/(1+$C$67)^Q$5</f>
        <v>0.2896643797366877</v>
      </c>
      <c r="R107" s="60">
        <f>1/(1+$C$67)^R$5</f>
        <v>0.26333125430607973</v>
      </c>
      <c r="S107" s="60">
        <f>1/(1+$C$67)^S$5</f>
        <v>0.23939204936916333</v>
      </c>
      <c r="T107" s="60">
        <f>1/(1+$C$67)^T$5</f>
        <v>0.2176291357901485</v>
      </c>
      <c r="U107" s="60">
        <f>1/(1+$C$67)^U$5</f>
        <v>0.19784466890013497</v>
      </c>
      <c r="V107" s="60">
        <f>1/(1+$C$67)^V$5</f>
        <v>0.17985878990921358</v>
      </c>
      <c r="W107" s="60">
        <f>1/(1+$C$67)^W$5</f>
        <v>0.16350799082655781</v>
      </c>
      <c r="X107" s="60">
        <f>1/(1+$C$67)^X$5</f>
        <v>0.14864362802414344</v>
      </c>
      <c r="Y107" s="60">
        <f>1/(1+$C$67)^Y$5</f>
        <v>0.13513057093103947</v>
      </c>
      <c r="Z107" s="60">
        <f>1/(1+$C$67)^Z$5</f>
        <v>0.12284597357367225</v>
      </c>
      <c r="AA107" s="60">
        <f>1/(1+$C$67)^AA$5</f>
        <v>0.11167815779424749</v>
      </c>
      <c r="AB107" s="60">
        <f>1/(1+$C$67)^AB$5</f>
        <v>0.10152559799477044</v>
      </c>
      <c r="AC107" s="60">
        <f>1/(1+$C$67)^AC$5</f>
        <v>0.09229599817706403</v>
      </c>
    </row>
    <row r="109" ht="20" customHeight="1" spans="1:29" x14ac:dyDescent="0.25">
      <c r="A109" s="21" t="s">
        <v>192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x14ac:dyDescent="0.25">
      <c r="A110" s="33" t="s">
        <v>100</v>
      </c>
      <c r="B110" s="26" t="s">
        <v>82</v>
      </c>
      <c r="E110" s="29">
        <f>$C$29*E104</f>
        <v>6.530374840944462</v>
      </c>
      <c r="F110" s="29">
        <f>$C$29*F104</f>
        <v>6.530374840944462</v>
      </c>
      <c r="G110" s="29">
        <f>$C$29*G104</f>
        <v>6.530374840944462</v>
      </c>
      <c r="H110" s="29">
        <f>$C$29*H104</f>
        <v>6.530374840944462</v>
      </c>
      <c r="I110" s="29">
        <f>$C$29*I104</f>
        <v>6.530374840944462</v>
      </c>
      <c r="J110" s="29">
        <f>$C$29*J104</f>
        <v>6.530374840944462</v>
      </c>
      <c r="K110" s="29">
        <f>$C$29*K104</f>
        <v>6.530374840944462</v>
      </c>
      <c r="L110" s="29">
        <f>$C$29*L104</f>
        <v>6.530374840944462</v>
      </c>
      <c r="M110" s="29">
        <f>$C$29*M104</f>
        <v>6.530374840944462</v>
      </c>
      <c r="N110" s="29">
        <f>$C$29*N104</f>
        <v>6.530374840944462</v>
      </c>
      <c r="O110" s="29">
        <f>$C$29*O104</f>
        <v>6.530374840944462</v>
      </c>
      <c r="P110" s="29">
        <f>$C$29*P104</f>
        <v>6.530374840944462</v>
      </c>
      <c r="Q110" s="29">
        <f>$C$29*Q104</f>
        <v>6.530374840944462</v>
      </c>
      <c r="R110" s="29">
        <f>$C$29*R104</f>
        <v>6.530374840944462</v>
      </c>
      <c r="S110" s="29">
        <f>$C$29*S104</f>
        <v>6.530374840944462</v>
      </c>
      <c r="T110" s="29">
        <f>$C$29*T104</f>
        <v>6.530374840944462</v>
      </c>
      <c r="U110" s="29">
        <f>$C$29*U104</f>
        <v>6.530374840944462</v>
      </c>
      <c r="V110" s="29">
        <f>$C$29*V104</f>
        <v>6.530374840944462</v>
      </c>
      <c r="W110" s="29">
        <f>$C$29*W104</f>
        <v>6.530374840944462</v>
      </c>
      <c r="X110" s="29">
        <f>$C$29*X104</f>
        <v>6.530374840944462</v>
      </c>
      <c r="Y110" s="29">
        <f>$C$29*Y104</f>
        <v>6.530374840944462</v>
      </c>
      <c r="Z110" s="29">
        <f>$C$29*Z104</f>
        <v>6.530374840944462</v>
      </c>
      <c r="AA110" s="29">
        <f>$C$29*AA104</f>
        <v>6.530374840944462</v>
      </c>
      <c r="AB110" s="29">
        <f>$C$29*AB104</f>
        <v>6.530374840944462</v>
      </c>
      <c r="AC110" s="29">
        <f>$C$29*AC104</f>
        <v>6.530374840944462</v>
      </c>
    </row>
    <row r="111" spans="1:29" x14ac:dyDescent="0.25">
      <c r="A111" s="33" t="s">
        <v>193</v>
      </c>
      <c r="B111" s="26" t="s">
        <v>86</v>
      </c>
      <c r="C111" s="57">
        <f>SUM(E111:AC111)</f>
        <v>23487.574478599934</v>
      </c>
      <c r="E111" s="37">
        <f>E96*E110/10</f>
        <v>953.0481222180284</v>
      </c>
      <c r="F111" s="37">
        <f>F96*F110/10</f>
        <v>951.9193602951924</v>
      </c>
      <c r="G111" s="37">
        <f>G96*G110/10</f>
        <v>950.7905983723564</v>
      </c>
      <c r="H111" s="37">
        <f>H96*H110/10</f>
        <v>949.6618364495205</v>
      </c>
      <c r="I111" s="37">
        <f>I96*I110/10</f>
        <v>948.5330745266845</v>
      </c>
      <c r="J111" s="37">
        <f>J96*J110/10</f>
        <v>947.4043126038487</v>
      </c>
      <c r="K111" s="37">
        <f>K96*K110/10</f>
        <v>946.2755506810129</v>
      </c>
      <c r="L111" s="37">
        <f>L96*L110/10</f>
        <v>945.146788758177</v>
      </c>
      <c r="M111" s="37">
        <f>M96*M110/10</f>
        <v>944.018026835341</v>
      </c>
      <c r="N111" s="37">
        <f>N96*N110/10</f>
        <v>942.8892649125049</v>
      </c>
      <c r="O111" s="37">
        <f>O96*O110/10</f>
        <v>941.7605029896691</v>
      </c>
      <c r="P111" s="37">
        <f>P96*P110/10</f>
        <v>940.6317410668332</v>
      </c>
      <c r="Q111" s="37">
        <f>Q96*Q110/10</f>
        <v>939.5029791439972</v>
      </c>
      <c r="R111" s="37">
        <f>R96*R110/10</f>
        <v>938.3742172211614</v>
      </c>
      <c r="S111" s="37">
        <f>S96*S110/10</f>
        <v>937.2454552983257</v>
      </c>
      <c r="T111" s="37">
        <f>T96*T110/10</f>
        <v>936.1166933754897</v>
      </c>
      <c r="U111" s="37">
        <f>U96*U110/10</f>
        <v>934.9879314526537</v>
      </c>
      <c r="V111" s="37">
        <f>V96*V110/10</f>
        <v>933.8591695298179</v>
      </c>
      <c r="W111" s="37">
        <f>W96*W110/10</f>
        <v>932.7304076069817</v>
      </c>
      <c r="X111" s="37">
        <f>X96*X110/10</f>
        <v>931.6016456841459</v>
      </c>
      <c r="Y111" s="37">
        <f>Y96*Y110/10</f>
        <v>930.4728837613102</v>
      </c>
      <c r="Z111" s="37">
        <f>Z96*Z110/10</f>
        <v>929.3441218384744</v>
      </c>
      <c r="AA111" s="37">
        <f>AA96*AA110/10</f>
        <v>928.2153599156384</v>
      </c>
      <c r="AB111" s="37">
        <f>AB96*AB110/10</f>
        <v>927.0865979928024</v>
      </c>
      <c r="AC111" s="37">
        <f>AC96*AC110/10</f>
        <v>925.9578360699664</v>
      </c>
    </row>
    <row r="112" spans="1:29" x14ac:dyDescent="0.25">
      <c r="A112" s="33" t="s">
        <v>194</v>
      </c>
      <c r="B112" s="26" t="s">
        <v>86</v>
      </c>
      <c r="C112" s="57">
        <f>SUM(E112:AC112)</f>
        <v>0</v>
      </c>
      <c r="E112" s="37">
        <f>IF($C$51="Yes",E100*E101/10,0)</f>
        <v>0</v>
      </c>
      <c r="F112" s="37">
        <f>IF($C$51="Yes",F100*F101/10,0)</f>
        <v>0</v>
      </c>
      <c r="G112" s="37">
        <f>IF($C$51="Yes",G100*G101/10,0)</f>
        <v>0</v>
      </c>
      <c r="H112" s="37">
        <f>IF($C$51="Yes",H100*H101/10,0)</f>
        <v>0</v>
      </c>
      <c r="I112" s="37">
        <f>IF($C$51="Yes",I100*I101/10,0)</f>
        <v>0</v>
      </c>
      <c r="J112" s="37">
        <f>IF($C$51="Yes",J100*J101/10,0)</f>
        <v>0</v>
      </c>
      <c r="K112" s="37">
        <f>IF($C$51="Yes",K100*K101/10,0)</f>
        <v>0</v>
      </c>
      <c r="L112" s="37">
        <f>IF($C$51="Yes",L100*L101/10,0)</f>
        <v>0</v>
      </c>
      <c r="M112" s="37">
        <f>IF($C$51="Yes",M100*M101/10,0)</f>
        <v>0</v>
      </c>
      <c r="N112" s="37">
        <f>IF($C$51="Yes",N100*N101/10,0)</f>
        <v>0</v>
      </c>
      <c r="O112" s="37">
        <f>IF($C$51="Yes",O100*O101/10,0)</f>
        <v>0</v>
      </c>
      <c r="P112" s="37">
        <f>IF($C$51="Yes",P100*P101/10,0)</f>
        <v>0</v>
      </c>
      <c r="Q112" s="37">
        <f>IF($C$51="Yes",Q100*Q101/10,0)</f>
        <v>0</v>
      </c>
      <c r="R112" s="37">
        <f>IF($C$51="Yes",R100*R101/10,0)</f>
        <v>0</v>
      </c>
      <c r="S112" s="37">
        <f>IF($C$51="Yes",S100*S101/10,0)</f>
        <v>0</v>
      </c>
      <c r="T112" s="37">
        <f>IF($C$51="Yes",T100*T101/10,0)</f>
        <v>0</v>
      </c>
      <c r="U112" s="37">
        <f>IF($C$51="Yes",U100*U101/10,0)</f>
        <v>0</v>
      </c>
      <c r="V112" s="37">
        <f>IF($C$51="Yes",V100*V101/10,0)</f>
        <v>0</v>
      </c>
      <c r="W112" s="37">
        <f>IF($C$51="Yes",W100*W101/10,0)</f>
        <v>0</v>
      </c>
      <c r="X112" s="37">
        <f>IF($C$51="Yes",X100*X101/10,0)</f>
        <v>0</v>
      </c>
      <c r="Y112" s="37">
        <f>IF($C$51="Yes",Y100*Y101/10,0)</f>
        <v>0</v>
      </c>
      <c r="Z112" s="37">
        <f>IF($C$51="Yes",Z100*Z101/10,0)</f>
        <v>0</v>
      </c>
      <c r="AA112" s="37">
        <f>IF($C$51="Yes",AA100*AA101/10,0)</f>
        <v>0</v>
      </c>
      <c r="AB112" s="37">
        <f>IF($C$51="Yes",AB100*AB101/10,0)</f>
        <v>0</v>
      </c>
      <c r="AC112" s="37">
        <f>IF($C$51="Yes",AC100*AC101/10,0)</f>
        <v>0</v>
      </c>
    </row>
    <row r="113" spans="1:29" x14ac:dyDescent="0.25">
      <c r="A113" s="33" t="s">
        <v>139</v>
      </c>
      <c r="B113" s="26" t="s">
        <v>86</v>
      </c>
      <c r="C113" s="57">
        <f>SUM(E113:AC113)</f>
        <v>0</v>
      </c>
      <c r="E113" s="37">
        <f>E98*$C$54/10</f>
        <v>0</v>
      </c>
      <c r="F113" s="37">
        <f>F98*$C$54/10</f>
        <v>0</v>
      </c>
      <c r="G113" s="37">
        <f>G98*$C$54/10</f>
        <v>0</v>
      </c>
      <c r="H113" s="37">
        <f>H98*$C$54/10</f>
        <v>0</v>
      </c>
      <c r="I113" s="37">
        <f>I98*$C$54/10</f>
        <v>0</v>
      </c>
      <c r="J113" s="37">
        <f>J98*$C$54/10</f>
        <v>0</v>
      </c>
      <c r="K113" s="37">
        <f>K98*$C$54/10</f>
        <v>0</v>
      </c>
      <c r="L113" s="37">
        <f>L98*$C$54/10</f>
        <v>0</v>
      </c>
      <c r="M113" s="37">
        <f>M98*$C$54/10</f>
        <v>0</v>
      </c>
      <c r="N113" s="37">
        <f>N98*$C$54/10</f>
        <v>0</v>
      </c>
      <c r="O113" s="37">
        <f>O98*$C$54/10</f>
        <v>0</v>
      </c>
      <c r="P113" s="37">
        <f>P98*$C$54/10</f>
        <v>0</v>
      </c>
      <c r="Q113" s="37">
        <f>Q98*$C$54/10</f>
        <v>0</v>
      </c>
      <c r="R113" s="37">
        <f>R98*$C$54/10</f>
        <v>0</v>
      </c>
      <c r="S113" s="37">
        <f>S98*$C$54/10</f>
        <v>0</v>
      </c>
      <c r="T113" s="37">
        <f>T98*$C$54/10</f>
        <v>0</v>
      </c>
      <c r="U113" s="37">
        <f>U98*$C$54/10</f>
        <v>0</v>
      </c>
      <c r="V113" s="37">
        <f>V98*$C$54/10</f>
        <v>0</v>
      </c>
      <c r="W113" s="37">
        <f>W98*$C$54/10</f>
        <v>0</v>
      </c>
      <c r="X113" s="37">
        <f>X98*$C$54/10</f>
        <v>0</v>
      </c>
      <c r="Y113" s="37">
        <f>Y98*$C$54/10</f>
        <v>0</v>
      </c>
      <c r="Z113" s="37">
        <f>Z98*$C$54/10</f>
        <v>0</v>
      </c>
      <c r="AA113" s="37">
        <f>AA98*$C$54/10</f>
        <v>0</v>
      </c>
      <c r="AB113" s="37">
        <f>AB98*$C$54/10</f>
        <v>0</v>
      </c>
      <c r="AC113" s="37">
        <f>AC98*$C$54/10</f>
        <v>0</v>
      </c>
    </row>
    <row r="114" spans="1:29" x14ac:dyDescent="0.25">
      <c r="A114" s="33" t="s">
        <v>141</v>
      </c>
      <c r="B114" s="26" t="s">
        <v>86</v>
      </c>
      <c r="C114" s="57">
        <f>SUM(E114:AC114)</f>
        <v>2784.5496384957837</v>
      </c>
      <c r="E114" s="37">
        <f>E99*$C$55*E110/10</f>
        <v>107.37852992744585</v>
      </c>
      <c r="F114" s="37">
        <f>F99*$C$55*F110/10</f>
        <v>107.712151228478</v>
      </c>
      <c r="G114" s="37">
        <f>G99*$C$55*G110/10</f>
        <v>108.0457725295101</v>
      </c>
      <c r="H114" s="37">
        <f>H99*$C$55*H110/10</f>
        <v>108.37939383054224</v>
      </c>
      <c r="I114" s="37">
        <f>I99*$C$55*I110/10</f>
        <v>108.71301513157437</v>
      </c>
      <c r="J114" s="37">
        <f>J99*$C$55*J110/10</f>
        <v>109.04663643260649</v>
      </c>
      <c r="K114" s="37">
        <f>K99*$C$55*K110/10</f>
        <v>109.38025773363862</v>
      </c>
      <c r="L114" s="37">
        <f>L99*$C$55*L110/10</f>
        <v>109.71387903467073</v>
      </c>
      <c r="M114" s="37">
        <f>M99*$C$55*M110/10</f>
        <v>110.04750033570285</v>
      </c>
      <c r="N114" s="37">
        <f>N99*$C$55*N110/10</f>
        <v>110.38112163673497</v>
      </c>
      <c r="O114" s="37">
        <f>O99*$C$55*O110/10</f>
        <v>110.7147429377671</v>
      </c>
      <c r="P114" s="37">
        <f>P99*$C$55*P110/10</f>
        <v>111.04836423879922</v>
      </c>
      <c r="Q114" s="37">
        <f>Q99*$C$55*Q110/10</f>
        <v>111.38198553983133</v>
      </c>
      <c r="R114" s="37">
        <f>R99*$C$55*R110/10</f>
        <v>111.71560684086346</v>
      </c>
      <c r="S114" s="37">
        <f>S99*$C$55*S110/10</f>
        <v>112.04922814189558</v>
      </c>
      <c r="T114" s="37">
        <f>T99*$C$55*T110/10</f>
        <v>112.38284944292771</v>
      </c>
      <c r="U114" s="37">
        <f>U99*$C$55*U110/10</f>
        <v>112.71647074395983</v>
      </c>
      <c r="V114" s="37">
        <f>V99*$C$55*V110/10</f>
        <v>113.05009204499197</v>
      </c>
      <c r="W114" s="37">
        <f>W99*$C$55*W110/10</f>
        <v>113.38371334602407</v>
      </c>
      <c r="X114" s="37">
        <f>X99*$C$55*X110/10</f>
        <v>113.71733464705622</v>
      </c>
      <c r="Y114" s="37">
        <f>Y99*$C$55*Y110/10</f>
        <v>114.05095594808832</v>
      </c>
      <c r="Z114" s="37">
        <f>Z99*$C$55*Z110/10</f>
        <v>114.38457724912045</v>
      </c>
      <c r="AA114" s="37">
        <f>AA99*$C$55*AA110/10</f>
        <v>114.71819855015258</v>
      </c>
      <c r="AB114" s="37">
        <f>AB99*$C$55*AB110/10</f>
        <v>115.0518198511847</v>
      </c>
      <c r="AC114" s="37">
        <f>AC99*$C$55*AC110/10</f>
        <v>115.38544115221683</v>
      </c>
    </row>
    <row r="115" spans="1:29" x14ac:dyDescent="0.25">
      <c r="A115" s="61" t="s">
        <v>195</v>
      </c>
      <c r="B115" s="62" t="s">
        <v>86</v>
      </c>
      <c r="C115" s="63">
        <f>SUM(E115:AC115)</f>
        <v>20703.024840104146</v>
      </c>
      <c r="D115" s="64"/>
      <c r="E115" s="63">
        <f>E111+E112-E113-E114</f>
        <v>845.6695922905826</v>
      </c>
      <c r="F115" s="63">
        <f>F111+F112-F113-F114</f>
        <v>844.2072090667144</v>
      </c>
      <c r="G115" s="63">
        <f>G111+G112-G113-G114</f>
        <v>842.7448258428462</v>
      </c>
      <c r="H115" s="63">
        <f>H111+H112-H113-H114</f>
        <v>841.2824426189783</v>
      </c>
      <c r="I115" s="63">
        <f>I111+I112-I113-I114</f>
        <v>839.8200593951101</v>
      </c>
      <c r="J115" s="63">
        <f>J111+J112-J113-J114</f>
        <v>838.3576761712421</v>
      </c>
      <c r="K115" s="63">
        <f>K111+K112-K113-K114</f>
        <v>836.8952929473743</v>
      </c>
      <c r="L115" s="63">
        <f>L111+L112-L113-L114</f>
        <v>835.4329097235062</v>
      </c>
      <c r="M115" s="63">
        <f>M111+M112-M113-M114</f>
        <v>833.9705264996381</v>
      </c>
      <c r="N115" s="63">
        <f>N111+N112-N113-N114</f>
        <v>832.50814327577</v>
      </c>
      <c r="O115" s="63">
        <f>O111+O112-O113-O114</f>
        <v>831.045760051902</v>
      </c>
      <c r="P115" s="63">
        <f>P111+P112-P113-P114</f>
        <v>829.583376828034</v>
      </c>
      <c r="Q115" s="63">
        <f>Q111+Q112-Q113-Q114</f>
        <v>828.1209936041658</v>
      </c>
      <c r="R115" s="63">
        <f>R111+R112-R113-R114</f>
        <v>826.658610380298</v>
      </c>
      <c r="S115" s="63">
        <f>S111+S112-S113-S114</f>
        <v>825.1962271564302</v>
      </c>
      <c r="T115" s="63">
        <f>T111+T112-T113-T114</f>
        <v>823.733843932562</v>
      </c>
      <c r="U115" s="63">
        <f>U111+U112-U113-U114</f>
        <v>822.2714607086939</v>
      </c>
      <c r="V115" s="63">
        <f>V111+V112-V113-V114</f>
        <v>820.8090774848259</v>
      </c>
      <c r="W115" s="63">
        <f>W111+W112-W113-W114</f>
        <v>819.3466942609576</v>
      </c>
      <c r="X115" s="63">
        <f>X111+X112-X113-X114</f>
        <v>817.8843110370897</v>
      </c>
      <c r="Y115" s="63">
        <f>Y111+Y112-Y113-Y114</f>
        <v>816.4219278132218</v>
      </c>
      <c r="Z115" s="63">
        <f>Z111+Z112-Z113-Z114</f>
        <v>814.959544589354</v>
      </c>
      <c r="AA115" s="63">
        <f>AA111+AA112-AA113-AA114</f>
        <v>813.4971613654858</v>
      </c>
      <c r="AB115" s="63">
        <f>AB111+AB112-AB113-AB114</f>
        <v>812.0347781416176</v>
      </c>
      <c r="AC115" s="63">
        <f>AC111+AC112-AC113-AC114</f>
        <v>810.5723949177496</v>
      </c>
    </row>
    <row r="117" ht="20" customHeight="1" spans="1:29" x14ac:dyDescent="0.25">
      <c r="A117" s="21" t="s">
        <v>196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x14ac:dyDescent="0.25">
      <c r="A118" s="33" t="s">
        <v>120</v>
      </c>
      <c r="B118" s="26" t="s">
        <v>86</v>
      </c>
      <c r="C118" s="57">
        <f>SUM(E118:AC118)</f>
        <v>809.8800107797291</v>
      </c>
      <c r="E118" s="37">
        <f>$C$32*$C$44/100*E105</f>
        <v>16.96897634336189</v>
      </c>
      <c r="F118" s="37">
        <f>$C$32*$C$44/100*F105</f>
        <v>17.817425160529986</v>
      </c>
      <c r="G118" s="37">
        <f>$C$32*$C$44/100*G105</f>
        <v>18.708296418556486</v>
      </c>
      <c r="H118" s="37">
        <f>$C$32*$C$44/100*H105</f>
        <v>19.64371123948431</v>
      </c>
      <c r="I118" s="37">
        <f>$C$32*$C$44/100*I105</f>
        <v>20.62589680145853</v>
      </c>
      <c r="J118" s="37">
        <f>$C$32*$C$44/100*J105</f>
        <v>21.65719164153146</v>
      </c>
      <c r="K118" s="37">
        <f>$C$32*$C$44/100*K105</f>
        <v>22.74005122360803</v>
      </c>
      <c r="L118" s="37">
        <f>$C$32*$C$44/100*L105</f>
        <v>23.877053784788433</v>
      </c>
      <c r="M118" s="37">
        <f>$C$32*$C$44/100*M105</f>
        <v>25.070906474027854</v>
      </c>
      <c r="N118" s="37">
        <f>$C$32*$C$44/100*N105</f>
        <v>26.32445179772925</v>
      </c>
      <c r="O118" s="37">
        <f>$C$32*$C$44/100*O105</f>
        <v>27.640674387615714</v>
      </c>
      <c r="P118" s="37">
        <f>$C$32*$C$44/100*P105</f>
        <v>29.022708106996497</v>
      </c>
      <c r="Q118" s="37">
        <f>$C$32*$C$44/100*Q105</f>
        <v>30.473843512346324</v>
      </c>
      <c r="R118" s="37">
        <f>$C$32*$C$44/100*R105</f>
        <v>31.997535687963644</v>
      </c>
      <c r="S118" s="37">
        <f>$C$32*$C$44/100*S105</f>
        <v>33.59741247236183</v>
      </c>
      <c r="T118" s="37">
        <f>$C$32*$C$44/100*T105</f>
        <v>35.277283095979925</v>
      </c>
      <c r="U118" s="37">
        <f>$C$32*$C$44/100*U105</f>
        <v>37.04114725077891</v>
      </c>
      <c r="V118" s="37">
        <f>$C$32*$C$44/100*V105</f>
        <v>38.89320461331786</v>
      </c>
      <c r="W118" s="37">
        <f>$C$32*$C$44/100*W105</f>
        <v>40.837864843983766</v>
      </c>
      <c r="X118" s="37">
        <f>$C$32*$C$44/100*X105</f>
        <v>42.87975808618295</v>
      </c>
      <c r="Y118" s="37">
        <f>$C$32*$C$44/100*Y105</f>
        <v>45.023745990492095</v>
      </c>
      <c r="Z118" s="37">
        <f>$C$32*$C$44/100*Z105</f>
        <v>47.274933290016705</v>
      </c>
      <c r="AA118" s="37">
        <f>$C$32*$C$44/100*AA105</f>
        <v>49.63867995451754</v>
      </c>
      <c r="AB118" s="37">
        <f>$C$32*$C$44/100*AB105</f>
        <v>52.120613952243424</v>
      </c>
      <c r="AC118" s="37">
        <f>$C$32*$C$44/100*AC105</f>
        <v>54.726644649855594</v>
      </c>
    </row>
    <row r="119" spans="1:29" x14ac:dyDescent="0.25">
      <c r="A119" s="33" t="s">
        <v>122</v>
      </c>
      <c r="B119" s="26" t="s">
        <v>86</v>
      </c>
      <c r="C119" s="57">
        <f>SUM(E119:AC119)</f>
        <v>1356.0537744443773</v>
      </c>
      <c r="E119" s="37">
        <f>$C$33*$C$45/100*E105</f>
        <v>28.412658804504964</v>
      </c>
      <c r="F119" s="37">
        <f>$C$33*$C$45/100*F105</f>
        <v>29.833291744730214</v>
      </c>
      <c r="G119" s="37">
        <f>$C$33*$C$45/100*G105</f>
        <v>31.324956331966725</v>
      </c>
      <c r="H119" s="37">
        <f>$C$33*$C$45/100*H105</f>
        <v>32.891204148565066</v>
      </c>
      <c r="I119" s="37">
        <f>$C$33*$C$45/100*I105</f>
        <v>34.53576435599332</v>
      </c>
      <c r="J119" s="37">
        <f>$C$33*$C$45/100*J105</f>
        <v>36.26255257379299</v>
      </c>
      <c r="K119" s="37">
        <f>$C$33*$C$45/100*K105</f>
        <v>38.07568020248264</v>
      </c>
      <c r="L119" s="37">
        <f>$C$33*$C$45/100*L105</f>
        <v>39.97946421260677</v>
      </c>
      <c r="M119" s="37">
        <f>$C$33*$C$45/100*M105</f>
        <v>41.97843742323711</v>
      </c>
      <c r="N119" s="37">
        <f>$C$33*$C$45/100*N105</f>
        <v>44.07735929439897</v>
      </c>
      <c r="O119" s="37">
        <f>$C$33*$C$45/100*O105</f>
        <v>46.28122725911892</v>
      </c>
      <c r="P119" s="37">
        <f>$C$33*$C$45/100*P105</f>
        <v>48.59528862207486</v>
      </c>
      <c r="Q119" s="37">
        <f>$C$33*$C$45/100*Q105</f>
        <v>51.02505305317861</v>
      </c>
      <c r="R119" s="37">
        <f>$C$33*$C$45/100*R105</f>
        <v>53.57630570583755</v>
      </c>
      <c r="S119" s="37">
        <f>$C$33*$C$45/100*S105</f>
        <v>56.255120991129424</v>
      </c>
      <c r="T119" s="37">
        <f>$C$33*$C$45/100*T105</f>
        <v>59.0678770406859</v>
      </c>
      <c r="U119" s="37">
        <f>$C$33*$C$45/100*U105</f>
        <v>62.02127089272019</v>
      </c>
      <c r="V119" s="37">
        <f>$C$33*$C$45/100*V105</f>
        <v>65.1223344373562</v>
      </c>
      <c r="W119" s="37">
        <f>$C$33*$C$45/100*W105</f>
        <v>68.37845115922403</v>
      </c>
      <c r="X119" s="37">
        <f>$C$33*$C$45/100*X105</f>
        <v>71.79737371718522</v>
      </c>
      <c r="Y119" s="37">
        <f>$C$33*$C$45/100*Y105</f>
        <v>75.38724240304448</v>
      </c>
      <c r="Z119" s="37">
        <f>$C$33*$C$45/100*Z105</f>
        <v>79.15660452319672</v>
      </c>
      <c r="AA119" s="37">
        <f>$C$33*$C$45/100*AA105</f>
        <v>83.11443474935656</v>
      </c>
      <c r="AB119" s="37">
        <f>$C$33*$C$45/100*AB105</f>
        <v>87.27015648682439</v>
      </c>
      <c r="AC119" s="37">
        <f>$C$33*$C$45/100*AC105</f>
        <v>91.6336643111656</v>
      </c>
    </row>
    <row r="120" spans="1:29" x14ac:dyDescent="0.25">
      <c r="A120" s="33" t="s">
        <v>123</v>
      </c>
      <c r="B120" s="26" t="s">
        <v>86</v>
      </c>
      <c r="C120" s="57">
        <f>SUM(E120:AC120)</f>
        <v>668.1956580207434</v>
      </c>
      <c r="E120" s="37">
        <f>$C$35*$C$46/100*E105</f>
        <v>14.00034099221026</v>
      </c>
      <c r="F120" s="37">
        <f>$C$35*$C$46/100*F105</f>
        <v>14.700358041820774</v>
      </c>
      <c r="G120" s="37">
        <f>$C$35*$C$46/100*G105</f>
        <v>15.435375943911813</v>
      </c>
      <c r="H120" s="37">
        <f>$C$35*$C$46/100*H105</f>
        <v>16.207144741107403</v>
      </c>
      <c r="I120" s="37">
        <f>$C$35*$C$46/100*I105</f>
        <v>17.017501978162777</v>
      </c>
      <c r="J120" s="37">
        <f>$C$35*$C$46/100*J105</f>
        <v>17.868377077070917</v>
      </c>
      <c r="K120" s="37">
        <f>$C$35*$C$46/100*K105</f>
        <v>18.761795930924464</v>
      </c>
      <c r="L120" s="37">
        <f>$C$35*$C$46/100*L105</f>
        <v>19.699885727470686</v>
      </c>
      <c r="M120" s="37">
        <f>$C$35*$C$46/100*M105</f>
        <v>20.68488001384422</v>
      </c>
      <c r="N120" s="37">
        <f>$C$35*$C$46/100*N105</f>
        <v>21.719124014536433</v>
      </c>
      <c r="O120" s="37">
        <f>$C$35*$C$46/100*O105</f>
        <v>22.805080215263256</v>
      </c>
      <c r="P120" s="37">
        <f>$C$35*$C$46/100*P105</f>
        <v>23.945334226026418</v>
      </c>
      <c r="Q120" s="37">
        <f>$C$35*$C$46/100*Q105</f>
        <v>25.142600937327742</v>
      </c>
      <c r="R120" s="37">
        <f>$C$35*$C$46/100*R105</f>
        <v>26.39973098419413</v>
      </c>
      <c r="S120" s="37">
        <f>$C$35*$C$46/100*S105</f>
        <v>27.719717533403838</v>
      </c>
      <c r="T120" s="37">
        <f>$C$35*$C$46/100*T105</f>
        <v>29.10570341007403</v>
      </c>
      <c r="U120" s="37">
        <f>$C$35*$C$46/100*U105</f>
        <v>30.56098858057773</v>
      </c>
      <c r="V120" s="37">
        <f>$C$35*$C$46/100*V105</f>
        <v>32.08903800960662</v>
      </c>
      <c r="W120" s="37">
        <f>$C$35*$C$46/100*W105</f>
        <v>33.69348991008695</v>
      </c>
      <c r="X120" s="37">
        <f>$C$35*$C$46/100*X105</f>
        <v>35.378164405591306</v>
      </c>
      <c r="Y120" s="37">
        <f>$C$35*$C$46/100*Y105</f>
        <v>37.14707262587087</v>
      </c>
      <c r="Z120" s="37">
        <f>$C$35*$C$46/100*Z105</f>
        <v>39.00442625716441</v>
      </c>
      <c r="AA120" s="37">
        <f>$C$35*$C$46/100*AA105</f>
        <v>40.95464757002264</v>
      </c>
      <c r="AB120" s="37">
        <f>$C$35*$C$46/100*AB105</f>
        <v>43.00237994852377</v>
      </c>
      <c r="AC120" s="37">
        <f>$C$35*$C$46/100*AC105</f>
        <v>45.15249894594996</v>
      </c>
    </row>
    <row r="121" spans="1:29" x14ac:dyDescent="0.25">
      <c r="A121" s="33" t="s">
        <v>126</v>
      </c>
      <c r="B121" s="26" t="s">
        <v>86</v>
      </c>
      <c r="C121" s="57">
        <f>SUM(E121:AC121)</f>
        <v>386.1717818745263</v>
      </c>
      <c r="E121" s="37">
        <f>$C$82*$C$48</f>
        <v>15.446871274981055</v>
      </c>
      <c r="F121" s="37">
        <f>$C$82*$C$48</f>
        <v>15.446871274981055</v>
      </c>
      <c r="G121" s="37">
        <f>$C$82*$C$48</f>
        <v>15.446871274981055</v>
      </c>
      <c r="H121" s="37">
        <f>$C$82*$C$48</f>
        <v>15.446871274981055</v>
      </c>
      <c r="I121" s="37">
        <f>$C$82*$C$48</f>
        <v>15.446871274981055</v>
      </c>
      <c r="J121" s="37">
        <f>$C$82*$C$48</f>
        <v>15.446871274981055</v>
      </c>
      <c r="K121" s="37">
        <f>$C$82*$C$48</f>
        <v>15.446871274981055</v>
      </c>
      <c r="L121" s="37">
        <f>$C$82*$C$48</f>
        <v>15.446871274981055</v>
      </c>
      <c r="M121" s="37">
        <f>$C$82*$C$48</f>
        <v>15.446871274981055</v>
      </c>
      <c r="N121" s="37">
        <f>$C$82*$C$48</f>
        <v>15.446871274981055</v>
      </c>
      <c r="O121" s="37">
        <f>$C$82*$C$48</f>
        <v>15.446871274981055</v>
      </c>
      <c r="P121" s="37">
        <f>$C$82*$C$48</f>
        <v>15.446871274981055</v>
      </c>
      <c r="Q121" s="37">
        <f>$C$82*$C$48</f>
        <v>15.446871274981055</v>
      </c>
      <c r="R121" s="37">
        <f>$C$82*$C$48</f>
        <v>15.446871274981055</v>
      </c>
      <c r="S121" s="37">
        <f>$C$82*$C$48</f>
        <v>15.446871274981055</v>
      </c>
      <c r="T121" s="37">
        <f>$C$82*$C$48</f>
        <v>15.446871274981055</v>
      </c>
      <c r="U121" s="37">
        <f>$C$82*$C$48</f>
        <v>15.446871274981055</v>
      </c>
      <c r="V121" s="37">
        <f>$C$82*$C$48</f>
        <v>15.446871274981055</v>
      </c>
      <c r="W121" s="37">
        <f>$C$82*$C$48</f>
        <v>15.446871274981055</v>
      </c>
      <c r="X121" s="37">
        <f>$C$82*$C$48</f>
        <v>15.446871274981055</v>
      </c>
      <c r="Y121" s="37">
        <f>$C$82*$C$48</f>
        <v>15.446871274981055</v>
      </c>
      <c r="Z121" s="37">
        <f>$C$82*$C$48</f>
        <v>15.446871274981055</v>
      </c>
      <c r="AA121" s="37">
        <f>$C$82*$C$48</f>
        <v>15.446871274981055</v>
      </c>
      <c r="AB121" s="37">
        <f>$C$82*$C$48</f>
        <v>15.446871274981055</v>
      </c>
      <c r="AC121" s="37">
        <f>$C$82*$C$48</f>
        <v>15.446871274981055</v>
      </c>
    </row>
    <row r="122" spans="1:29" x14ac:dyDescent="0.25">
      <c r="A122" s="33" t="s">
        <v>128</v>
      </c>
      <c r="B122" s="26" t="s">
        <v>86</v>
      </c>
      <c r="C122" s="57">
        <f>SUM(E122:AC122)</f>
        <v>0</v>
      </c>
      <c r="E122" s="37">
        <f>$C$49*E105</f>
        <v>0</v>
      </c>
      <c r="F122" s="37">
        <f>$C$49*F105</f>
        <v>0</v>
      </c>
      <c r="G122" s="37">
        <f>$C$49*G105</f>
        <v>0</v>
      </c>
      <c r="H122" s="37">
        <f>$C$49*H105</f>
        <v>0</v>
      </c>
      <c r="I122" s="37">
        <f>$C$49*I105</f>
        <v>0</v>
      </c>
      <c r="J122" s="37">
        <f>$C$49*J105</f>
        <v>0</v>
      </c>
      <c r="K122" s="37">
        <f>$C$49*K105</f>
        <v>0</v>
      </c>
      <c r="L122" s="37">
        <f>$C$49*L105</f>
        <v>0</v>
      </c>
      <c r="M122" s="37">
        <f>$C$49*M105</f>
        <v>0</v>
      </c>
      <c r="N122" s="37">
        <f>$C$49*N105</f>
        <v>0</v>
      </c>
      <c r="O122" s="37">
        <f>$C$49*O105</f>
        <v>0</v>
      </c>
      <c r="P122" s="37">
        <f>$C$49*P105</f>
        <v>0</v>
      </c>
      <c r="Q122" s="37">
        <f>$C$49*Q105</f>
        <v>0</v>
      </c>
      <c r="R122" s="37">
        <f>$C$49*R105</f>
        <v>0</v>
      </c>
      <c r="S122" s="37">
        <f>$C$49*S105</f>
        <v>0</v>
      </c>
      <c r="T122" s="37">
        <f>$C$49*T105</f>
        <v>0</v>
      </c>
      <c r="U122" s="37">
        <f>$C$49*U105</f>
        <v>0</v>
      </c>
      <c r="V122" s="37">
        <f>$C$49*V105</f>
        <v>0</v>
      </c>
      <c r="W122" s="37">
        <f>$C$49*W105</f>
        <v>0</v>
      </c>
      <c r="X122" s="37">
        <f>$C$49*X105</f>
        <v>0</v>
      </c>
      <c r="Y122" s="37">
        <f>$C$49*Y105</f>
        <v>0</v>
      </c>
      <c r="Z122" s="37">
        <f>$C$49*Z105</f>
        <v>0</v>
      </c>
      <c r="AA122" s="37">
        <f>$C$49*AA105</f>
        <v>0</v>
      </c>
      <c r="AB122" s="37">
        <f>$C$49*AB105</f>
        <v>0</v>
      </c>
      <c r="AC122" s="37">
        <f>$C$49*AC105</f>
        <v>0</v>
      </c>
    </row>
    <row r="123" spans="1:29" x14ac:dyDescent="0.25">
      <c r="A123" s="61" t="s">
        <v>197</v>
      </c>
      <c r="B123" s="62" t="s">
        <v>86</v>
      </c>
      <c r="C123" s="63">
        <f>SUM(E123:AC123)</f>
        <v>3220.301225119377</v>
      </c>
      <c r="D123" s="64"/>
      <c r="E123" s="63">
        <f>SUM(E118:E122)</f>
        <v>74.82884741505818</v>
      </c>
      <c r="F123" s="63">
        <f>SUM(F118:F122)</f>
        <v>77.79794622206202</v>
      </c>
      <c r="G123" s="63">
        <f>SUM(G118:G122)</f>
        <v>80.91549996941608</v>
      </c>
      <c r="H123" s="63">
        <f>SUM(H118:H122)</f>
        <v>84.18893140413783</v>
      </c>
      <c r="I123" s="63">
        <f>SUM(I118:I122)</f>
        <v>87.62603441059568</v>
      </c>
      <c r="J123" s="63">
        <f>SUM(J118:J122)</f>
        <v>91.23499256737641</v>
      </c>
      <c r="K123" s="63">
        <f>SUM(K118:K122)</f>
        <v>95.02439863199618</v>
      </c>
      <c r="L123" s="63">
        <f>SUM(L118:L122)</f>
        <v>99.00327499984694</v>
      </c>
      <c r="M123" s="63">
        <f>SUM(M118:M122)</f>
        <v>103.18109518609023</v>
      </c>
      <c r="N123" s="63">
        <f>SUM(N118:N122)</f>
        <v>107.5678063816457</v>
      </c>
      <c r="O123" s="63">
        <f>SUM(O118:O122)</f>
        <v>112.17385313697895</v>
      </c>
      <c r="P123" s="63">
        <f>SUM(P118:P122)</f>
        <v>117.01020223007883</v>
      </c>
      <c r="Q123" s="63">
        <f>SUM(Q118:Q122)</f>
        <v>122.08836877783372</v>
      </c>
      <c r="R123" s="63">
        <f>SUM(R118:R122)</f>
        <v>127.42044365297636</v>
      </c>
      <c r="S123" s="63">
        <f>SUM(S118:S122)</f>
        <v>133.01912227187614</v>
      </c>
      <c r="T123" s="63">
        <f>SUM(T118:T122)</f>
        <v>138.89773482172092</v>
      </c>
      <c r="U123" s="63">
        <f>SUM(U118:U122)</f>
        <v>145.07027799905788</v>
      </c>
      <c r="V123" s="63">
        <f>SUM(V118:V122)</f>
        <v>151.55144833526174</v>
      </c>
      <c r="W123" s="63">
        <f>SUM(W118:W122)</f>
        <v>158.3566771882758</v>
      </c>
      <c r="X123" s="63">
        <f>SUM(X118:X122)</f>
        <v>165.50216748394053</v>
      </c>
      <c r="Y123" s="63">
        <f>SUM(Y118:Y122)</f>
        <v>173.00493229438848</v>
      </c>
      <c r="Z123" s="63">
        <f>SUM(Z118:Z122)</f>
        <v>180.8828353453589</v>
      </c>
      <c r="AA123" s="63">
        <f>SUM(AA118:AA122)</f>
        <v>189.1546335488778</v>
      </c>
      <c r="AB123" s="63">
        <f>SUM(AB118:AB122)</f>
        <v>197.8400216625726</v>
      </c>
      <c r="AC123" s="63">
        <f>SUM(AC118:AC122)</f>
        <v>206.9596791819522</v>
      </c>
    </row>
    <row r="124" spans="1:29" x14ac:dyDescent="0.25">
      <c r="A124" s="61" t="s">
        <v>198</v>
      </c>
      <c r="B124" s="62" t="s">
        <v>86</v>
      </c>
      <c r="C124" s="63">
        <f>SUM(E124:AC124)</f>
        <v>17482.723614984778</v>
      </c>
      <c r="D124" s="64"/>
      <c r="E124" s="63">
        <f>E115-E123</f>
        <v>770.8407448755245</v>
      </c>
      <c r="F124" s="63">
        <f>F115-F123</f>
        <v>766.4092628446524</v>
      </c>
      <c r="G124" s="63">
        <f>G115-G123</f>
        <v>761.8293258734302</v>
      </c>
      <c r="H124" s="63">
        <f>H115-H123</f>
        <v>757.0935112148404</v>
      </c>
      <c r="I124" s="63">
        <f>I115-I123</f>
        <v>752.1940249845144</v>
      </c>
      <c r="J124" s="63">
        <f>J115-J123</f>
        <v>747.1226836038658</v>
      </c>
      <c r="K124" s="63">
        <f>K115-K123</f>
        <v>741.8708943153781</v>
      </c>
      <c r="L124" s="63">
        <f>L115-L123</f>
        <v>736.4296347236593</v>
      </c>
      <c r="M124" s="63">
        <f>M115-M123</f>
        <v>730.7894313135479</v>
      </c>
      <c r="N124" s="63">
        <f>N115-N123</f>
        <v>724.9403368941242</v>
      </c>
      <c r="O124" s="63">
        <f>O115-O123</f>
        <v>718.8719069149231</v>
      </c>
      <c r="P124" s="63">
        <f>P115-P123</f>
        <v>712.5731745979552</v>
      </c>
      <c r="Q124" s="63">
        <f>Q115-Q123</f>
        <v>706.0326248263322</v>
      </c>
      <c r="R124" s="63">
        <f>R115-R123</f>
        <v>699.2381667273216</v>
      </c>
      <c r="S124" s="63">
        <f>S115-S123</f>
        <v>692.177104884554</v>
      </c>
      <c r="T124" s="63">
        <f>T115-T123</f>
        <v>684.8361091108411</v>
      </c>
      <c r="U124" s="63">
        <f>U115-U123</f>
        <v>677.201182709636</v>
      </c>
      <c r="V124" s="63">
        <f>V115-V123</f>
        <v>669.2576291495642</v>
      </c>
      <c r="W124" s="63">
        <f>W115-W123</f>
        <v>660.9900170726819</v>
      </c>
      <c r="X124" s="63">
        <f>X115-X123</f>
        <v>652.3821435531491</v>
      </c>
      <c r="Y124" s="63">
        <f>Y115-Y123</f>
        <v>643.4169955188333</v>
      </c>
      <c r="Z124" s="63">
        <f>Z115-Z123</f>
        <v>634.0767092439951</v>
      </c>
      <c r="AA124" s="63">
        <f>AA115-AA123</f>
        <v>624.342527816608</v>
      </c>
      <c r="AB124" s="63">
        <f>AB115-AB123</f>
        <v>614.194756479045</v>
      </c>
      <c r="AC124" s="63">
        <f>AC115-AC123</f>
        <v>603.6127157357975</v>
      </c>
    </row>
    <row r="125" spans="1:29" x14ac:dyDescent="0.25">
      <c r="A125" s="33" t="s">
        <v>199</v>
      </c>
      <c r="B125" s="26" t="s">
        <v>83</v>
      </c>
      <c r="E125" s="32">
        <f>IF(E115&lt;&gt;0,E124/E115,"")</f>
        <v>0.9115152677863507</v>
      </c>
      <c r="F125" s="32">
        <f>IF(F115&lt;&gt;0,F124/F115,"")</f>
        <v>0.9078449634325334</v>
      </c>
      <c r="G125" s="32">
        <f>IF(G115&lt;&gt;0,G124/G115,"")</f>
        <v>0.9039857647438051</v>
      </c>
      <c r="H125" s="32">
        <f>IF(H115&lt;&gt;0,H124/H115,"")</f>
        <v>0.8999278635340932</v>
      </c>
      <c r="I125" s="32">
        <f>IF(I115&lt;&gt;0,I124/I115,"")</f>
        <v>0.8956609413762879</v>
      </c>
      <c r="J125" s="32">
        <f>IF(J115&lt;&gt;0,J124/J115,"")</f>
        <v>0.8911741430172808</v>
      </c>
      <c r="K125" s="32">
        <f>IF(K115&lt;&gt;0,K124/K115,"")</f>
        <v>0.886456048405602</v>
      </c>
      <c r="L125" s="32">
        <f>IF(L115&lt;&gt;0,L124/L115,"")</f>
        <v>0.8814946432591303</v>
      </c>
      <c r="M125" s="32">
        <f>IF(M115&lt;&gt;0,M124/M115,"")</f>
        <v>0.8762772880965416</v>
      </c>
      <c r="N125" s="32">
        <f>IF(N115&lt;&gt;0,N124/N115,"")</f>
        <v>0.8707906856521719</v>
      </c>
      <c r="O125" s="32">
        <f>IF(O115&lt;&gt;0,O124/O115,"")</f>
        <v>0.8650208465897555</v>
      </c>
      <c r="P125" s="32">
        <f>IF(P115&lt;&gt;0,P124/P115,"")</f>
        <v>0.8589530534260764</v>
      </c>
      <c r="Q125" s="32">
        <f>IF(Q115&lt;&gt;0,Q124/Q115,"")</f>
        <v>0.8525718225709047</v>
      </c>
      <c r="R125" s="32">
        <f>IF(R115&lt;&gt;0,R124/R115,"")</f>
        <v>0.8458608643846853</v>
      </c>
      <c r="S125" s="32">
        <f>IF(S115&lt;&gt;0,S124/S115,"")</f>
        <v>0.8388030411502837</v>
      </c>
      <c r="T125" s="32">
        <f>IF(T115&lt;&gt;0,T124/T115,"")</f>
        <v>0.8313803228496555</v>
      </c>
      <c r="U125" s="32">
        <f>IF(U115&lt;&gt;0,U124/U115,"")</f>
        <v>0.8235737406305873</v>
      </c>
      <c r="V125" s="32">
        <f>IF(V115&lt;&gt;0,V124/V115,"")</f>
        <v>0.815363337842638</v>
      </c>
      <c r="W125" s="32">
        <f>IF(W115&lt;&gt;0,W124/W115,"")</f>
        <v>0.8067281185150667</v>
      </c>
      <c r="X125" s="32">
        <f>IF(X115&lt;&gt;0,X124/X115,"")</f>
        <v>0.7976459931428672</v>
      </c>
      <c r="Y125" s="32">
        <f>IF(Y115&lt;&gt;0,Y124/Y115,"")</f>
        <v>0.7880937216400097</v>
      </c>
      <c r="Z125" s="32">
        <f>IF(Z115&lt;&gt;0,Z124/Z115,"")</f>
        <v>0.7780468533115922</v>
      </c>
      <c r="AA125" s="32">
        <f>IF(AA115&lt;&gt;0,AA124/AA115,"")</f>
        <v>0.7674796636888388</v>
      </c>
      <c r="AB125" s="32">
        <f>IF(AB115&lt;&gt;0,AB124/AB115,"")</f>
        <v>0.756365088062682</v>
      </c>
      <c r="AC125" s="32">
        <f>IF(AC115&lt;&gt;0,AC124/AC115,"")</f>
        <v>0.7446746515430583</v>
      </c>
    </row>
    <row r="127" ht="20" customHeight="1" spans="1:29" x14ac:dyDescent="0.25">
      <c r="A127" s="21" t="s">
        <v>200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33" t="s">
        <v>143</v>
      </c>
      <c r="B128" s="26" t="s">
        <v>86</v>
      </c>
      <c r="C128" s="57">
        <f>SUM(E128:AC128)</f>
        <v>672.0163676260926</v>
      </c>
      <c r="E128" s="37">
        <f>IF($C$57="annual",IF(E$5&gt;=2,$C$35*$C$58*$C$39*E106,0),IF(AND($C$57="oneTime",E$5=$C$59,$C$59&gt;1,$C$59&lt;=$C$87),$C$35*MIN(0.6,$C$58*(E$5-1))*$C$39*E106,0))</f>
        <v>0</v>
      </c>
      <c r="F128" s="37">
        <f>IF($C$57="annual",IF(F$5&gt;=2,$C$35*$C$58*$C$39*F106,0),IF(AND($C$57="oneTime",F$5=$C$59,$C$59&gt;1,$C$59&lt;=$C$87),$C$35*MIN(0.6,$C$58*(F$5-1))*$C$39*F106,0))</f>
        <v>28.000681984420524</v>
      </c>
      <c r="G128" s="37">
        <f>IF($C$57="annual",IF(G$5&gt;=2,$C$35*$C$58*$C$39*G106,0),IF(AND($C$57="oneTime",G$5=$C$59,$C$59&gt;1,$C$59&lt;=$C$87),$C$35*MIN(0.6,$C$58*(G$5-1))*$C$39*G106,0))</f>
        <v>28.000681984420524</v>
      </c>
      <c r="H128" s="37">
        <f>IF($C$57="annual",IF(H$5&gt;=2,$C$35*$C$58*$C$39*H106,0),IF(AND($C$57="oneTime",H$5=$C$59,$C$59&gt;1,$C$59&lt;=$C$87),$C$35*MIN(0.6,$C$58*(H$5-1))*$C$39*H106,0))</f>
        <v>28.000681984420524</v>
      </c>
      <c r="I128" s="37">
        <f>IF($C$57="annual",IF(I$5&gt;=2,$C$35*$C$58*$C$39*I106,0),IF(AND($C$57="oneTime",I$5=$C$59,$C$59&gt;1,$C$59&lt;=$C$87),$C$35*MIN(0.6,$C$58*(I$5-1))*$C$39*I106,0))</f>
        <v>28.000681984420524</v>
      </c>
      <c r="J128" s="37">
        <f>IF($C$57="annual",IF(J$5&gt;=2,$C$35*$C$58*$C$39*J106,0),IF(AND($C$57="oneTime",J$5=$C$59,$C$59&gt;1,$C$59&lt;=$C$87),$C$35*MIN(0.6,$C$58*(J$5-1))*$C$39*J106,0))</f>
        <v>28.000681984420524</v>
      </c>
      <c r="K128" s="37">
        <f>IF($C$57="annual",IF(K$5&gt;=2,$C$35*$C$58*$C$39*K106,0),IF(AND($C$57="oneTime",K$5=$C$59,$C$59&gt;1,$C$59&lt;=$C$87),$C$35*MIN(0.6,$C$58*(K$5-1))*$C$39*K106,0))</f>
        <v>28.000681984420524</v>
      </c>
      <c r="L128" s="37">
        <f>IF($C$57="annual",IF(L$5&gt;=2,$C$35*$C$58*$C$39*L106,0),IF(AND($C$57="oneTime",L$5=$C$59,$C$59&gt;1,$C$59&lt;=$C$87),$C$35*MIN(0.6,$C$58*(L$5-1))*$C$39*L106,0))</f>
        <v>28.000681984420524</v>
      </c>
      <c r="M128" s="37">
        <f>IF($C$57="annual",IF(M$5&gt;=2,$C$35*$C$58*$C$39*M106,0),IF(AND($C$57="oneTime",M$5=$C$59,$C$59&gt;1,$C$59&lt;=$C$87),$C$35*MIN(0.6,$C$58*(M$5-1))*$C$39*M106,0))</f>
        <v>28.000681984420524</v>
      </c>
      <c r="N128" s="37">
        <f>IF($C$57="annual",IF(N$5&gt;=2,$C$35*$C$58*$C$39*N106,0),IF(AND($C$57="oneTime",N$5=$C$59,$C$59&gt;1,$C$59&lt;=$C$87),$C$35*MIN(0.6,$C$58*(N$5-1))*$C$39*N106,0))</f>
        <v>28.000681984420524</v>
      </c>
      <c r="O128" s="37">
        <f>IF($C$57="annual",IF(O$5&gt;=2,$C$35*$C$58*$C$39*O106,0),IF(AND($C$57="oneTime",O$5=$C$59,$C$59&gt;1,$C$59&lt;=$C$87),$C$35*MIN(0.6,$C$58*(O$5-1))*$C$39*O106,0))</f>
        <v>28.000681984420524</v>
      </c>
      <c r="P128" s="37">
        <f>IF($C$57="annual",IF(P$5&gt;=2,$C$35*$C$58*$C$39*P106,0),IF(AND($C$57="oneTime",P$5=$C$59,$C$59&gt;1,$C$59&lt;=$C$87),$C$35*MIN(0.6,$C$58*(P$5-1))*$C$39*P106,0))</f>
        <v>28.000681984420524</v>
      </c>
      <c r="Q128" s="37">
        <f>IF($C$57="annual",IF(Q$5&gt;=2,$C$35*$C$58*$C$39*Q106,0),IF(AND($C$57="oneTime",Q$5=$C$59,$C$59&gt;1,$C$59&lt;=$C$87),$C$35*MIN(0.6,$C$58*(Q$5-1))*$C$39*Q106,0))</f>
        <v>28.000681984420524</v>
      </c>
      <c r="R128" s="37">
        <f>IF($C$57="annual",IF(R$5&gt;=2,$C$35*$C$58*$C$39*R106,0),IF(AND($C$57="oneTime",R$5=$C$59,$C$59&gt;1,$C$59&lt;=$C$87),$C$35*MIN(0.6,$C$58*(R$5-1))*$C$39*R106,0))</f>
        <v>28.000681984420524</v>
      </c>
      <c r="S128" s="37">
        <f>IF($C$57="annual",IF(S$5&gt;=2,$C$35*$C$58*$C$39*S106,0),IF(AND($C$57="oneTime",S$5=$C$59,$C$59&gt;1,$C$59&lt;=$C$87),$C$35*MIN(0.6,$C$58*(S$5-1))*$C$39*S106,0))</f>
        <v>28.000681984420524</v>
      </c>
      <c r="T128" s="37">
        <f>IF($C$57="annual",IF(T$5&gt;=2,$C$35*$C$58*$C$39*T106,0),IF(AND($C$57="oneTime",T$5=$C$59,$C$59&gt;1,$C$59&lt;=$C$87),$C$35*MIN(0.6,$C$58*(T$5-1))*$C$39*T106,0))</f>
        <v>28.000681984420524</v>
      </c>
      <c r="U128" s="37">
        <f>IF($C$57="annual",IF(U$5&gt;=2,$C$35*$C$58*$C$39*U106,0),IF(AND($C$57="oneTime",U$5=$C$59,$C$59&gt;1,$C$59&lt;=$C$87),$C$35*MIN(0.6,$C$58*(U$5-1))*$C$39*U106,0))</f>
        <v>28.000681984420524</v>
      </c>
      <c r="V128" s="37">
        <f>IF($C$57="annual",IF(V$5&gt;=2,$C$35*$C$58*$C$39*V106,0),IF(AND($C$57="oneTime",V$5=$C$59,$C$59&gt;1,$C$59&lt;=$C$87),$C$35*MIN(0.6,$C$58*(V$5-1))*$C$39*V106,0))</f>
        <v>28.000681984420524</v>
      </c>
      <c r="W128" s="37">
        <f>IF($C$57="annual",IF(W$5&gt;=2,$C$35*$C$58*$C$39*W106,0),IF(AND($C$57="oneTime",W$5=$C$59,$C$59&gt;1,$C$59&lt;=$C$87),$C$35*MIN(0.6,$C$58*(W$5-1))*$C$39*W106,0))</f>
        <v>28.000681984420524</v>
      </c>
      <c r="X128" s="37">
        <f>IF($C$57="annual",IF(X$5&gt;=2,$C$35*$C$58*$C$39*X106,0),IF(AND($C$57="oneTime",X$5=$C$59,$C$59&gt;1,$C$59&lt;=$C$87),$C$35*MIN(0.6,$C$58*(X$5-1))*$C$39*X106,0))</f>
        <v>28.000681984420524</v>
      </c>
      <c r="Y128" s="37">
        <f>IF($C$57="annual",IF(Y$5&gt;=2,$C$35*$C$58*$C$39*Y106,0),IF(AND($C$57="oneTime",Y$5=$C$59,$C$59&gt;1,$C$59&lt;=$C$87),$C$35*MIN(0.6,$C$58*(Y$5-1))*$C$39*Y106,0))</f>
        <v>28.000681984420524</v>
      </c>
      <c r="Z128" s="37">
        <f>IF($C$57="annual",IF(Z$5&gt;=2,$C$35*$C$58*$C$39*Z106,0),IF(AND($C$57="oneTime",Z$5=$C$59,$C$59&gt;1,$C$59&lt;=$C$87),$C$35*MIN(0.6,$C$58*(Z$5-1))*$C$39*Z106,0))</f>
        <v>28.000681984420524</v>
      </c>
      <c r="AA128" s="37">
        <f>IF($C$57="annual",IF(AA$5&gt;=2,$C$35*$C$58*$C$39*AA106,0),IF(AND($C$57="oneTime",AA$5=$C$59,$C$59&gt;1,$C$59&lt;=$C$87),$C$35*MIN(0.6,$C$58*(AA$5-1))*$C$39*AA106,0))</f>
        <v>28.000681984420524</v>
      </c>
      <c r="AB128" s="37">
        <f>IF($C$57="annual",IF(AB$5&gt;=2,$C$35*$C$58*$C$39*AB106,0),IF(AND($C$57="oneTime",AB$5=$C$59,$C$59&gt;1,$C$59&lt;=$C$87),$C$35*MIN(0.6,$C$58*(AB$5-1))*$C$39*AB106,0))</f>
        <v>28.000681984420524</v>
      </c>
      <c r="AC128" s="37">
        <f>IF($C$57="annual",IF(AC$5&gt;=2,$C$35*$C$58*$C$39*AC106,0),IF(AND($C$57="oneTime",AC$5=$C$59,$C$59&gt;1,$C$59&lt;=$C$87),$C$35*MIN(0.6,$C$58*(AC$5-1))*$C$39*AC106,0))</f>
        <v>28.000681984420524</v>
      </c>
    </row>
    <row r="130" ht="20" customHeight="1" spans="1:29" x14ac:dyDescent="0.25">
      <c r="A130" s="21" t="s">
        <v>201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33" t="s">
        <v>202</v>
      </c>
      <c r="B131" s="26" t="s">
        <v>86</v>
      </c>
      <c r="C131" s="57">
        <f>SUM(E131:AC131)</f>
        <v>4865.764451619034</v>
      </c>
      <c r="E131" s="37">
        <f>IF(E$5&lt;=$C$72,$C$92,0)</f>
        <v>194.63057806476132</v>
      </c>
      <c r="F131" s="37">
        <f>IF(F$5&lt;=$C$72,$C$92,0)</f>
        <v>194.63057806476132</v>
      </c>
      <c r="G131" s="37">
        <f>IF(G$5&lt;=$C$72,$C$92,0)</f>
        <v>194.63057806476132</v>
      </c>
      <c r="H131" s="37">
        <f>IF(H$5&lt;=$C$72,$C$92,0)</f>
        <v>194.63057806476132</v>
      </c>
      <c r="I131" s="37">
        <f>IF(I$5&lt;=$C$72,$C$92,0)</f>
        <v>194.63057806476132</v>
      </c>
      <c r="J131" s="37">
        <f>IF(J$5&lt;=$C$72,$C$92,0)</f>
        <v>194.63057806476132</v>
      </c>
      <c r="K131" s="37">
        <f>IF(K$5&lt;=$C$72,$C$92,0)</f>
        <v>194.63057806476132</v>
      </c>
      <c r="L131" s="37">
        <f>IF(L$5&lt;=$C$72,$C$92,0)</f>
        <v>194.63057806476132</v>
      </c>
      <c r="M131" s="37">
        <f>IF(M$5&lt;=$C$72,$C$92,0)</f>
        <v>194.63057806476132</v>
      </c>
      <c r="N131" s="37">
        <f>IF(N$5&lt;=$C$72,$C$92,0)</f>
        <v>194.63057806476132</v>
      </c>
      <c r="O131" s="37">
        <f>IF(O$5&lt;=$C$72,$C$92,0)</f>
        <v>194.63057806476132</v>
      </c>
      <c r="P131" s="37">
        <f>IF(P$5&lt;=$C$72,$C$92,0)</f>
        <v>194.63057806476132</v>
      </c>
      <c r="Q131" s="37">
        <f>IF(Q$5&lt;=$C$72,$C$92,0)</f>
        <v>194.63057806476132</v>
      </c>
      <c r="R131" s="37">
        <f>IF(R$5&lt;=$C$72,$C$92,0)</f>
        <v>194.63057806476132</v>
      </c>
      <c r="S131" s="37">
        <f>IF(S$5&lt;=$C$72,$C$92,0)</f>
        <v>194.63057806476132</v>
      </c>
      <c r="T131" s="37">
        <f>IF(T$5&lt;=$C$72,$C$92,0)</f>
        <v>194.63057806476132</v>
      </c>
      <c r="U131" s="37">
        <f>IF(U$5&lt;=$C$72,$C$92,0)</f>
        <v>194.63057806476132</v>
      </c>
      <c r="V131" s="37">
        <f>IF(V$5&lt;=$C$72,$C$92,0)</f>
        <v>194.63057806476132</v>
      </c>
      <c r="W131" s="37">
        <f>IF(W$5&lt;=$C$72,$C$92,0)</f>
        <v>194.63057806476132</v>
      </c>
      <c r="X131" s="37">
        <f>IF(X$5&lt;=$C$72,$C$92,0)</f>
        <v>194.63057806476132</v>
      </c>
      <c r="Y131" s="37">
        <f>IF(Y$5&lt;=$C$72,$C$92,0)</f>
        <v>194.63057806476132</v>
      </c>
      <c r="Z131" s="37">
        <f>IF(Z$5&lt;=$C$72,$C$92,0)</f>
        <v>194.63057806476132</v>
      </c>
      <c r="AA131" s="37">
        <f>IF(AA$5&lt;=$C$72,$C$92,0)</f>
        <v>194.63057806476132</v>
      </c>
      <c r="AB131" s="37">
        <f>IF(AB$5&lt;=$C$72,$C$92,0)</f>
        <v>194.63057806476132</v>
      </c>
      <c r="AC131" s="37">
        <f>IF(AC$5&lt;=$C$72,$C$92,0)</f>
        <v>194.63057806476132</v>
      </c>
    </row>
    <row r="132" spans="1:29" x14ac:dyDescent="0.25">
      <c r="A132" s="33" t="s">
        <v>203</v>
      </c>
      <c r="B132" s="26" t="s">
        <v>86</v>
      </c>
      <c r="E132" s="37">
        <f>E128/MAX(1,$C$87-E$5+1)</f>
        <v>0</v>
      </c>
      <c r="F132" s="37">
        <f>F128/MAX(1,$C$87-F$5+1)</f>
        <v>1.1666950826841884</v>
      </c>
      <c r="G132" s="37">
        <f>G128/MAX(1,$C$87-G$5+1)</f>
        <v>1.2174209558443707</v>
      </c>
      <c r="H132" s="37">
        <f>H128/MAX(1,$C$87-H$5+1)</f>
        <v>1.2727582720191146</v>
      </c>
      <c r="I132" s="37">
        <f>I128/MAX(1,$C$87-I$5+1)</f>
        <v>1.3333658087819298</v>
      </c>
      <c r="J132" s="37">
        <f>J128/MAX(1,$C$87-J$5+1)</f>
        <v>1.4000340992210263</v>
      </c>
      <c r="K132" s="37">
        <f>K128/MAX(1,$C$87-K$5+1)</f>
        <v>1.4737201044431856</v>
      </c>
      <c r="L132" s="37">
        <f>L128/MAX(1,$C$87-L$5+1)</f>
        <v>1.555593443578918</v>
      </c>
      <c r="M132" s="37">
        <f>M128/MAX(1,$C$87-M$5+1)</f>
        <v>1.647098940260031</v>
      </c>
      <c r="N132" s="37">
        <f>N128/MAX(1,$C$87-N$5+1)</f>
        <v>1.7500426240262827</v>
      </c>
      <c r="O132" s="37">
        <f>O128/MAX(1,$C$87-O$5+1)</f>
        <v>1.8667121322947016</v>
      </c>
      <c r="P132" s="37">
        <f>P128/MAX(1,$C$87-P$5+1)</f>
        <v>2.0000487131728946</v>
      </c>
      <c r="Q132" s="37">
        <f>Q128/MAX(1,$C$87-Q$5+1)</f>
        <v>2.153898614186194</v>
      </c>
      <c r="R132" s="37">
        <f>R128/MAX(1,$C$87-R$5+1)</f>
        <v>2.333390165368377</v>
      </c>
      <c r="S132" s="37">
        <f>S128/MAX(1,$C$87-S$5+1)</f>
        <v>2.5455165440382292</v>
      </c>
      <c r="T132" s="37">
        <f>T128/MAX(1,$C$87-T$5+1)</f>
        <v>2.8000681984420526</v>
      </c>
      <c r="U132" s="37">
        <f>U128/MAX(1,$C$87-U$5+1)</f>
        <v>3.111186887157836</v>
      </c>
      <c r="V132" s="37">
        <f>V128/MAX(1,$C$87-V$5+1)</f>
        <v>3.5000852480525655</v>
      </c>
      <c r="W132" s="37">
        <f>W128/MAX(1,$C$87-W$5+1)</f>
        <v>4.000097426345789</v>
      </c>
      <c r="X132" s="37">
        <f>X128/MAX(1,$C$87-X$5+1)</f>
        <v>4.666780330736754</v>
      </c>
      <c r="Y132" s="37">
        <f>Y128/MAX(1,$C$87-Y$5+1)</f>
        <v>5.600136396884105</v>
      </c>
      <c r="Z132" s="37">
        <f>Z128/MAX(1,$C$87-Z$5+1)</f>
        <v>7.000170496105131</v>
      </c>
      <c r="AA132" s="37">
        <f>AA128/MAX(1,$C$87-AA$5+1)</f>
        <v>9.333560661473507</v>
      </c>
      <c r="AB132" s="37">
        <f>AB128/MAX(1,$C$87-AB$5+1)</f>
        <v>14.000340992210262</v>
      </c>
      <c r="AC132" s="37">
        <f>AC128/MAX(1,$C$87-AC$5+1)</f>
        <v>28.000681984420524</v>
      </c>
    </row>
    <row r="133" spans="1:29" x14ac:dyDescent="0.25">
      <c r="A133" s="33" t="s">
        <v>204</v>
      </c>
      <c r="B133" s="26" t="s">
        <v>86</v>
      </c>
      <c r="C133" s="57">
        <f>SUM(E133:AC133)</f>
        <v>672.0163676260926</v>
      </c>
      <c r="E133" s="37">
        <f>E132</f>
        <v>0</v>
      </c>
      <c r="F133" s="37">
        <f>E133+F132</f>
        <v>1.1666950826841884</v>
      </c>
      <c r="G133" s="37">
        <f>F133+G132</f>
        <v>2.384116038528559</v>
      </c>
      <c r="H133" s="37">
        <f>G133+H132</f>
        <v>3.656874310547674</v>
      </c>
      <c r="I133" s="37">
        <f>H133+I132</f>
        <v>4.990240119329604</v>
      </c>
      <c r="J133" s="37">
        <f>I133+J132</f>
        <v>6.39027421855063</v>
      </c>
      <c r="K133" s="37">
        <f>J133+K132</f>
        <v>7.863994322993816</v>
      </c>
      <c r="L133" s="37">
        <f>K133+L132</f>
        <v>9.419587766572734</v>
      </c>
      <c r="M133" s="37">
        <f>L133+M132</f>
        <v>11.066686706832765</v>
      </c>
      <c r="N133" s="37">
        <f>M133+N132</f>
        <v>12.816729330859047</v>
      </c>
      <c r="O133" s="37">
        <f>N133+O132</f>
        <v>14.683441463153748</v>
      </c>
      <c r="P133" s="37">
        <f>O133+P132</f>
        <v>16.683490176326643</v>
      </c>
      <c r="Q133" s="37">
        <f>P133+Q132</f>
        <v>18.837388790512836</v>
      </c>
      <c r="R133" s="37">
        <f>Q133+R132</f>
        <v>21.170778955881215</v>
      </c>
      <c r="S133" s="37">
        <f>R133+S132</f>
        <v>23.716295499919443</v>
      </c>
      <c r="T133" s="37">
        <f>S133+T132</f>
        <v>26.516363698361495</v>
      </c>
      <c r="U133" s="37">
        <f>T133+U132</f>
        <v>29.62755058551933</v>
      </c>
      <c r="V133" s="37">
        <f>U133+V132</f>
        <v>33.127635833571894</v>
      </c>
      <c r="W133" s="37">
        <f>V133+W132</f>
        <v>37.12773325991768</v>
      </c>
      <c r="X133" s="37">
        <f>W133+X132</f>
        <v>41.79451359065444</v>
      </c>
      <c r="Y133" s="37">
        <f>X133+Y132</f>
        <v>47.39464998753854</v>
      </c>
      <c r="Z133" s="37">
        <f>Y133+Z132</f>
        <v>54.39482048364367</v>
      </c>
      <c r="AA133" s="37">
        <f>Z133+AA132</f>
        <v>63.728381145117176</v>
      </c>
      <c r="AB133" s="37">
        <f>AA133+AB132</f>
        <v>77.72872213732744</v>
      </c>
      <c r="AC133" s="37">
        <f>AB133+AC132</f>
        <v>105.72940412174796</v>
      </c>
    </row>
    <row r="134" spans="1:29" x14ac:dyDescent="0.25">
      <c r="A134" s="61" t="s">
        <v>201</v>
      </c>
      <c r="B134" s="62" t="s">
        <v>86</v>
      </c>
      <c r="C134" s="63">
        <f>SUM(E134:AC134)</f>
        <v>5537.780819245126</v>
      </c>
      <c r="D134" s="64"/>
      <c r="E134" s="63">
        <f>E131+E133</f>
        <v>194.63057806476132</v>
      </c>
      <c r="F134" s="63">
        <f>F131+F133</f>
        <v>195.7972731474455</v>
      </c>
      <c r="G134" s="63">
        <f>G131+G133</f>
        <v>197.01469410328988</v>
      </c>
      <c r="H134" s="63">
        <f>H131+H133</f>
        <v>198.287452375309</v>
      </c>
      <c r="I134" s="63">
        <f>I131+I133</f>
        <v>199.62081818409092</v>
      </c>
      <c r="J134" s="63">
        <f>J131+J133</f>
        <v>201.02085228331197</v>
      </c>
      <c r="K134" s="63">
        <f>K131+K133</f>
        <v>202.49457238775514</v>
      </c>
      <c r="L134" s="63">
        <f>L131+L133</f>
        <v>204.05016583133406</v>
      </c>
      <c r="M134" s="63">
        <f>M131+M133</f>
        <v>205.6972647715941</v>
      </c>
      <c r="N134" s="63">
        <f>N131+N133</f>
        <v>207.44730739562038</v>
      </c>
      <c r="O134" s="63">
        <f>O131+O133</f>
        <v>209.31401952791506</v>
      </c>
      <c r="P134" s="63">
        <f>P131+P133</f>
        <v>211.31406824108797</v>
      </c>
      <c r="Q134" s="63">
        <f>Q131+Q133</f>
        <v>213.46796685527417</v>
      </c>
      <c r="R134" s="63">
        <f>R131+R133</f>
        <v>215.80135702064254</v>
      </c>
      <c r="S134" s="63">
        <f>S131+S133</f>
        <v>218.34687356468078</v>
      </c>
      <c r="T134" s="63">
        <f>T131+T133</f>
        <v>221.1469417631228</v>
      </c>
      <c r="U134" s="63">
        <f>U131+U133</f>
        <v>224.25812865028064</v>
      </c>
      <c r="V134" s="63">
        <f>V131+V133</f>
        <v>227.75821389833322</v>
      </c>
      <c r="W134" s="63">
        <f>W131+W133</f>
        <v>231.758311324679</v>
      </c>
      <c r="X134" s="63">
        <f>X131+X133</f>
        <v>236.42509165541577</v>
      </c>
      <c r="Y134" s="63">
        <f>Y131+Y133</f>
        <v>242.02522805229987</v>
      </c>
      <c r="Z134" s="63">
        <f>Z131+Z133</f>
        <v>249.025398548405</v>
      </c>
      <c r="AA134" s="63">
        <f>AA131+AA133</f>
        <v>258.3589592098785</v>
      </c>
      <c r="AB134" s="63">
        <f>AB131+AB133</f>
        <v>272.3593002020888</v>
      </c>
      <c r="AC134" s="63">
        <f>AC131+AC133</f>
        <v>300.3599821865093</v>
      </c>
    </row>
    <row r="136" ht="20" customHeight="1" spans="1:29" x14ac:dyDescent="0.25">
      <c r="A136" s="21" t="s">
        <v>94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x14ac:dyDescent="0.25">
      <c r="A137" s="33" t="s">
        <v>205</v>
      </c>
      <c r="B137" s="26" t="s">
        <v>86</v>
      </c>
      <c r="E137" s="37">
        <f>$C$85</f>
        <v>3784.483462370358</v>
      </c>
      <c r="F137" s="37">
        <f>E140</f>
        <v>3532.184564879001</v>
      </c>
      <c r="G137" s="37">
        <f>F140</f>
        <v>3279.8856673876435</v>
      </c>
      <c r="H137" s="37">
        <f>G140</f>
        <v>3027.586769896286</v>
      </c>
      <c r="I137" s="37">
        <f>H140</f>
        <v>2775.2878724049287</v>
      </c>
      <c r="J137" s="37">
        <f>I140</f>
        <v>2522.9889749135714</v>
      </c>
      <c r="K137" s="37">
        <f>J140</f>
        <v>2270.690077422214</v>
      </c>
      <c r="L137" s="37">
        <f>K140</f>
        <v>2018.3911799308569</v>
      </c>
      <c r="M137" s="37">
        <f>L140</f>
        <v>1766.0922824394997</v>
      </c>
      <c r="N137" s="37">
        <f>M140</f>
        <v>1513.7933849481426</v>
      </c>
      <c r="O137" s="37">
        <f>N140</f>
        <v>1261.4944874567855</v>
      </c>
      <c r="P137" s="37">
        <f>O140</f>
        <v>1009.1955899654282</v>
      </c>
      <c r="Q137" s="37">
        <f>P140</f>
        <v>756.896692474071</v>
      </c>
      <c r="R137" s="37">
        <f>Q140</f>
        <v>504.5977949827137</v>
      </c>
      <c r="S137" s="37">
        <f>R140</f>
        <v>252.29889749135648</v>
      </c>
      <c r="T137" s="37">
        <f>S140</f>
        <v>0</v>
      </c>
      <c r="U137" s="37">
        <f>T140</f>
        <v>0</v>
      </c>
      <c r="V137" s="37">
        <f>U140</f>
        <v>0</v>
      </c>
      <c r="W137" s="37">
        <f>V140</f>
        <v>0</v>
      </c>
      <c r="X137" s="37">
        <f>W140</f>
        <v>0</v>
      </c>
      <c r="Y137" s="37">
        <f>X140</f>
        <v>0</v>
      </c>
      <c r="Z137" s="37">
        <f>Y140</f>
        <v>0</v>
      </c>
      <c r="AA137" s="37">
        <f>Z140</f>
        <v>0</v>
      </c>
      <c r="AB137" s="37">
        <f>AA140</f>
        <v>0</v>
      </c>
      <c r="AC137" s="37">
        <f>AB140</f>
        <v>0</v>
      </c>
    </row>
    <row r="138" spans="1:29" x14ac:dyDescent="0.25">
      <c r="A138" s="33" t="s">
        <v>206</v>
      </c>
      <c r="B138" s="26" t="s">
        <v>86</v>
      </c>
      <c r="C138" s="57">
        <f>SUM(E138:AC138)</f>
        <v>2724.8280929066573</v>
      </c>
      <c r="E138" s="37">
        <f>E137*$C$63</f>
        <v>340.6035116133322</v>
      </c>
      <c r="F138" s="37">
        <f>F137*$C$63</f>
        <v>317.89661083911005</v>
      </c>
      <c r="G138" s="37">
        <f>G137*$C$63</f>
        <v>295.1897100648879</v>
      </c>
      <c r="H138" s="37">
        <f>H137*$C$63</f>
        <v>272.4828092906657</v>
      </c>
      <c r="I138" s="37">
        <f>I137*$C$63</f>
        <v>249.77590851644356</v>
      </c>
      <c r="J138" s="37">
        <f>J137*$C$63</f>
        <v>227.06900774222143</v>
      </c>
      <c r="K138" s="37">
        <f>K137*$C$63</f>
        <v>204.36210696799927</v>
      </c>
      <c r="L138" s="37">
        <f>L137*$C$63</f>
        <v>181.6552061937771</v>
      </c>
      <c r="M138" s="37">
        <f>M137*$C$63</f>
        <v>158.94830541955497</v>
      </c>
      <c r="N138" s="37">
        <f>N137*$C$63</f>
        <v>136.24140464533284</v>
      </c>
      <c r="O138" s="37">
        <f>O137*$C$63</f>
        <v>113.53450387111069</v>
      </c>
      <c r="P138" s="37">
        <f>P137*$C$63</f>
        <v>90.82760309688854</v>
      </c>
      <c r="Q138" s="37">
        <f>Q137*$C$63</f>
        <v>68.12070232266639</v>
      </c>
      <c r="R138" s="37">
        <f>R137*$C$63</f>
        <v>45.41380154844423</v>
      </c>
      <c r="S138" s="37">
        <f>S137*$C$63</f>
        <v>22.70690077422208</v>
      </c>
      <c r="T138" s="37">
        <f>T137*$C$63</f>
        <v>0</v>
      </c>
      <c r="U138" s="37">
        <f>U137*$C$63</f>
        <v>0</v>
      </c>
      <c r="V138" s="37">
        <f>V137*$C$63</f>
        <v>0</v>
      </c>
      <c r="W138" s="37">
        <f>W137*$C$63</f>
        <v>0</v>
      </c>
      <c r="X138" s="37">
        <f>X137*$C$63</f>
        <v>0</v>
      </c>
      <c r="Y138" s="37">
        <f>Y137*$C$63</f>
        <v>0</v>
      </c>
      <c r="Z138" s="37">
        <f>Z137*$C$63</f>
        <v>0</v>
      </c>
      <c r="AA138" s="37">
        <f>AA137*$C$63</f>
        <v>0</v>
      </c>
      <c r="AB138" s="37">
        <f>AB137*$C$63</f>
        <v>0</v>
      </c>
      <c r="AC138" s="37">
        <f>AC137*$C$63</f>
        <v>0</v>
      </c>
    </row>
    <row r="139" spans="1:29" x14ac:dyDescent="0.25">
      <c r="A139" s="33" t="s">
        <v>207</v>
      </c>
      <c r="B139" s="26" t="s">
        <v>86</v>
      </c>
      <c r="C139" s="57">
        <f>SUM(E139:AC139)</f>
        <v>3784.483462370358</v>
      </c>
      <c r="E139" s="37">
        <f>IF(AND(E$5&lt;=$C$88,E137&gt;1E-9),IF($C$65="annuity",MIN(E137,$C$89-E138),MIN(E137,$C$90)),0)</f>
        <v>252.29889749135722</v>
      </c>
      <c r="F139" s="37">
        <f>IF(AND(F$5&lt;=$C$88,F137&gt;1E-9),IF($C$65="annuity",MIN(F137,$C$89-F138),MIN(F137,$C$90)),0)</f>
        <v>252.29889749135722</v>
      </c>
      <c r="G139" s="37">
        <f>IF(AND(G$5&lt;=$C$88,G137&gt;1E-9),IF($C$65="annuity",MIN(G137,$C$89-G138),MIN(G137,$C$90)),0)</f>
        <v>252.29889749135722</v>
      </c>
      <c r="H139" s="37">
        <f>IF(AND(H$5&lt;=$C$88,H137&gt;1E-9),IF($C$65="annuity",MIN(H137,$C$89-H138),MIN(H137,$C$90)),0)</f>
        <v>252.29889749135722</v>
      </c>
      <c r="I139" s="37">
        <f>IF(AND(I$5&lt;=$C$88,I137&gt;1E-9),IF($C$65="annuity",MIN(I137,$C$89-I138),MIN(I137,$C$90)),0)</f>
        <v>252.29889749135722</v>
      </c>
      <c r="J139" s="37">
        <f>IF(AND(J$5&lt;=$C$88,J137&gt;1E-9),IF($C$65="annuity",MIN(J137,$C$89-J138),MIN(J137,$C$90)),0)</f>
        <v>252.29889749135722</v>
      </c>
      <c r="K139" s="37">
        <f>IF(AND(K$5&lt;=$C$88,K137&gt;1E-9),IF($C$65="annuity",MIN(K137,$C$89-K138),MIN(K137,$C$90)),0)</f>
        <v>252.29889749135722</v>
      </c>
      <c r="L139" s="37">
        <f>IF(AND(L$5&lt;=$C$88,L137&gt;1E-9),IF($C$65="annuity",MIN(L137,$C$89-L138),MIN(L137,$C$90)),0)</f>
        <v>252.29889749135722</v>
      </c>
      <c r="M139" s="37">
        <f>IF(AND(M$5&lt;=$C$88,M137&gt;1E-9),IF($C$65="annuity",MIN(M137,$C$89-M138),MIN(M137,$C$90)),0)</f>
        <v>252.29889749135722</v>
      </c>
      <c r="N139" s="37">
        <f>IF(AND(N$5&lt;=$C$88,N137&gt;1E-9),IF($C$65="annuity",MIN(N137,$C$89-N138),MIN(N137,$C$90)),0)</f>
        <v>252.29889749135722</v>
      </c>
      <c r="O139" s="37">
        <f>IF(AND(O$5&lt;=$C$88,O137&gt;1E-9),IF($C$65="annuity",MIN(O137,$C$89-O138),MIN(O137,$C$90)),0)</f>
        <v>252.29889749135722</v>
      </c>
      <c r="P139" s="37">
        <f>IF(AND(P$5&lt;=$C$88,P137&gt;1E-9),IF($C$65="annuity",MIN(P137,$C$89-P138),MIN(P137,$C$90)),0)</f>
        <v>252.29889749135722</v>
      </c>
      <c r="Q139" s="37">
        <f>IF(AND(Q$5&lt;=$C$88,Q137&gt;1E-9),IF($C$65="annuity",MIN(Q137,$C$89-Q138),MIN(Q137,$C$90)),0)</f>
        <v>252.29889749135722</v>
      </c>
      <c r="R139" s="37">
        <f>IF(AND(R$5&lt;=$C$88,R137&gt;1E-9),IF($C$65="annuity",MIN(R137,$C$89-R138),MIN(R137,$C$90)),0)</f>
        <v>252.29889749135722</v>
      </c>
      <c r="S139" s="37">
        <f>IF(AND(S$5&lt;=$C$88,S137&gt;1E-9),IF($C$65="annuity",MIN(S137,$C$89-S138),MIN(S137,$C$90)),0)</f>
        <v>252.29889749135648</v>
      </c>
      <c r="T139" s="37">
        <f>IF(AND(T$5&lt;=$C$88,T137&gt;1E-9),IF($C$65="annuity",MIN(T137,$C$89-T138),MIN(T137,$C$90)),0)</f>
        <v>0</v>
      </c>
      <c r="U139" s="37">
        <f>IF(AND(U$5&lt;=$C$88,U137&gt;1E-9),IF($C$65="annuity",MIN(U137,$C$89-U138),MIN(U137,$C$90)),0)</f>
        <v>0</v>
      </c>
      <c r="V139" s="37">
        <f>IF(AND(V$5&lt;=$C$88,V137&gt;1E-9),IF($C$65="annuity",MIN(V137,$C$89-V138),MIN(V137,$C$90)),0)</f>
        <v>0</v>
      </c>
      <c r="W139" s="37">
        <f>IF(AND(W$5&lt;=$C$88,W137&gt;1E-9),IF($C$65="annuity",MIN(W137,$C$89-W138),MIN(W137,$C$90)),0)</f>
        <v>0</v>
      </c>
      <c r="X139" s="37">
        <f>IF(AND(X$5&lt;=$C$88,X137&gt;1E-9),IF($C$65="annuity",MIN(X137,$C$89-X138),MIN(X137,$C$90)),0)</f>
        <v>0</v>
      </c>
      <c r="Y139" s="37">
        <f>IF(AND(Y$5&lt;=$C$88,Y137&gt;1E-9),IF($C$65="annuity",MIN(Y137,$C$89-Y138),MIN(Y137,$C$90)),0)</f>
        <v>0</v>
      </c>
      <c r="Z139" s="37">
        <f>IF(AND(Z$5&lt;=$C$88,Z137&gt;1E-9),IF($C$65="annuity",MIN(Z137,$C$89-Z138),MIN(Z137,$C$90)),0)</f>
        <v>0</v>
      </c>
      <c r="AA139" s="37">
        <f>IF(AND(AA$5&lt;=$C$88,AA137&gt;1E-9),IF($C$65="annuity",MIN(AA137,$C$89-AA138),MIN(AA137,$C$90)),0)</f>
        <v>0</v>
      </c>
      <c r="AB139" s="37">
        <f>IF(AND(AB$5&lt;=$C$88,AB137&gt;1E-9),IF($C$65="annuity",MIN(AB137,$C$89-AB138),MIN(AB137,$C$90)),0)</f>
        <v>0</v>
      </c>
      <c r="AC139" s="37">
        <f>IF(AND(AC$5&lt;=$C$88,AC137&gt;1E-9),IF($C$65="annuity",MIN(AC137,$C$89-AC138),MIN(AC137,$C$90)),0)</f>
        <v>0</v>
      </c>
    </row>
    <row r="140" spans="1:29" x14ac:dyDescent="0.25">
      <c r="A140" s="33" t="s">
        <v>208</v>
      </c>
      <c r="B140" s="26" t="s">
        <v>86</v>
      </c>
      <c r="E140" s="37">
        <f>E137-E139</f>
        <v>3532.184564879001</v>
      </c>
      <c r="F140" s="37">
        <f>F137-F139</f>
        <v>3279.8856673876435</v>
      </c>
      <c r="G140" s="37">
        <f>G137-G139</f>
        <v>3027.586769896286</v>
      </c>
      <c r="H140" s="37">
        <f>H137-H139</f>
        <v>2775.2878724049287</v>
      </c>
      <c r="I140" s="37">
        <f>I137-I139</f>
        <v>2522.9889749135714</v>
      </c>
      <c r="J140" s="37">
        <f>J137-J139</f>
        <v>2270.690077422214</v>
      </c>
      <c r="K140" s="37">
        <f>K137-K139</f>
        <v>2018.3911799308569</v>
      </c>
      <c r="L140" s="37">
        <f>L137-L139</f>
        <v>1766.0922824394997</v>
      </c>
      <c r="M140" s="37">
        <f>M137-M139</f>
        <v>1513.7933849481426</v>
      </c>
      <c r="N140" s="37">
        <f>N137-N139</f>
        <v>1261.4944874567855</v>
      </c>
      <c r="O140" s="37">
        <f>O137-O139</f>
        <v>1009.1955899654282</v>
      </c>
      <c r="P140" s="37">
        <f>P137-P139</f>
        <v>756.896692474071</v>
      </c>
      <c r="Q140" s="37">
        <f>Q137-Q139</f>
        <v>504.5977949827137</v>
      </c>
      <c r="R140" s="37">
        <f>R137-R139</f>
        <v>252.29889749135648</v>
      </c>
      <c r="S140" s="37">
        <f>S137-S139</f>
        <v>0</v>
      </c>
      <c r="T140" s="37">
        <f>T137-T139</f>
        <v>0</v>
      </c>
      <c r="U140" s="37">
        <f>U137-U139</f>
        <v>0</v>
      </c>
      <c r="V140" s="37">
        <f>V137-V139</f>
        <v>0</v>
      </c>
      <c r="W140" s="37">
        <f>W137-W139</f>
        <v>0</v>
      </c>
      <c r="X140" s="37">
        <f>X137-X139</f>
        <v>0</v>
      </c>
      <c r="Y140" s="37">
        <f>Y137-Y139</f>
        <v>0</v>
      </c>
      <c r="Z140" s="37">
        <f>Z137-Z139</f>
        <v>0</v>
      </c>
      <c r="AA140" s="37">
        <f>AA137-AA139</f>
        <v>0</v>
      </c>
      <c r="AB140" s="37">
        <f>AB137-AB139</f>
        <v>0</v>
      </c>
      <c r="AC140" s="37">
        <f>AC137-AC139</f>
        <v>0</v>
      </c>
    </row>
    <row r="141" spans="1:29" x14ac:dyDescent="0.25">
      <c r="A141" s="61" t="s">
        <v>209</v>
      </c>
      <c r="B141" s="62" t="s">
        <v>86</v>
      </c>
      <c r="C141" s="63">
        <f>SUM(E141:AC141)</f>
        <v>6509.311555277017</v>
      </c>
      <c r="D141" s="64"/>
      <c r="E141" s="63">
        <f>E138+E139</f>
        <v>592.9024091046895</v>
      </c>
      <c r="F141" s="63">
        <f>F138+F139</f>
        <v>570.1955083304673</v>
      </c>
      <c r="G141" s="63">
        <f>G138+G139</f>
        <v>547.4886075562451</v>
      </c>
      <c r="H141" s="63">
        <f>H138+H139</f>
        <v>524.781706782023</v>
      </c>
      <c r="I141" s="63">
        <f>I138+I139</f>
        <v>502.0748060078008</v>
      </c>
      <c r="J141" s="63">
        <f>J138+J139</f>
        <v>479.36790523357865</v>
      </c>
      <c r="K141" s="63">
        <f>K138+K139</f>
        <v>456.6610044593565</v>
      </c>
      <c r="L141" s="63">
        <f>L138+L139</f>
        <v>433.9541036851343</v>
      </c>
      <c r="M141" s="63">
        <f>M138+M139</f>
        <v>411.24720291091216</v>
      </c>
      <c r="N141" s="63">
        <f>N138+N139</f>
        <v>388.54030213669006</v>
      </c>
      <c r="O141" s="63">
        <f>O138+O139</f>
        <v>365.8334013624679</v>
      </c>
      <c r="P141" s="63">
        <f>P138+P139</f>
        <v>343.1265005882458</v>
      </c>
      <c r="Q141" s="63">
        <f>Q138+Q139</f>
        <v>320.4195998140236</v>
      </c>
      <c r="R141" s="63">
        <f>R138+R139</f>
        <v>297.71269903980146</v>
      </c>
      <c r="S141" s="63">
        <f>S138+S139</f>
        <v>275.00579826557856</v>
      </c>
      <c r="T141" s="63">
        <f>T138+T139</f>
        <v>0</v>
      </c>
      <c r="U141" s="63">
        <f>U138+U139</f>
        <v>0</v>
      </c>
      <c r="V141" s="63">
        <f>V138+V139</f>
        <v>0</v>
      </c>
      <c r="W141" s="63">
        <f>W138+W139</f>
        <v>0</v>
      </c>
      <c r="X141" s="63">
        <f>X138+X139</f>
        <v>0</v>
      </c>
      <c r="Y141" s="63">
        <f>Y138+Y139</f>
        <v>0</v>
      </c>
      <c r="Z141" s="63">
        <f>Z138+Z139</f>
        <v>0</v>
      </c>
      <c r="AA141" s="63">
        <f>AA138+AA139</f>
        <v>0</v>
      </c>
      <c r="AB141" s="63">
        <f>AB138+AB139</f>
        <v>0</v>
      </c>
      <c r="AC141" s="63">
        <f>AC138+AC139</f>
        <v>0</v>
      </c>
    </row>
    <row r="143" ht="20" customHeight="1" spans="1:29" x14ac:dyDescent="0.25">
      <c r="A143" s="21" t="s">
        <v>163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x14ac:dyDescent="0.25">
      <c r="A144" s="33" t="s">
        <v>210</v>
      </c>
      <c r="B144" s="26" t="s">
        <v>86</v>
      </c>
      <c r="E144" s="37">
        <f>$C$84</f>
        <v>5406.4049462433695</v>
      </c>
      <c r="F144" s="37">
        <f>E147</f>
        <v>3243.8429677460217</v>
      </c>
      <c r="G144" s="37">
        <f>F147</f>
        <v>1963.1061898382654</v>
      </c>
      <c r="H144" s="37">
        <f>G147</f>
        <v>1194.6641230936116</v>
      </c>
      <c r="I144" s="37">
        <f>H147</f>
        <v>733.5988830468192</v>
      </c>
      <c r="J144" s="37">
        <f>I147</f>
        <v>456.95973901874385</v>
      </c>
      <c r="K144" s="37">
        <f>J147</f>
        <v>290.97625260189864</v>
      </c>
      <c r="L144" s="37">
        <f>K147</f>
        <v>191.38616075179146</v>
      </c>
      <c r="M144" s="37">
        <f>L147</f>
        <v>131.63210564172718</v>
      </c>
      <c r="N144" s="37">
        <f>M147</f>
        <v>95.77967257568864</v>
      </c>
      <c r="O144" s="37">
        <f>N147</f>
        <v>74.2682127360655</v>
      </c>
      <c r="P144" s="37">
        <f>O147</f>
        <v>61.361336832291606</v>
      </c>
      <c r="Q144" s="37">
        <f>P147</f>
        <v>53.61721129002727</v>
      </c>
      <c r="R144" s="37">
        <f>Q147</f>
        <v>48.97073596466868</v>
      </c>
      <c r="S144" s="37">
        <f>R147</f>
        <v>46.18285076945352</v>
      </c>
      <c r="T144" s="37">
        <f>S147</f>
        <v>44.51011965232443</v>
      </c>
      <c r="U144" s="37">
        <f>T147</f>
        <v>43.50648098204697</v>
      </c>
      <c r="V144" s="37">
        <f>U147</f>
        <v>42.904297779880494</v>
      </c>
      <c r="W144" s="37">
        <f>V147</f>
        <v>42.54298785858061</v>
      </c>
      <c r="X144" s="37">
        <f>W147</f>
        <v>42.32620190580069</v>
      </c>
      <c r="Y144" s="37">
        <f>X147</f>
        <v>42.196130334132725</v>
      </c>
      <c r="Z144" s="37">
        <f>Y147</f>
        <v>42.118087391131944</v>
      </c>
      <c r="AA144" s="37">
        <f>Z147</f>
        <v>42.07126162533147</v>
      </c>
      <c r="AB144" s="37">
        <f>AA147</f>
        <v>42.0431661658512</v>
      </c>
      <c r="AC144" s="37">
        <f>AB147</f>
        <v>42.02630889016302</v>
      </c>
    </row>
    <row r="145" spans="1:29" x14ac:dyDescent="0.25">
      <c r="A145" s="33" t="s">
        <v>211</v>
      </c>
      <c r="B145" s="26" t="s">
        <v>86</v>
      </c>
      <c r="C145" s="57">
        <f>SUM(E145:AC145)</f>
        <v>672.0163676260926</v>
      </c>
      <c r="E145" s="37">
        <f>E128</f>
        <v>0</v>
      </c>
      <c r="F145" s="37">
        <f>F128</f>
        <v>28.000681984420524</v>
      </c>
      <c r="G145" s="37">
        <f>G128</f>
        <v>28.000681984420524</v>
      </c>
      <c r="H145" s="37">
        <f>H128</f>
        <v>28.000681984420524</v>
      </c>
      <c r="I145" s="37">
        <f>I128</f>
        <v>28.000681984420524</v>
      </c>
      <c r="J145" s="37">
        <f>J128</f>
        <v>28.000681984420524</v>
      </c>
      <c r="K145" s="37">
        <f>K128</f>
        <v>28.000681984420524</v>
      </c>
      <c r="L145" s="37">
        <f>L128</f>
        <v>28.000681984420524</v>
      </c>
      <c r="M145" s="37">
        <f>M128</f>
        <v>28.000681984420524</v>
      </c>
      <c r="N145" s="37">
        <f>N128</f>
        <v>28.000681984420524</v>
      </c>
      <c r="O145" s="37">
        <f>O128</f>
        <v>28.000681984420524</v>
      </c>
      <c r="P145" s="37">
        <f>P128</f>
        <v>28.000681984420524</v>
      </c>
      <c r="Q145" s="37">
        <f>Q128</f>
        <v>28.000681984420524</v>
      </c>
      <c r="R145" s="37">
        <f>R128</f>
        <v>28.000681984420524</v>
      </c>
      <c r="S145" s="37">
        <f>S128</f>
        <v>28.000681984420524</v>
      </c>
      <c r="T145" s="37">
        <f>T128</f>
        <v>28.000681984420524</v>
      </c>
      <c r="U145" s="37">
        <f>U128</f>
        <v>28.000681984420524</v>
      </c>
      <c r="V145" s="37">
        <f>V128</f>
        <v>28.000681984420524</v>
      </c>
      <c r="W145" s="37">
        <f>W128</f>
        <v>28.000681984420524</v>
      </c>
      <c r="X145" s="37">
        <f>X128</f>
        <v>28.000681984420524</v>
      </c>
      <c r="Y145" s="37">
        <f>Y128</f>
        <v>28.000681984420524</v>
      </c>
      <c r="Z145" s="37">
        <f>Z128</f>
        <v>28.000681984420524</v>
      </c>
      <c r="AA145" s="37">
        <f>AA128</f>
        <v>28.000681984420524</v>
      </c>
      <c r="AB145" s="37">
        <f>AB128</f>
        <v>28.000681984420524</v>
      </c>
      <c r="AC145" s="37">
        <f>AC128</f>
        <v>28.000681984420524</v>
      </c>
    </row>
    <row r="146" spans="1:29" x14ac:dyDescent="0.25">
      <c r="A146" s="61" t="s">
        <v>163</v>
      </c>
      <c r="B146" s="62" t="s">
        <v>86</v>
      </c>
      <c r="C146" s="63">
        <f>SUM(E146:AC146)</f>
        <v>6036.40511934471</v>
      </c>
      <c r="D146" s="64"/>
      <c r="E146" s="63">
        <f>IF($C$70="wdv",(E144+E145)*$C$71,E134)</f>
        <v>2162.561978497348</v>
      </c>
      <c r="F146" s="63">
        <f>IF($C$70="wdv",(F144+F145)*$C$71,F134)</f>
        <v>1308.737459892177</v>
      </c>
      <c r="G146" s="63">
        <f>IF($C$70="wdv",(G144+G145)*$C$71,G134)</f>
        <v>796.4427487290744</v>
      </c>
      <c r="H146" s="63">
        <f>IF($C$70="wdv",(H144+H145)*$C$71,H134)</f>
        <v>489.06592203121284</v>
      </c>
      <c r="I146" s="63">
        <f>IF($C$70="wdv",(I144+I145)*$C$71,I134)</f>
        <v>304.6398260124959</v>
      </c>
      <c r="J146" s="63">
        <f>IF($C$70="wdv",(J144+J145)*$C$71,J134)</f>
        <v>193.98416840126575</v>
      </c>
      <c r="K146" s="63">
        <f>IF($C$70="wdv",(K144+K145)*$C$71,K134)</f>
        <v>127.59077383452767</v>
      </c>
      <c r="L146" s="63">
        <f>IF($C$70="wdv",(L144+L145)*$C$71,L134)</f>
        <v>87.7547370944848</v>
      </c>
      <c r="M146" s="63">
        <f>IF($C$70="wdv",(M144+M145)*$C$71,M134)</f>
        <v>63.85311505045909</v>
      </c>
      <c r="N146" s="63">
        <f>IF($C$70="wdv",(N144+N145)*$C$71,N134)</f>
        <v>49.51214182404367</v>
      </c>
      <c r="O146" s="63">
        <f>IF($C$70="wdv",(O144+O145)*$C$71,O134)</f>
        <v>40.90755788819441</v>
      </c>
      <c r="P146" s="63">
        <f>IF($C$70="wdv",(P144+P145)*$C$71,P134)</f>
        <v>35.74480752668485</v>
      </c>
      <c r="Q146" s="63">
        <f>IF($C$70="wdv",(Q144+Q145)*$C$71,Q134)</f>
        <v>32.64715730977912</v>
      </c>
      <c r="R146" s="63">
        <f>IF($C$70="wdv",(R144+R145)*$C$71,R134)</f>
        <v>30.78856717963568</v>
      </c>
      <c r="S146" s="63">
        <f>IF($C$70="wdv",(S144+S145)*$C$71,S134)</f>
        <v>29.67341310154962</v>
      </c>
      <c r="T146" s="63">
        <f>IF($C$70="wdv",(T144+T145)*$C$71,T134)</f>
        <v>29.004320654697985</v>
      </c>
      <c r="U146" s="63">
        <f>IF($C$70="wdv",(U144+U145)*$C$71,U134)</f>
        <v>28.602865186586996</v>
      </c>
      <c r="V146" s="63">
        <f>IF($C$70="wdv",(V144+V145)*$C$71,V134)</f>
        <v>28.36199190572041</v>
      </c>
      <c r="W146" s="63">
        <f>IF($C$70="wdv",(W144+W145)*$C$71,W134)</f>
        <v>28.217467937200457</v>
      </c>
      <c r="X146" s="63">
        <f>IF($C$70="wdv",(X144+X145)*$C$71,X134)</f>
        <v>28.130753556088486</v>
      </c>
      <c r="Y146" s="63">
        <f>IF($C$70="wdv",(Y144+Y145)*$C$71,Y134)</f>
        <v>28.078724927421298</v>
      </c>
      <c r="Z146" s="63">
        <f>IF($C$70="wdv",(Z144+Z145)*$C$71,Z134)</f>
        <v>28.047507750220987</v>
      </c>
      <c r="AA146" s="63">
        <f>IF($C$70="wdv",(AA144+AA145)*$C$71,AA134)</f>
        <v>28.0287774439008</v>
      </c>
      <c r="AB146" s="63">
        <f>IF($C$70="wdv",(AB144+AB145)*$C$71,AB134)</f>
        <v>28.017539260108688</v>
      </c>
      <c r="AC146" s="63">
        <f>IF($C$70="wdv",(AC144+AC145)*$C$71,AC134)</f>
        <v>28.01079634983342</v>
      </c>
    </row>
    <row r="147" spans="1:29" x14ac:dyDescent="0.25">
      <c r="A147" s="33" t="s">
        <v>212</v>
      </c>
      <c r="B147" s="26" t="s">
        <v>86</v>
      </c>
      <c r="E147" s="37">
        <f>E144+E145-IF($C$70="wdv",E146,0)</f>
        <v>3243.8429677460217</v>
      </c>
      <c r="F147" s="37">
        <f>F144+F145-IF($C$70="wdv",F146,0)</f>
        <v>1963.1061898382654</v>
      </c>
      <c r="G147" s="37">
        <f>G144+G145-IF($C$70="wdv",G146,0)</f>
        <v>1194.6641230936116</v>
      </c>
      <c r="H147" s="37">
        <f>H144+H145-IF($C$70="wdv",H146,0)</f>
        <v>733.5988830468192</v>
      </c>
      <c r="I147" s="37">
        <f>I144+I145-IF($C$70="wdv",I146,0)</f>
        <v>456.95973901874385</v>
      </c>
      <c r="J147" s="37">
        <f>J144+J145-IF($C$70="wdv",J146,0)</f>
        <v>290.97625260189864</v>
      </c>
      <c r="K147" s="37">
        <f>K144+K145-IF($C$70="wdv",K146,0)</f>
        <v>191.38616075179146</v>
      </c>
      <c r="L147" s="37">
        <f>L144+L145-IF($C$70="wdv",L146,0)</f>
        <v>131.63210564172718</v>
      </c>
      <c r="M147" s="37">
        <f>M144+M145-IF($C$70="wdv",M146,0)</f>
        <v>95.77967257568864</v>
      </c>
      <c r="N147" s="37">
        <f>N144+N145-IF($C$70="wdv",N146,0)</f>
        <v>74.2682127360655</v>
      </c>
      <c r="O147" s="37">
        <f>O144+O145-IF($C$70="wdv",O146,0)</f>
        <v>61.361336832291606</v>
      </c>
      <c r="P147" s="37">
        <f>P144+P145-IF($C$70="wdv",P146,0)</f>
        <v>53.61721129002727</v>
      </c>
      <c r="Q147" s="37">
        <f>Q144+Q145-IF($C$70="wdv",Q146,0)</f>
        <v>48.97073596466868</v>
      </c>
      <c r="R147" s="37">
        <f>R144+R145-IF($C$70="wdv",R146,0)</f>
        <v>46.18285076945352</v>
      </c>
      <c r="S147" s="37">
        <f>S144+S145-IF($C$70="wdv",S146,0)</f>
        <v>44.51011965232443</v>
      </c>
      <c r="T147" s="37">
        <f>T144+T145-IF($C$70="wdv",T146,0)</f>
        <v>43.50648098204697</v>
      </c>
      <c r="U147" s="37">
        <f>U144+U145-IF($C$70="wdv",U146,0)</f>
        <v>42.904297779880494</v>
      </c>
      <c r="V147" s="37">
        <f>V144+V145-IF($C$70="wdv",V146,0)</f>
        <v>42.54298785858061</v>
      </c>
      <c r="W147" s="37">
        <f>W144+W145-IF($C$70="wdv",W146,0)</f>
        <v>42.32620190580069</v>
      </c>
      <c r="X147" s="37">
        <f>X144+X145-IF($C$70="wdv",X146,0)</f>
        <v>42.196130334132725</v>
      </c>
      <c r="Y147" s="37">
        <f>Y144+Y145-IF($C$70="wdv",Y146,0)</f>
        <v>42.118087391131944</v>
      </c>
      <c r="Z147" s="37">
        <f>Z144+Z145-IF($C$70="wdv",Z146,0)</f>
        <v>42.07126162533147</v>
      </c>
      <c r="AA147" s="37">
        <f>AA144+AA145-IF($C$70="wdv",AA146,0)</f>
        <v>42.0431661658512</v>
      </c>
      <c r="AB147" s="37">
        <f>AB144+AB145-IF($C$70="wdv",AB146,0)</f>
        <v>42.02630889016302</v>
      </c>
      <c r="AC147" s="37">
        <f>AC144+AC145-IF($C$70="wdv",AC146,0)</f>
        <v>42.01619452475013</v>
      </c>
    </row>
    <row r="149" ht="20" customHeight="1" spans="1:29" x14ac:dyDescent="0.25">
      <c r="A149" s="21" t="s">
        <v>213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x14ac:dyDescent="0.25">
      <c r="A150" s="33" t="s">
        <v>198</v>
      </c>
      <c r="B150" s="26" t="s">
        <v>86</v>
      </c>
      <c r="C150" s="57">
        <f>SUM(E150:AC150)</f>
        <v>17482.723614984778</v>
      </c>
      <c r="E150" s="37">
        <f>E124</f>
        <v>770.8407448755245</v>
      </c>
      <c r="F150" s="37">
        <f>F124</f>
        <v>766.4092628446524</v>
      </c>
      <c r="G150" s="37">
        <f>G124</f>
        <v>761.8293258734302</v>
      </c>
      <c r="H150" s="37">
        <f>H124</f>
        <v>757.0935112148404</v>
      </c>
      <c r="I150" s="37">
        <f>I124</f>
        <v>752.1940249845144</v>
      </c>
      <c r="J150" s="37">
        <f>J124</f>
        <v>747.1226836038658</v>
      </c>
      <c r="K150" s="37">
        <f>K124</f>
        <v>741.8708943153781</v>
      </c>
      <c r="L150" s="37">
        <f>L124</f>
        <v>736.4296347236593</v>
      </c>
      <c r="M150" s="37">
        <f>M124</f>
        <v>730.7894313135479</v>
      </c>
      <c r="N150" s="37">
        <f>N124</f>
        <v>724.9403368941242</v>
      </c>
      <c r="O150" s="37">
        <f>O124</f>
        <v>718.8719069149231</v>
      </c>
      <c r="P150" s="37">
        <f>P124</f>
        <v>712.5731745979552</v>
      </c>
      <c r="Q150" s="37">
        <f>Q124</f>
        <v>706.0326248263322</v>
      </c>
      <c r="R150" s="37">
        <f>R124</f>
        <v>699.2381667273216</v>
      </c>
      <c r="S150" s="37">
        <f>S124</f>
        <v>692.177104884554</v>
      </c>
      <c r="T150" s="37">
        <f>T124</f>
        <v>684.8361091108411</v>
      </c>
      <c r="U150" s="37">
        <f>U124</f>
        <v>677.201182709636</v>
      </c>
      <c r="V150" s="37">
        <f>V124</f>
        <v>669.2576291495642</v>
      </c>
      <c r="W150" s="37">
        <f>W124</f>
        <v>660.9900170726819</v>
      </c>
      <c r="X150" s="37">
        <f>X124</f>
        <v>652.3821435531491</v>
      </c>
      <c r="Y150" s="37">
        <f>Y124</f>
        <v>643.4169955188333</v>
      </c>
      <c r="Z150" s="37">
        <f>Z124</f>
        <v>634.0767092439951</v>
      </c>
      <c r="AA150" s="37">
        <f>AA124</f>
        <v>624.342527816608</v>
      </c>
      <c r="AB150" s="37">
        <f>AB124</f>
        <v>614.194756479045</v>
      </c>
      <c r="AC150" s="37">
        <f>AC124</f>
        <v>603.6127157357975</v>
      </c>
    </row>
    <row r="151" spans="1:29" x14ac:dyDescent="0.25">
      <c r="A151" s="33" t="s">
        <v>214</v>
      </c>
      <c r="B151" s="26" t="s">
        <v>86</v>
      </c>
      <c r="C151" s="57">
        <f>SUM(E151:AC151)</f>
        <v>5537.780819245126</v>
      </c>
      <c r="E151" s="37">
        <f>E134</f>
        <v>194.63057806476132</v>
      </c>
      <c r="F151" s="37">
        <f>F134</f>
        <v>195.7972731474455</v>
      </c>
      <c r="G151" s="37">
        <f>G134</f>
        <v>197.01469410328988</v>
      </c>
      <c r="H151" s="37">
        <f>H134</f>
        <v>198.287452375309</v>
      </c>
      <c r="I151" s="37">
        <f>I134</f>
        <v>199.62081818409092</v>
      </c>
      <c r="J151" s="37">
        <f>J134</f>
        <v>201.02085228331197</v>
      </c>
      <c r="K151" s="37">
        <f>K134</f>
        <v>202.49457238775514</v>
      </c>
      <c r="L151" s="37">
        <f>L134</f>
        <v>204.05016583133406</v>
      </c>
      <c r="M151" s="37">
        <f>M134</f>
        <v>205.6972647715941</v>
      </c>
      <c r="N151" s="37">
        <f>N134</f>
        <v>207.44730739562038</v>
      </c>
      <c r="O151" s="37">
        <f>O134</f>
        <v>209.31401952791506</v>
      </c>
      <c r="P151" s="37">
        <f>P134</f>
        <v>211.31406824108797</v>
      </c>
      <c r="Q151" s="37">
        <f>Q134</f>
        <v>213.46796685527417</v>
      </c>
      <c r="R151" s="37">
        <f>R134</f>
        <v>215.80135702064254</v>
      </c>
      <c r="S151" s="37">
        <f>S134</f>
        <v>218.34687356468078</v>
      </c>
      <c r="T151" s="37">
        <f>T134</f>
        <v>221.1469417631228</v>
      </c>
      <c r="U151" s="37">
        <f>U134</f>
        <v>224.25812865028064</v>
      </c>
      <c r="V151" s="37">
        <f>V134</f>
        <v>227.75821389833322</v>
      </c>
      <c r="W151" s="37">
        <f>W134</f>
        <v>231.758311324679</v>
      </c>
      <c r="X151" s="37">
        <f>X134</f>
        <v>236.42509165541577</v>
      </c>
      <c r="Y151" s="37">
        <f>Y134</f>
        <v>242.02522805229987</v>
      </c>
      <c r="Z151" s="37">
        <f>Z134</f>
        <v>249.025398548405</v>
      </c>
      <c r="AA151" s="37">
        <f>AA134</f>
        <v>258.3589592098785</v>
      </c>
      <c r="AB151" s="37">
        <f>AB134</f>
        <v>272.3593002020888</v>
      </c>
      <c r="AC151" s="37">
        <f>AC134</f>
        <v>300.3599821865093</v>
      </c>
    </row>
    <row r="152" spans="1:29" x14ac:dyDescent="0.25">
      <c r="A152" s="33" t="s">
        <v>215</v>
      </c>
      <c r="B152" s="26" t="s">
        <v>86</v>
      </c>
      <c r="C152" s="57">
        <f>SUM(E152:AC152)</f>
        <v>2724.8280929066573</v>
      </c>
      <c r="E152" s="37">
        <f>E138</f>
        <v>340.6035116133322</v>
      </c>
      <c r="F152" s="37">
        <f>F138</f>
        <v>317.89661083911005</v>
      </c>
      <c r="G152" s="37">
        <f>G138</f>
        <v>295.1897100648879</v>
      </c>
      <c r="H152" s="37">
        <f>H138</f>
        <v>272.4828092906657</v>
      </c>
      <c r="I152" s="37">
        <f>I138</f>
        <v>249.77590851644356</v>
      </c>
      <c r="J152" s="37">
        <f>J138</f>
        <v>227.06900774222143</v>
      </c>
      <c r="K152" s="37">
        <f>K138</f>
        <v>204.36210696799927</v>
      </c>
      <c r="L152" s="37">
        <f>L138</f>
        <v>181.6552061937771</v>
      </c>
      <c r="M152" s="37">
        <f>M138</f>
        <v>158.94830541955497</v>
      </c>
      <c r="N152" s="37">
        <f>N138</f>
        <v>136.24140464533284</v>
      </c>
      <c r="O152" s="37">
        <f>O138</f>
        <v>113.53450387111069</v>
      </c>
      <c r="P152" s="37">
        <f>P138</f>
        <v>90.82760309688854</v>
      </c>
      <c r="Q152" s="37">
        <f>Q138</f>
        <v>68.12070232266639</v>
      </c>
      <c r="R152" s="37">
        <f>R138</f>
        <v>45.41380154844423</v>
      </c>
      <c r="S152" s="37">
        <f>S138</f>
        <v>22.70690077422208</v>
      </c>
      <c r="T152" s="37">
        <f>T138</f>
        <v>0</v>
      </c>
      <c r="U152" s="37">
        <f>U138</f>
        <v>0</v>
      </c>
      <c r="V152" s="37">
        <f>V138</f>
        <v>0</v>
      </c>
      <c r="W152" s="37">
        <f>W138</f>
        <v>0</v>
      </c>
      <c r="X152" s="37">
        <f>X138</f>
        <v>0</v>
      </c>
      <c r="Y152" s="37">
        <f>Y138</f>
        <v>0</v>
      </c>
      <c r="Z152" s="37">
        <f>Z138</f>
        <v>0</v>
      </c>
      <c r="AA152" s="37">
        <f>AA138</f>
        <v>0</v>
      </c>
      <c r="AB152" s="37">
        <f>AB138</f>
        <v>0</v>
      </c>
      <c r="AC152" s="37">
        <f>AC138</f>
        <v>0</v>
      </c>
    </row>
    <row r="153" spans="1:29" x14ac:dyDescent="0.25">
      <c r="A153" s="61" t="s">
        <v>216</v>
      </c>
      <c r="B153" s="62" t="s">
        <v>86</v>
      </c>
      <c r="C153" s="63">
        <f>SUM(E153:AC153)</f>
        <v>9220.114702832992</v>
      </c>
      <c r="D153" s="64"/>
      <c r="E153" s="63">
        <f>E150-E151-E152</f>
        <v>235.606655197431</v>
      </c>
      <c r="F153" s="63">
        <f>F150-F151-F152</f>
        <v>252.71537885809687</v>
      </c>
      <c r="G153" s="63">
        <f>G150-G151-G152</f>
        <v>269.6249217052524</v>
      </c>
      <c r="H153" s="63">
        <f>H150-H151-H152</f>
        <v>286.32324954886576</v>
      </c>
      <c r="I153" s="63">
        <f>I150-I151-I152</f>
        <v>302.7972982839799</v>
      </c>
      <c r="J153" s="63">
        <f>J150-J151-J152</f>
        <v>319.03282357833245</v>
      </c>
      <c r="K153" s="63">
        <f>K150-K151-K152</f>
        <v>335.0142149596237</v>
      </c>
      <c r="L153" s="63">
        <f>L150-L151-L152</f>
        <v>350.72426269854816</v>
      </c>
      <c r="M153" s="63">
        <f>M150-M151-M152</f>
        <v>366.14386112239885</v>
      </c>
      <c r="N153" s="63">
        <f>N150-N151-N152</f>
        <v>381.25162485317094</v>
      </c>
      <c r="O153" s="63">
        <f>O150-O151-O152</f>
        <v>396.0233835158973</v>
      </c>
      <c r="P153" s="63">
        <f>P150-P151-P152</f>
        <v>410.43150325997874</v>
      </c>
      <c r="Q153" s="63">
        <f>Q150-Q151-Q152</f>
        <v>424.4439556483916</v>
      </c>
      <c r="R153" s="63">
        <f>R150-R151-R152</f>
        <v>438.0230081582349</v>
      </c>
      <c r="S153" s="63">
        <f>S150-S151-S152</f>
        <v>451.1233305456511</v>
      </c>
      <c r="T153" s="63">
        <f>T150-T151-T152</f>
        <v>463.6891673477183</v>
      </c>
      <c r="U153" s="63">
        <f>U150-U151-U152</f>
        <v>452.94305405935535</v>
      </c>
      <c r="V153" s="63">
        <f>V150-V151-V152</f>
        <v>441.49941525123097</v>
      </c>
      <c r="W153" s="63">
        <f>W150-W151-W152</f>
        <v>429.2317057480029</v>
      </c>
      <c r="X153" s="63">
        <f>X150-X151-X152</f>
        <v>415.9570518977334</v>
      </c>
      <c r="Y153" s="63">
        <f>Y150-Y151-Y152</f>
        <v>401.39176746653345</v>
      </c>
      <c r="Z153" s="63">
        <f>Z150-Z151-Z152</f>
        <v>385.0513106955901</v>
      </c>
      <c r="AA153" s="63">
        <f>AA150-AA151-AA152</f>
        <v>365.98356860672953</v>
      </c>
      <c r="AB153" s="63">
        <f>AB150-AB151-AB152</f>
        <v>341.8354562769563</v>
      </c>
      <c r="AC153" s="63">
        <f>AC150-AC151-AC152</f>
        <v>303.25273354928817</v>
      </c>
    </row>
    <row r="154" spans="1:29" x14ac:dyDescent="0.25">
      <c r="A154" s="33" t="s">
        <v>217</v>
      </c>
      <c r="B154" s="26" t="s">
        <v>86</v>
      </c>
      <c r="E154" s="37">
        <f>E124-E138-E146</f>
        <v>-1732.3247452351557</v>
      </c>
      <c r="F154" s="37">
        <f>F124-F138-F146</f>
        <v>-860.2248078866346</v>
      </c>
      <c r="G154" s="37">
        <f>G124-G138-G146</f>
        <v>-329.8031329205321</v>
      </c>
      <c r="H154" s="37">
        <f>H124-H138-H146</f>
        <v>-4.455220107038144</v>
      </c>
      <c r="I154" s="37">
        <f>I124-I138-I146</f>
        <v>197.7782904555749</v>
      </c>
      <c r="J154" s="37">
        <f>J124-J138-J146</f>
        <v>326.06950746037865</v>
      </c>
      <c r="K154" s="37">
        <f>K124-K138-K146</f>
        <v>409.9180135128512</v>
      </c>
      <c r="L154" s="37">
        <f>L124-L138-L146</f>
        <v>467.0196914353975</v>
      </c>
      <c r="M154" s="37">
        <f>M124-M138-M146</f>
        <v>507.98801084353386</v>
      </c>
      <c r="N154" s="37">
        <f>N124-N138-N146</f>
        <v>539.1867904247478</v>
      </c>
      <c r="O154" s="37">
        <f>O124-O138-O146</f>
        <v>564.429845155618</v>
      </c>
      <c r="P154" s="37">
        <f>P124-P138-P146</f>
        <v>586.0007639743818</v>
      </c>
      <c r="Q154" s="37">
        <f>Q124-Q138-Q146</f>
        <v>605.2647651938867</v>
      </c>
      <c r="R154" s="37">
        <f>R124-R138-R146</f>
        <v>623.0357979992417</v>
      </c>
      <c r="S154" s="37">
        <f>S124-S138-S146</f>
        <v>639.7967910087823</v>
      </c>
      <c r="T154" s="37">
        <f>T124-T138-T146</f>
        <v>655.8317884561432</v>
      </c>
      <c r="U154" s="37">
        <f>U124-U138-U146</f>
        <v>648.598317523049</v>
      </c>
      <c r="V154" s="37">
        <f>V124-V138-V146</f>
        <v>640.8956372438438</v>
      </c>
      <c r="W154" s="37">
        <f>W124-W138-W146</f>
        <v>632.7725491354814</v>
      </c>
      <c r="X154" s="37">
        <f>X124-X138-X146</f>
        <v>624.2513899970606</v>
      </c>
      <c r="Y154" s="37">
        <f>Y124-Y138-Y146</f>
        <v>615.3382705914121</v>
      </c>
      <c r="Z154" s="37">
        <f>Z124-Z138-Z146</f>
        <v>606.029201493774</v>
      </c>
      <c r="AA154" s="37">
        <f>AA124-AA138-AA146</f>
        <v>596.3137503727072</v>
      </c>
      <c r="AB154" s="37">
        <f>AB124-AB138-AB146</f>
        <v>586.1772172189363</v>
      </c>
      <c r="AC154" s="37">
        <f>AC124-AC138-AC146</f>
        <v>575.601919385964</v>
      </c>
    </row>
    <row r="155" spans="1:29" x14ac:dyDescent="0.25">
      <c r="A155" s="33" t="s">
        <v>218</v>
      </c>
      <c r="B155" s="26" t="s">
        <v>86</v>
      </c>
      <c r="E155" s="37">
        <f>0</f>
        <v>0</v>
      </c>
      <c r="F155" s="37">
        <f>E158</f>
        <v>1732.3247452351557</v>
      </c>
      <c r="G155" s="37">
        <f>F158</f>
        <v>2592.5495531217903</v>
      </c>
      <c r="H155" s="37">
        <f>G158</f>
        <v>2922.3526860423226</v>
      </c>
      <c r="I155" s="37">
        <f>H158</f>
        <v>2926.807906149361</v>
      </c>
      <c r="J155" s="37">
        <f>I158</f>
        <v>2729.029615693786</v>
      </c>
      <c r="K155" s="37">
        <f>J158</f>
        <v>2402.9601082334075</v>
      </c>
      <c r="L155" s="37">
        <f>K158</f>
        <v>1993.0420947205562</v>
      </c>
      <c r="M155" s="37">
        <f>L158</f>
        <v>1526.0224032851588</v>
      </c>
      <c r="N155" s="37">
        <f>M158</f>
        <v>1018.034392441625</v>
      </c>
      <c r="O155" s="37">
        <f>N158</f>
        <v>478.8476020168772</v>
      </c>
      <c r="P155" s="37">
        <f>O158</f>
        <v>0</v>
      </c>
      <c r="Q155" s="37">
        <f>P158</f>
        <v>0</v>
      </c>
      <c r="R155" s="37">
        <f>Q158</f>
        <v>0</v>
      </c>
      <c r="S155" s="37">
        <f>R158</f>
        <v>0</v>
      </c>
      <c r="T155" s="37">
        <f>S158</f>
        <v>0</v>
      </c>
      <c r="U155" s="37">
        <f>T158</f>
        <v>0</v>
      </c>
      <c r="V155" s="37">
        <f>U158</f>
        <v>0</v>
      </c>
      <c r="W155" s="37">
        <f>V158</f>
        <v>0</v>
      </c>
      <c r="X155" s="37">
        <f>W158</f>
        <v>0</v>
      </c>
      <c r="Y155" s="37">
        <f>X158</f>
        <v>0</v>
      </c>
      <c r="Z155" s="37">
        <f>Y158</f>
        <v>0</v>
      </c>
      <c r="AA155" s="37">
        <f>Z158</f>
        <v>0</v>
      </c>
      <c r="AB155" s="37">
        <f>AA158</f>
        <v>0</v>
      </c>
      <c r="AC155" s="37">
        <f>AB158</f>
        <v>0</v>
      </c>
    </row>
    <row r="156" spans="1:29" x14ac:dyDescent="0.25">
      <c r="A156" s="33" t="s">
        <v>219</v>
      </c>
      <c r="B156" s="26" t="s">
        <v>86</v>
      </c>
      <c r="C156" s="57">
        <f>SUM(E156:AC156)</f>
        <v>2926.8079061493613</v>
      </c>
      <c r="E156" s="37">
        <f>IF(E154&gt;0,MIN(E155,E154),0)</f>
        <v>0</v>
      </c>
      <c r="F156" s="37">
        <f>IF(F154&gt;0,MIN(F155,F154),0)</f>
        <v>0</v>
      </c>
      <c r="G156" s="37">
        <f>IF(G154&gt;0,MIN(G155,G154),0)</f>
        <v>0</v>
      </c>
      <c r="H156" s="37">
        <f>IF(H154&gt;0,MIN(H155,H154),0)</f>
        <v>0</v>
      </c>
      <c r="I156" s="37">
        <f>IF(I154&gt;0,MIN(I155,I154),0)</f>
        <v>197.7782904555749</v>
      </c>
      <c r="J156" s="37">
        <f>IF(J154&gt;0,MIN(J155,J154),0)</f>
        <v>326.06950746037865</v>
      </c>
      <c r="K156" s="37">
        <f>IF(K154&gt;0,MIN(K155,K154),0)</f>
        <v>409.9180135128512</v>
      </c>
      <c r="L156" s="37">
        <f>IF(L154&gt;0,MIN(L155,L154),0)</f>
        <v>467.0196914353975</v>
      </c>
      <c r="M156" s="37">
        <f>IF(M154&gt;0,MIN(M155,M154),0)</f>
        <v>507.98801084353386</v>
      </c>
      <c r="N156" s="37">
        <f>IF(N154&gt;0,MIN(N155,N154),0)</f>
        <v>539.1867904247478</v>
      </c>
      <c r="O156" s="37">
        <f>IF(O154&gt;0,MIN(O155,O154),0)</f>
        <v>478.8476020168772</v>
      </c>
      <c r="P156" s="37">
        <f>IF(P154&gt;0,MIN(P155,P154),0)</f>
        <v>0</v>
      </c>
      <c r="Q156" s="37">
        <f>IF(Q154&gt;0,MIN(Q155,Q154),0)</f>
        <v>0</v>
      </c>
      <c r="R156" s="37">
        <f>IF(R154&gt;0,MIN(R155,R154),0)</f>
        <v>0</v>
      </c>
      <c r="S156" s="37">
        <f>IF(S154&gt;0,MIN(S155,S154),0)</f>
        <v>0</v>
      </c>
      <c r="T156" s="37">
        <f>IF(T154&gt;0,MIN(T155,T154),0)</f>
        <v>0</v>
      </c>
      <c r="U156" s="37">
        <f>IF(U154&gt;0,MIN(U155,U154),0)</f>
        <v>0</v>
      </c>
      <c r="V156" s="37">
        <f>IF(V154&gt;0,MIN(V155,V154),0)</f>
        <v>0</v>
      </c>
      <c r="W156" s="37">
        <f>IF(W154&gt;0,MIN(W155,W154),0)</f>
        <v>0</v>
      </c>
      <c r="X156" s="37">
        <f>IF(X154&gt;0,MIN(X155,X154),0)</f>
        <v>0</v>
      </c>
      <c r="Y156" s="37">
        <f>IF(Y154&gt;0,MIN(Y155,Y154),0)</f>
        <v>0</v>
      </c>
      <c r="Z156" s="37">
        <f>IF(Z154&gt;0,MIN(Z155,Z154),0)</f>
        <v>0</v>
      </c>
      <c r="AA156" s="37">
        <f>IF(AA154&gt;0,MIN(AA155,AA154),0)</f>
        <v>0</v>
      </c>
      <c r="AB156" s="37">
        <f>IF(AB154&gt;0,MIN(AB155,AB154),0)</f>
        <v>0</v>
      </c>
      <c r="AC156" s="37">
        <f>IF(AC154&gt;0,MIN(AC155,AC154),0)</f>
        <v>0</v>
      </c>
    </row>
    <row r="157" spans="1:29" x14ac:dyDescent="0.25">
      <c r="A157" s="33" t="s">
        <v>220</v>
      </c>
      <c r="B157" s="26" t="s">
        <v>86</v>
      </c>
      <c r="C157" s="57">
        <f>SUM(E157:AC157)</f>
        <v>8721.490402733405</v>
      </c>
      <c r="E157" s="37">
        <f>MAX(0,E154-E156)</f>
        <v>0</v>
      </c>
      <c r="F157" s="37">
        <f>MAX(0,F154-F156)</f>
        <v>0</v>
      </c>
      <c r="G157" s="37">
        <f>MAX(0,G154-G156)</f>
        <v>0</v>
      </c>
      <c r="H157" s="37">
        <f>MAX(0,H154-H156)</f>
        <v>0</v>
      </c>
      <c r="I157" s="37">
        <f>MAX(0,I154-I156)</f>
        <v>0</v>
      </c>
      <c r="J157" s="37">
        <f>MAX(0,J154-J156)</f>
        <v>0</v>
      </c>
      <c r="K157" s="37">
        <f>MAX(0,K154-K156)</f>
        <v>0</v>
      </c>
      <c r="L157" s="37">
        <f>MAX(0,L154-L156)</f>
        <v>0</v>
      </c>
      <c r="M157" s="37">
        <f>MAX(0,M154-M156)</f>
        <v>0</v>
      </c>
      <c r="N157" s="37">
        <f>MAX(0,N154-N156)</f>
        <v>0</v>
      </c>
      <c r="O157" s="37">
        <f>MAX(0,O154-O156)</f>
        <v>85.58224313874075</v>
      </c>
      <c r="P157" s="37">
        <f>MAX(0,P154-P156)</f>
        <v>586.0007639743818</v>
      </c>
      <c r="Q157" s="37">
        <f>MAX(0,Q154-Q156)</f>
        <v>605.2647651938867</v>
      </c>
      <c r="R157" s="37">
        <f>MAX(0,R154-R156)</f>
        <v>623.0357979992417</v>
      </c>
      <c r="S157" s="37">
        <f>MAX(0,S154-S156)</f>
        <v>639.7967910087823</v>
      </c>
      <c r="T157" s="37">
        <f>MAX(0,T154-T156)</f>
        <v>655.8317884561432</v>
      </c>
      <c r="U157" s="37">
        <f>MAX(0,U154-U156)</f>
        <v>648.598317523049</v>
      </c>
      <c r="V157" s="37">
        <f>MAX(0,V154-V156)</f>
        <v>640.8956372438438</v>
      </c>
      <c r="W157" s="37">
        <f>MAX(0,W154-W156)</f>
        <v>632.7725491354814</v>
      </c>
      <c r="X157" s="37">
        <f>MAX(0,X154-X156)</f>
        <v>624.2513899970606</v>
      </c>
      <c r="Y157" s="37">
        <f>MAX(0,Y154-Y156)</f>
        <v>615.3382705914121</v>
      </c>
      <c r="Z157" s="37">
        <f>MAX(0,Z154-Z156)</f>
        <v>606.029201493774</v>
      </c>
      <c r="AA157" s="37">
        <f>MAX(0,AA154-AA156)</f>
        <v>596.3137503727072</v>
      </c>
      <c r="AB157" s="37">
        <f>MAX(0,AB154-AB156)</f>
        <v>586.1772172189363</v>
      </c>
      <c r="AC157" s="37">
        <f>MAX(0,AC154-AC156)</f>
        <v>575.601919385964</v>
      </c>
    </row>
    <row r="158" spans="1:29" x14ac:dyDescent="0.25">
      <c r="A158" s="33" t="s">
        <v>221</v>
      </c>
      <c r="B158" s="26" t="s">
        <v>86</v>
      </c>
      <c r="E158" s="37">
        <f>E155-E156+MAX(0,-E154)</f>
        <v>1732.3247452351557</v>
      </c>
      <c r="F158" s="37">
        <f>F155-F156+MAX(0,-F154)</f>
        <v>2592.5495531217903</v>
      </c>
      <c r="G158" s="37">
        <f>G155-G156+MAX(0,-G154)</f>
        <v>2922.3526860423226</v>
      </c>
      <c r="H158" s="37">
        <f>H155-H156+MAX(0,-H154)</f>
        <v>2926.807906149361</v>
      </c>
      <c r="I158" s="37">
        <f>I155-I156+MAX(0,-I154)</f>
        <v>2729.029615693786</v>
      </c>
      <c r="J158" s="37">
        <f>J155-J156+MAX(0,-J154)</f>
        <v>2402.9601082334075</v>
      </c>
      <c r="K158" s="37">
        <f>K155-K156+MAX(0,-K154)</f>
        <v>1993.0420947205562</v>
      </c>
      <c r="L158" s="37">
        <f>L155-L156+MAX(0,-L154)</f>
        <v>1526.0224032851588</v>
      </c>
      <c r="M158" s="37">
        <f>M155-M156+MAX(0,-M154)</f>
        <v>1018.034392441625</v>
      </c>
      <c r="N158" s="37">
        <f>N155-N156+MAX(0,-N154)</f>
        <v>478.8476020168772</v>
      </c>
      <c r="O158" s="37">
        <f>O155-O156+MAX(0,-O154)</f>
        <v>0</v>
      </c>
      <c r="P158" s="37">
        <f>P155-P156+MAX(0,-P154)</f>
        <v>0</v>
      </c>
      <c r="Q158" s="37">
        <f>Q155-Q156+MAX(0,-Q154)</f>
        <v>0</v>
      </c>
      <c r="R158" s="37">
        <f>R155-R156+MAX(0,-R154)</f>
        <v>0</v>
      </c>
      <c r="S158" s="37">
        <f>S155-S156+MAX(0,-S154)</f>
        <v>0</v>
      </c>
      <c r="T158" s="37">
        <f>T155-T156+MAX(0,-T154)</f>
        <v>0</v>
      </c>
      <c r="U158" s="37">
        <f>U155-U156+MAX(0,-U154)</f>
        <v>0</v>
      </c>
      <c r="V158" s="37">
        <f>V155-V156+MAX(0,-V154)</f>
        <v>0</v>
      </c>
      <c r="W158" s="37">
        <f>W155-W156+MAX(0,-W154)</f>
        <v>0</v>
      </c>
      <c r="X158" s="37">
        <f>X155-X156+MAX(0,-X154)</f>
        <v>0</v>
      </c>
      <c r="Y158" s="37">
        <f>Y155-Y156+MAX(0,-Y154)</f>
        <v>0</v>
      </c>
      <c r="Z158" s="37">
        <f>Z155-Z156+MAX(0,-Z154)</f>
        <v>0</v>
      </c>
      <c r="AA158" s="37">
        <f>AA155-AA156+MAX(0,-AA154)</f>
        <v>0</v>
      </c>
      <c r="AB158" s="37">
        <f>AB155-AB156+MAX(0,-AB154)</f>
        <v>0</v>
      </c>
      <c r="AC158" s="37">
        <f>AC155-AC156+MAX(0,-AC154)</f>
        <v>0</v>
      </c>
    </row>
    <row r="159" spans="1:29" x14ac:dyDescent="0.25">
      <c r="A159" s="33" t="s">
        <v>222</v>
      </c>
      <c r="B159" s="26" t="s">
        <v>86</v>
      </c>
      <c r="C159" s="57">
        <f>SUM(E159:AC159)</f>
        <v>2195.1991343679983</v>
      </c>
      <c r="E159" s="37">
        <f>E157*$C$69</f>
        <v>0</v>
      </c>
      <c r="F159" s="37">
        <f>F157*$C$69</f>
        <v>0</v>
      </c>
      <c r="G159" s="37">
        <f>G157*$C$69</f>
        <v>0</v>
      </c>
      <c r="H159" s="37">
        <f>H157*$C$69</f>
        <v>0</v>
      </c>
      <c r="I159" s="37">
        <f>I157*$C$69</f>
        <v>0</v>
      </c>
      <c r="J159" s="37">
        <f>J157*$C$69</f>
        <v>0</v>
      </c>
      <c r="K159" s="37">
        <f>K157*$C$69</f>
        <v>0</v>
      </c>
      <c r="L159" s="37">
        <f>L157*$C$69</f>
        <v>0</v>
      </c>
      <c r="M159" s="37">
        <f>M157*$C$69</f>
        <v>0</v>
      </c>
      <c r="N159" s="37">
        <f>N157*$C$69</f>
        <v>0</v>
      </c>
      <c r="O159" s="37">
        <f>O157*$C$69</f>
        <v>21.541050598021044</v>
      </c>
      <c r="P159" s="37">
        <f>P157*$C$69</f>
        <v>147.49639229235189</v>
      </c>
      <c r="Q159" s="37">
        <f>Q157*$C$69</f>
        <v>152.34514139930127</v>
      </c>
      <c r="R159" s="37">
        <f>R157*$C$69</f>
        <v>156.81811035640914</v>
      </c>
      <c r="S159" s="37">
        <f>S157*$C$69</f>
        <v>161.0368522969105</v>
      </c>
      <c r="T159" s="37">
        <f>T157*$C$69</f>
        <v>165.0728611544112</v>
      </c>
      <c r="U159" s="37">
        <f>U157*$C$69</f>
        <v>163.25219652055142</v>
      </c>
      <c r="V159" s="37">
        <f>V157*$C$69</f>
        <v>161.31343189427548</v>
      </c>
      <c r="W159" s="37">
        <f>W157*$C$69</f>
        <v>159.26885061740066</v>
      </c>
      <c r="X159" s="37">
        <f>X157*$C$69</f>
        <v>157.12407486226016</v>
      </c>
      <c r="Y159" s="37">
        <f>Y157*$C$69</f>
        <v>154.8806427078584</v>
      </c>
      <c r="Z159" s="37">
        <f>Z157*$C$69</f>
        <v>152.53755001598293</v>
      </c>
      <c r="AA159" s="37">
        <f>AA157*$C$69</f>
        <v>150.0921709688104</v>
      </c>
      <c r="AB159" s="37">
        <f>AB157*$C$69</f>
        <v>147.54080557400627</v>
      </c>
      <c r="AC159" s="37">
        <f>AC157*$C$69</f>
        <v>144.87900310944713</v>
      </c>
    </row>
    <row r="160" spans="1:29" x14ac:dyDescent="0.25">
      <c r="A160" s="61" t="s">
        <v>223</v>
      </c>
      <c r="B160" s="62" t="s">
        <v>86</v>
      </c>
      <c r="C160" s="63">
        <f>SUM(E160:AC160)</f>
        <v>7024.915568464993</v>
      </c>
      <c r="D160" s="64"/>
      <c r="E160" s="63">
        <f>E153-E159</f>
        <v>235.606655197431</v>
      </c>
      <c r="F160" s="63">
        <f>F153-F159</f>
        <v>252.71537885809687</v>
      </c>
      <c r="G160" s="63">
        <f>G153-G159</f>
        <v>269.6249217052524</v>
      </c>
      <c r="H160" s="63">
        <f>H153-H159</f>
        <v>286.32324954886576</v>
      </c>
      <c r="I160" s="63">
        <f>I153-I159</f>
        <v>302.7972982839799</v>
      </c>
      <c r="J160" s="63">
        <f>J153-J159</f>
        <v>319.03282357833245</v>
      </c>
      <c r="K160" s="63">
        <f>K153-K159</f>
        <v>335.0142149596237</v>
      </c>
      <c r="L160" s="63">
        <f>L153-L159</f>
        <v>350.72426269854816</v>
      </c>
      <c r="M160" s="63">
        <f>M153-M159</f>
        <v>366.14386112239885</v>
      </c>
      <c r="N160" s="63">
        <f>N153-N159</f>
        <v>381.25162485317094</v>
      </c>
      <c r="O160" s="63">
        <f>O153-O159</f>
        <v>374.48233291787625</v>
      </c>
      <c r="P160" s="63">
        <f>P153-P159</f>
        <v>262.9351109676269</v>
      </c>
      <c r="Q160" s="63">
        <f>Q153-Q159</f>
        <v>272.0988142490903</v>
      </c>
      <c r="R160" s="63">
        <f>R153-R159</f>
        <v>281.2048978018258</v>
      </c>
      <c r="S160" s="63">
        <f>S153-S159</f>
        <v>290.0864782487406</v>
      </c>
      <c r="T160" s="63">
        <f>T153-T159</f>
        <v>298.6163061933071</v>
      </c>
      <c r="U160" s="63">
        <f>U153-U159</f>
        <v>289.6908575388039</v>
      </c>
      <c r="V160" s="63">
        <f>V153-V159</f>
        <v>280.1859833569555</v>
      </c>
      <c r="W160" s="63">
        <f>W153-W159</f>
        <v>269.9628551306023</v>
      </c>
      <c r="X160" s="63">
        <f>X153-X159</f>
        <v>258.8329770354732</v>
      </c>
      <c r="Y160" s="63">
        <f>Y153-Y159</f>
        <v>246.51112475867504</v>
      </c>
      <c r="Z160" s="63">
        <f>Z153-Z159</f>
        <v>232.51376067960715</v>
      </c>
      <c r="AA160" s="63">
        <f>AA153-AA159</f>
        <v>215.89139763791914</v>
      </c>
      <c r="AB160" s="63">
        <f>AB153-AB159</f>
        <v>194.29465070295</v>
      </c>
      <c r="AC160" s="63">
        <f>AC153-AC159</f>
        <v>158.37373043984104</v>
      </c>
    </row>
    <row r="162" ht="20" customHeight="1" spans="1:29" x14ac:dyDescent="0.25">
      <c r="A162" s="21" t="s">
        <v>224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x14ac:dyDescent="0.25">
      <c r="A163" s="33" t="s">
        <v>225</v>
      </c>
      <c r="B163" s="26" t="s">
        <v>86</v>
      </c>
      <c r="E163" s="37">
        <f>E115*$C$74/365</f>
        <v>104.26063466596224</v>
      </c>
      <c r="F163" s="37">
        <f>F115*$C$74/365</f>
        <v>104.0803408438415</v>
      </c>
      <c r="G163" s="37">
        <f>G115*$C$74/365</f>
        <v>103.90004702172077</v>
      </c>
      <c r="H163" s="37">
        <f>H115*$C$74/365</f>
        <v>103.71975319960006</v>
      </c>
      <c r="I163" s="37">
        <f>I115*$C$74/365</f>
        <v>103.53945937747933</v>
      </c>
      <c r="J163" s="37">
        <f>J115*$C$74/365</f>
        <v>103.35916555535863</v>
      </c>
      <c r="K163" s="37">
        <f>K115*$C$74/365</f>
        <v>103.17887173323793</v>
      </c>
      <c r="L163" s="37">
        <f>L115*$C$74/365</f>
        <v>102.99857791111721</v>
      </c>
      <c r="M163" s="37">
        <f>M115*$C$74/365</f>
        <v>102.81828408899648</v>
      </c>
      <c r="N163" s="37">
        <f>N115*$C$74/365</f>
        <v>102.63799026687576</v>
      </c>
      <c r="O163" s="37">
        <f>O115*$C$74/365</f>
        <v>102.45769644475504</v>
      </c>
      <c r="P163" s="37">
        <f>P115*$C$74/365</f>
        <v>102.27740262263434</v>
      </c>
      <c r="Q163" s="37">
        <f>Q115*$C$74/365</f>
        <v>102.0971088005136</v>
      </c>
      <c r="R163" s="37">
        <f>R115*$C$74/365</f>
        <v>101.9168149783929</v>
      </c>
      <c r="S163" s="37">
        <f>S115*$C$74/365</f>
        <v>101.73652115627222</v>
      </c>
      <c r="T163" s="37">
        <f>T115*$C$74/365</f>
        <v>101.55622733415147</v>
      </c>
      <c r="U163" s="37">
        <f>U115*$C$74/365</f>
        <v>101.37593351203077</v>
      </c>
      <c r="V163" s="37">
        <f>V115*$C$74/365</f>
        <v>101.19563968991005</v>
      </c>
      <c r="W163" s="37">
        <f>W115*$C$74/365</f>
        <v>101.01534586778929</v>
      </c>
      <c r="X163" s="37">
        <f>X115*$C$74/365</f>
        <v>100.83505204566858</v>
      </c>
      <c r="Y163" s="37">
        <f>Y115*$C$74/365</f>
        <v>100.65475822354789</v>
      </c>
      <c r="Z163" s="37">
        <f>Z115*$C$74/365</f>
        <v>100.4744644014272</v>
      </c>
      <c r="AA163" s="37">
        <f>AA115*$C$74/365</f>
        <v>100.29417057930648</v>
      </c>
      <c r="AB163" s="37">
        <f>AB115*$C$74/365</f>
        <v>100.11387675718574</v>
      </c>
      <c r="AC163" s="37">
        <f>AC115*$C$74/365</f>
        <v>99.93358293506502</v>
      </c>
    </row>
    <row r="164" spans="1:29" x14ac:dyDescent="0.25">
      <c r="A164" s="33" t="s">
        <v>226</v>
      </c>
      <c r="B164" s="26" t="s">
        <v>86</v>
      </c>
      <c r="C164" s="57">
        <f>SUM(E164:AC164)</f>
        <v>99.93358293506502</v>
      </c>
      <c r="E164" s="37">
        <f>E163</f>
        <v>104.26063466596224</v>
      </c>
      <c r="F164" s="37">
        <f>F163-E163</f>
        <v>-0.18029382212074552</v>
      </c>
      <c r="G164" s="37">
        <f>G163-F163</f>
        <v>-0.1802938221207313</v>
      </c>
      <c r="H164" s="37">
        <f>H163-G163</f>
        <v>-0.18029382212070288</v>
      </c>
      <c r="I164" s="37">
        <f>I163-H163</f>
        <v>-0.1802938221207313</v>
      </c>
      <c r="J164" s="37">
        <f>J163-I163</f>
        <v>-0.18029382212070288</v>
      </c>
      <c r="K164" s="37">
        <f>K163-J163</f>
        <v>-0.18029382212070288</v>
      </c>
      <c r="L164" s="37">
        <f>L163-K163</f>
        <v>-0.1802938221207171</v>
      </c>
      <c r="M164" s="37">
        <f>M163-L163</f>
        <v>-0.1802938221207313</v>
      </c>
      <c r="N164" s="37">
        <f>N163-M163</f>
        <v>-0.1802938221207171</v>
      </c>
      <c r="O164" s="37">
        <f>O163-N163</f>
        <v>-0.1802938221207171</v>
      </c>
      <c r="P164" s="37">
        <f>P163-O163</f>
        <v>-0.18029382212070288</v>
      </c>
      <c r="Q164" s="37">
        <f>Q163-P163</f>
        <v>-0.18029382212074552</v>
      </c>
      <c r="R164" s="37">
        <f>R163-Q163</f>
        <v>-0.18029382212068867</v>
      </c>
      <c r="S164" s="37">
        <f>S163-R163</f>
        <v>-0.18029382212068867</v>
      </c>
      <c r="T164" s="37">
        <f>T163-S163</f>
        <v>-0.18029382212074552</v>
      </c>
      <c r="U164" s="37">
        <f>U163-T163</f>
        <v>-0.18029382212070288</v>
      </c>
      <c r="V164" s="37">
        <f>V163-U163</f>
        <v>-0.1802938221207171</v>
      </c>
      <c r="W164" s="37">
        <f>W163-V163</f>
        <v>-0.18029382212075973</v>
      </c>
      <c r="X164" s="37">
        <f>X163-W163</f>
        <v>-0.1802938221207171</v>
      </c>
      <c r="Y164" s="37">
        <f>Y163-X163</f>
        <v>-0.18029382212068867</v>
      </c>
      <c r="Z164" s="37">
        <f>Z163-Y163</f>
        <v>-0.18029382212068867</v>
      </c>
      <c r="AA164" s="37">
        <f>AA163-Z163</f>
        <v>-0.1802938221207171</v>
      </c>
      <c r="AB164" s="37">
        <f>AB163-AA163</f>
        <v>-0.18029382212074552</v>
      </c>
      <c r="AC164" s="37">
        <f>AC163-AB163</f>
        <v>-0.1802938221207171</v>
      </c>
    </row>
    <row r="165" spans="1:29" x14ac:dyDescent="0.25">
      <c r="A165" s="61" t="s">
        <v>227</v>
      </c>
      <c r="B165" s="62" t="s">
        <v>86</v>
      </c>
      <c r="C165" s="63">
        <f>SUM(E165:AC165)</f>
        <v>14515.57453005562</v>
      </c>
      <c r="D165" s="64"/>
      <c r="E165" s="63">
        <f>E124-E159-E164-E128</f>
        <v>666.5801102095622</v>
      </c>
      <c r="F165" s="63">
        <f>F124-F159-F164-F128</f>
        <v>738.5888746823526</v>
      </c>
      <c r="G165" s="63">
        <f>G124-G159-G164-G128</f>
        <v>734.0089377111303</v>
      </c>
      <c r="H165" s="63">
        <f>H124-H159-H164-H128</f>
        <v>729.2731230525405</v>
      </c>
      <c r="I165" s="63">
        <f>I124-I159-I164-I128</f>
        <v>724.3736368222145</v>
      </c>
      <c r="J165" s="63">
        <f>J124-J159-J164-J128</f>
        <v>719.3022954415659</v>
      </c>
      <c r="K165" s="63">
        <f>K124-K159-K164-K128</f>
        <v>714.0505061530782</v>
      </c>
      <c r="L165" s="63">
        <f>L124-L159-L164-L128</f>
        <v>708.6092465613594</v>
      </c>
      <c r="M165" s="63">
        <f>M124-M159-M164-M128</f>
        <v>702.969043151248</v>
      </c>
      <c r="N165" s="63">
        <f>N124-N159-N164-N128</f>
        <v>697.1199487318244</v>
      </c>
      <c r="O165" s="63">
        <f>O124-O159-O164-O128</f>
        <v>669.5104681546022</v>
      </c>
      <c r="P165" s="63">
        <f>P124-P159-P164-P128</f>
        <v>537.2563941433035</v>
      </c>
      <c r="Q165" s="63">
        <f>Q124-Q159-Q164-Q128</f>
        <v>525.8670952647311</v>
      </c>
      <c r="R165" s="63">
        <f>R124-R159-R164-R128</f>
        <v>514.5996682086127</v>
      </c>
      <c r="S165" s="63">
        <f>S124-S159-S164-S128</f>
        <v>503.3198644253436</v>
      </c>
      <c r="T165" s="63">
        <f>T124-T159-T164-T128</f>
        <v>491.94285979413024</v>
      </c>
      <c r="U165" s="63">
        <f>U124-U159-U164-U128</f>
        <v>486.1285980267847</v>
      </c>
      <c r="V165" s="63">
        <f>V124-V159-V164-V128</f>
        <v>480.1238090929889</v>
      </c>
      <c r="W165" s="63">
        <f>W124-W159-W164-W128</f>
        <v>473.9007782929815</v>
      </c>
      <c r="X165" s="63">
        <f>X124-X159-X164-X128</f>
        <v>467.43768052858917</v>
      </c>
      <c r="Y165" s="63">
        <f>Y124-Y159-Y164-Y128</f>
        <v>460.7159646486751</v>
      </c>
      <c r="Z165" s="63">
        <f>Z124-Z159-Z164-Z128</f>
        <v>453.71877106571236</v>
      </c>
      <c r="AA165" s="63">
        <f>AA124-AA159-AA164-AA128</f>
        <v>446.42996868549784</v>
      </c>
      <c r="AB165" s="63">
        <f>AB124-AB159-AB164-AB128</f>
        <v>438.833562742739</v>
      </c>
      <c r="AC165" s="63">
        <f>AC124-AC159-AC164-AC128</f>
        <v>430.9133244640505</v>
      </c>
    </row>
    <row r="166" spans="1:29" x14ac:dyDescent="0.25">
      <c r="A166" s="33" t="s">
        <v>228</v>
      </c>
      <c r="B166" s="26" t="s">
        <v>86</v>
      </c>
      <c r="C166" s="57">
        <f>SUM(E166:AC166)</f>
        <v>6509.311555277017</v>
      </c>
      <c r="E166" s="37">
        <f>E141</f>
        <v>592.9024091046895</v>
      </c>
      <c r="F166" s="37">
        <f>F141</f>
        <v>570.1955083304673</v>
      </c>
      <c r="G166" s="37">
        <f>G141</f>
        <v>547.4886075562451</v>
      </c>
      <c r="H166" s="37">
        <f>H141</f>
        <v>524.781706782023</v>
      </c>
      <c r="I166" s="37">
        <f>I141</f>
        <v>502.0748060078008</v>
      </c>
      <c r="J166" s="37">
        <f>J141</f>
        <v>479.36790523357865</v>
      </c>
      <c r="K166" s="37">
        <f>K141</f>
        <v>456.6610044593565</v>
      </c>
      <c r="L166" s="37">
        <f>L141</f>
        <v>433.9541036851343</v>
      </c>
      <c r="M166" s="37">
        <f>M141</f>
        <v>411.24720291091216</v>
      </c>
      <c r="N166" s="37">
        <f>N141</f>
        <v>388.54030213669006</v>
      </c>
      <c r="O166" s="37">
        <f>O141</f>
        <v>365.8334013624679</v>
      </c>
      <c r="P166" s="37">
        <f>P141</f>
        <v>343.1265005882458</v>
      </c>
      <c r="Q166" s="37">
        <f>Q141</f>
        <v>320.4195998140236</v>
      </c>
      <c r="R166" s="37">
        <f>R141</f>
        <v>297.71269903980146</v>
      </c>
      <c r="S166" s="37">
        <f>S141</f>
        <v>275.00579826557856</v>
      </c>
      <c r="T166" s="37">
        <f>T141</f>
        <v>0</v>
      </c>
      <c r="U166" s="37">
        <f>U141</f>
        <v>0</v>
      </c>
      <c r="V166" s="37">
        <f>V141</f>
        <v>0</v>
      </c>
      <c r="W166" s="37">
        <f>W141</f>
        <v>0</v>
      </c>
      <c r="X166" s="37">
        <f>X141</f>
        <v>0</v>
      </c>
      <c r="Y166" s="37">
        <f>Y141</f>
        <v>0</v>
      </c>
      <c r="Z166" s="37">
        <f>Z141</f>
        <v>0</v>
      </c>
      <c r="AA166" s="37">
        <f>AA141</f>
        <v>0</v>
      </c>
      <c r="AB166" s="37">
        <f>AB141</f>
        <v>0</v>
      </c>
      <c r="AC166" s="37">
        <f>AC141</f>
        <v>0</v>
      </c>
    </row>
    <row r="167" spans="1:29" x14ac:dyDescent="0.25">
      <c r="A167" s="33" t="s">
        <v>229</v>
      </c>
      <c r="B167" s="26" t="s">
        <v>88</v>
      </c>
      <c r="E167" s="40">
        <f>IF(E141&gt;1E-9,E165/E141,"")</f>
        <v>1.124266152360773</v>
      </c>
      <c r="F167" s="40">
        <f>IF(F141&gt;1E-9,F165/F141,"")</f>
        <v>1.2953256626747924</v>
      </c>
      <c r="G167" s="40">
        <f>IF(G141&gt;1E-9,G165/G141,"")</f>
        <v>1.3406834910911336</v>
      </c>
      <c r="H167" s="40">
        <f>IF(H141&gt;1E-9,H165/H141,"")</f>
        <v>1.3896694828111769</v>
      </c>
      <c r="I167" s="40">
        <f>IF(I141&gt;1E-9,I165/I141,"")</f>
        <v>1.4427603778448899</v>
      </c>
      <c r="J167" s="40">
        <f>IF(J141&gt;1E-9,J165/J141,"")</f>
        <v>1.5005224329548634</v>
      </c>
      <c r="K167" s="40">
        <f>IF(K141&gt;1E-9,K165/K141,"")</f>
        <v>1.5636336345347608</v>
      </c>
      <c r="L167" s="40">
        <f>IF(L141&gt;1E-9,L165/L141,"")</f>
        <v>1.6329128830534292</v>
      </c>
      <c r="M167" s="40">
        <f>IF(M141&gt;1E-9,M165/M141,"")</f>
        <v>1.7093588434777296</v>
      </c>
      <c r="N167" s="40">
        <f>IF(N141&gt;1E-9,N165/N141,"")</f>
        <v>1.7942024158064682</v>
      </c>
      <c r="O167" s="40">
        <f>IF(O141&gt;1E-9,O165/O141,"")</f>
        <v>1.830096611356848</v>
      </c>
      <c r="P167" s="40">
        <f>IF(P141&gt;1E-9,P165/P141,"")</f>
        <v>1.5657677073098326</v>
      </c>
      <c r="Q167" s="40">
        <f>IF(Q141&gt;1E-9,Q165/Q141,"")</f>
        <v>1.641182672876292</v>
      </c>
      <c r="R167" s="40">
        <f>IF(R141&gt;1E-9,R165/R141,"")</f>
        <v>1.7285109767515003</v>
      </c>
      <c r="S167" s="40">
        <f>IF(S141&gt;1E-9,S165/S141,"")</f>
        <v>1.8302154630909913</v>
      </c>
      <c r="T167" s="40" t="str">
        <f>IF(T141&gt;1E-9,T165/T141,"")</f>
        <v/>
      </c>
      <c r="U167" s="40" t="str">
        <f>IF(U141&gt;1E-9,U165/U141,"")</f>
        <v/>
      </c>
      <c r="V167" s="40" t="str">
        <f>IF(V141&gt;1E-9,V165/V141,"")</f>
        <v/>
      </c>
      <c r="W167" s="40" t="str">
        <f>IF(W141&gt;1E-9,W165/W141,"")</f>
        <v/>
      </c>
      <c r="X167" s="40" t="str">
        <f>IF(X141&gt;1E-9,X165/X141,"")</f>
        <v/>
      </c>
      <c r="Y167" s="40" t="str">
        <f>IF(Y141&gt;1E-9,Y165/Y141,"")</f>
        <v/>
      </c>
      <c r="Z167" s="40" t="str">
        <f>IF(Z141&gt;1E-9,Z165/Z141,"")</f>
        <v/>
      </c>
      <c r="AA167" s="40" t="str">
        <f>IF(AA141&gt;1E-9,AA165/AA141,"")</f>
        <v/>
      </c>
      <c r="AB167" s="40" t="str">
        <f>IF(AB141&gt;1E-9,AB165/AB141,"")</f>
        <v/>
      </c>
      <c r="AC167" s="40" t="str">
        <f>IF(AC141&gt;1E-9,AC165/AC141,"")</f>
        <v/>
      </c>
    </row>
    <row r="168" spans="1:29" x14ac:dyDescent="0.25">
      <c r="A168" s="33" t="s">
        <v>230</v>
      </c>
      <c r="B168" s="26" t="s">
        <v>86</v>
      </c>
      <c r="C168" s="57">
        <f>SUM(E168:AC168)</f>
        <v>640.574077559402</v>
      </c>
      <c r="E168" s="37">
        <f>IF(E$5=$C$87,$C$84*$C$73+E163,0)</f>
        <v>0</v>
      </c>
      <c r="F168" s="37">
        <f>IF(F$5=$C$87,$C$84*$C$73+F163,0)</f>
        <v>0</v>
      </c>
      <c r="G168" s="37">
        <f>IF(G$5=$C$87,$C$84*$C$73+G163,0)</f>
        <v>0</v>
      </c>
      <c r="H168" s="37">
        <f>IF(H$5=$C$87,$C$84*$C$73+H163,0)</f>
        <v>0</v>
      </c>
      <c r="I168" s="37">
        <f>IF(I$5=$C$87,$C$84*$C$73+I163,0)</f>
        <v>0</v>
      </c>
      <c r="J168" s="37">
        <f>IF(J$5=$C$87,$C$84*$C$73+J163,0)</f>
        <v>0</v>
      </c>
      <c r="K168" s="37">
        <f>IF(K$5=$C$87,$C$84*$C$73+K163,0)</f>
        <v>0</v>
      </c>
      <c r="L168" s="37">
        <f>IF(L$5=$C$87,$C$84*$C$73+L163,0)</f>
        <v>0</v>
      </c>
      <c r="M168" s="37">
        <f>IF(M$5=$C$87,$C$84*$C$73+M163,0)</f>
        <v>0</v>
      </c>
      <c r="N168" s="37">
        <f>IF(N$5=$C$87,$C$84*$C$73+N163,0)</f>
        <v>0</v>
      </c>
      <c r="O168" s="37">
        <f>IF(O$5=$C$87,$C$84*$C$73+O163,0)</f>
        <v>0</v>
      </c>
      <c r="P168" s="37">
        <f>IF(P$5=$C$87,$C$84*$C$73+P163,0)</f>
        <v>0</v>
      </c>
      <c r="Q168" s="37">
        <f>IF(Q$5=$C$87,$C$84*$C$73+Q163,0)</f>
        <v>0</v>
      </c>
      <c r="R168" s="37">
        <f>IF(R$5=$C$87,$C$84*$C$73+R163,0)</f>
        <v>0</v>
      </c>
      <c r="S168" s="37">
        <f>IF(S$5=$C$87,$C$84*$C$73+S163,0)</f>
        <v>0</v>
      </c>
      <c r="T168" s="37">
        <f>IF(T$5=$C$87,$C$84*$C$73+T163,0)</f>
        <v>0</v>
      </c>
      <c r="U168" s="37">
        <f>IF(U$5=$C$87,$C$84*$C$73+U163,0)</f>
        <v>0</v>
      </c>
      <c r="V168" s="37">
        <f>IF(V$5=$C$87,$C$84*$C$73+V163,0)</f>
        <v>0</v>
      </c>
      <c r="W168" s="37">
        <f>IF(W$5=$C$87,$C$84*$C$73+W163,0)</f>
        <v>0</v>
      </c>
      <c r="X168" s="37">
        <f>IF(X$5=$C$87,$C$84*$C$73+X163,0)</f>
        <v>0</v>
      </c>
      <c r="Y168" s="37">
        <f>IF(Y$5=$C$87,$C$84*$C$73+Y163,0)</f>
        <v>0</v>
      </c>
      <c r="Z168" s="37">
        <f>IF(Z$5=$C$87,$C$84*$C$73+Z163,0)</f>
        <v>0</v>
      </c>
      <c r="AA168" s="37">
        <f>IF(AA$5=$C$87,$C$84*$C$73+AA163,0)</f>
        <v>0</v>
      </c>
      <c r="AB168" s="37">
        <f>IF(AB$5=$C$87,$C$84*$C$73+AB163,0)</f>
        <v>0</v>
      </c>
      <c r="AC168" s="37">
        <f>IF(AC$5=$C$87,$C$84*$C$73+AC163,0)</f>
        <v>640.574077559402</v>
      </c>
    </row>
    <row r="169" spans="1:29" x14ac:dyDescent="0.25">
      <c r="A169" s="33" t="s">
        <v>231</v>
      </c>
      <c r="B169" s="26" t="s">
        <v>86</v>
      </c>
      <c r="C169" s="57">
        <f>SUM(E169:AC169)</f>
        <v>0</v>
      </c>
      <c r="E169" s="37">
        <f>IF(E$5=$C$87,E140,0)</f>
        <v>0</v>
      </c>
      <c r="F169" s="37">
        <f>IF(F$5=$C$87,F140,0)</f>
        <v>0</v>
      </c>
      <c r="G169" s="37">
        <f>IF(G$5=$C$87,G140,0)</f>
        <v>0</v>
      </c>
      <c r="H169" s="37">
        <f>IF(H$5=$C$87,H140,0)</f>
        <v>0</v>
      </c>
      <c r="I169" s="37">
        <f>IF(I$5=$C$87,I140,0)</f>
        <v>0</v>
      </c>
      <c r="J169" s="37">
        <f>IF(J$5=$C$87,J140,0)</f>
        <v>0</v>
      </c>
      <c r="K169" s="37">
        <f>IF(K$5=$C$87,K140,0)</f>
        <v>0</v>
      </c>
      <c r="L169" s="37">
        <f>IF(L$5=$C$87,L140,0)</f>
        <v>0</v>
      </c>
      <c r="M169" s="37">
        <f>IF(M$5=$C$87,M140,0)</f>
        <v>0</v>
      </c>
      <c r="N169" s="37">
        <f>IF(N$5=$C$87,N140,0)</f>
        <v>0</v>
      </c>
      <c r="O169" s="37">
        <f>IF(O$5=$C$87,O140,0)</f>
        <v>0</v>
      </c>
      <c r="P169" s="37">
        <f>IF(P$5=$C$87,P140,0)</f>
        <v>0</v>
      </c>
      <c r="Q169" s="37">
        <f>IF(Q$5=$C$87,Q140,0)</f>
        <v>0</v>
      </c>
      <c r="R169" s="37">
        <f>IF(R$5=$C$87,R140,0)</f>
        <v>0</v>
      </c>
      <c r="S169" s="37">
        <f>IF(S$5=$C$87,S140,0)</f>
        <v>0</v>
      </c>
      <c r="T169" s="37">
        <f>IF(T$5=$C$87,T140,0)</f>
        <v>0</v>
      </c>
      <c r="U169" s="37">
        <f>IF(U$5=$C$87,U140,0)</f>
        <v>0</v>
      </c>
      <c r="V169" s="37">
        <f>IF(V$5=$C$87,V140,0)</f>
        <v>0</v>
      </c>
      <c r="W169" s="37">
        <f>IF(W$5=$C$87,W140,0)</f>
        <v>0</v>
      </c>
      <c r="X169" s="37">
        <f>IF(X$5=$C$87,X140,0)</f>
        <v>0</v>
      </c>
      <c r="Y169" s="37">
        <f>IF(Y$5=$C$87,Y140,0)</f>
        <v>0</v>
      </c>
      <c r="Z169" s="37">
        <f>IF(Z$5=$C$87,Z140,0)</f>
        <v>0</v>
      </c>
      <c r="AA169" s="37">
        <f>IF(AA$5=$C$87,AA140,0)</f>
        <v>0</v>
      </c>
      <c r="AB169" s="37">
        <f>IF(AB$5=$C$87,AB140,0)</f>
        <v>0</v>
      </c>
      <c r="AC169" s="37">
        <f>IF(AC$5=$C$87,AC140,0)</f>
        <v>0</v>
      </c>
    </row>
    <row r="170" spans="1:29" x14ac:dyDescent="0.25">
      <c r="A170" s="61" t="s">
        <v>232</v>
      </c>
      <c r="B170" s="62" t="s">
        <v>86</v>
      </c>
      <c r="C170" s="63">
        <f>SUM(E170:AC170)</f>
        <v>8646.837052338005</v>
      </c>
      <c r="D170" s="63">
        <f>-$C$86</f>
        <v>-1621.9214838730113</v>
      </c>
      <c r="E170" s="63">
        <f>E165-E141+E168-E169</f>
        <v>73.67770110487277</v>
      </c>
      <c r="F170" s="63">
        <f>F165-F141+F168-F169</f>
        <v>168.39336635188533</v>
      </c>
      <c r="G170" s="63">
        <f>G165-G141+G168-G169</f>
        <v>186.5203301548852</v>
      </c>
      <c r="H170" s="63">
        <f>H165-H141+H168-H169</f>
        <v>204.49141627051756</v>
      </c>
      <c r="I170" s="63">
        <f>I165-I141+I168-I169</f>
        <v>222.2988308144137</v>
      </c>
      <c r="J170" s="63">
        <f>J165-J141+J168-J169</f>
        <v>239.93439020798724</v>
      </c>
      <c r="K170" s="63">
        <f>K165-K141+K168-K169</f>
        <v>257.38950169372174</v>
      </c>
      <c r="L170" s="63">
        <f>L165-L141+L168-L169</f>
        <v>274.6551428762251</v>
      </c>
      <c r="M170" s="63">
        <f>M165-M141+M168-M169</f>
        <v>291.72184024033584</v>
      </c>
      <c r="N170" s="63">
        <f>N165-N141+N168-N169</f>
        <v>308.5796465951343</v>
      </c>
      <c r="O170" s="63">
        <f>O165-O141+O168-O169</f>
        <v>303.6770667921343</v>
      </c>
      <c r="P170" s="63">
        <f>P165-P141+P168-P169</f>
        <v>194.12989355505772</v>
      </c>
      <c r="Q170" s="63">
        <f>Q165-Q141+Q168-Q169</f>
        <v>205.4474954507075</v>
      </c>
      <c r="R170" s="63">
        <f>R165-R141+R168-R169</f>
        <v>216.88696916881122</v>
      </c>
      <c r="S170" s="63">
        <f>S165-S141+S168-S169</f>
        <v>228.31406615976505</v>
      </c>
      <c r="T170" s="63">
        <f>T165-T141+T168-T169</f>
        <v>491.94285979413024</v>
      </c>
      <c r="U170" s="63">
        <f>U165-U141+U168-U169</f>
        <v>486.1285980267847</v>
      </c>
      <c r="V170" s="63">
        <f>V165-V141+V168-V169</f>
        <v>480.1238090929889</v>
      </c>
      <c r="W170" s="63">
        <f>W165-W141+W168-W169</f>
        <v>473.9007782929815</v>
      </c>
      <c r="X170" s="63">
        <f>X165-X141+X168-X169</f>
        <v>467.43768052858917</v>
      </c>
      <c r="Y170" s="63">
        <f>Y165-Y141+Y168-Y169</f>
        <v>460.7159646486751</v>
      </c>
      <c r="Z170" s="63">
        <f>Z165-Z141+Z168-Z169</f>
        <v>453.71877106571236</v>
      </c>
      <c r="AA170" s="63">
        <f>AA165-AA141+AA168-AA169</f>
        <v>446.42996868549784</v>
      </c>
      <c r="AB170" s="63">
        <f>AB165-AB141+AB168-AB169</f>
        <v>438.833562742739</v>
      </c>
      <c r="AC170" s="63">
        <f>AC165-AC141+AC168-AC169</f>
        <v>1071.4874020234524</v>
      </c>
    </row>
    <row r="171" spans="1:29" x14ac:dyDescent="0.25">
      <c r="A171" s="33" t="s">
        <v>233</v>
      </c>
      <c r="B171" s="26" t="s">
        <v>86</v>
      </c>
      <c r="D171" s="37">
        <f>D170</f>
        <v>-1621.9214838730113</v>
      </c>
      <c r="E171" s="37">
        <f>D171+E170</f>
        <v>-1548.2437827681385</v>
      </c>
      <c r="F171" s="37">
        <f>E171+F170</f>
        <v>-1379.8504164162532</v>
      </c>
      <c r="G171" s="37">
        <f>F171+G170</f>
        <v>-1193.330086261368</v>
      </c>
      <c r="H171" s="37">
        <f>G171+H170</f>
        <v>-988.8386699908505</v>
      </c>
      <c r="I171" s="37">
        <f>H171+I170</f>
        <v>-766.5398391764368</v>
      </c>
      <c r="J171" s="37">
        <f>I171+J170</f>
        <v>-526.6054489684495</v>
      </c>
      <c r="K171" s="37">
        <f>J171+K170</f>
        <v>-269.2159472747278</v>
      </c>
      <c r="L171" s="37">
        <f>K171+L170</f>
        <v>5.4391956014973175</v>
      </c>
      <c r="M171" s="37">
        <f>L171+M170</f>
        <v>297.16103584183315</v>
      </c>
      <c r="N171" s="37">
        <f>M171+N170</f>
        <v>605.7406824369675</v>
      </c>
      <c r="O171" s="37">
        <f>N171+O170</f>
        <v>909.4177492291019</v>
      </c>
      <c r="P171" s="37">
        <f>O171+P170</f>
        <v>1103.5476427841595</v>
      </c>
      <c r="Q171" s="37">
        <f>P171+Q170</f>
        <v>1308.995138234867</v>
      </c>
      <c r="R171" s="37">
        <f>Q171+R170</f>
        <v>1525.8821074036782</v>
      </c>
      <c r="S171" s="37">
        <f>R171+S170</f>
        <v>1754.1961735634432</v>
      </c>
      <c r="T171" s="37">
        <f>S171+T170</f>
        <v>2246.139033357573</v>
      </c>
      <c r="U171" s="37">
        <f>T171+U170</f>
        <v>2732.267631384358</v>
      </c>
      <c r="V171" s="37">
        <f>U171+V170</f>
        <v>3212.391440477347</v>
      </c>
      <c r="W171" s="37">
        <f>V171+W170</f>
        <v>3686.2922187703284</v>
      </c>
      <c r="X171" s="37">
        <f>W171+X170</f>
        <v>4153.729899298917</v>
      </c>
      <c r="Y171" s="37">
        <f>X171+Y170</f>
        <v>4614.445863947592</v>
      </c>
      <c r="Z171" s="37">
        <f>Y171+Z170</f>
        <v>5068.164635013305</v>
      </c>
      <c r="AA171" s="37">
        <f>Z171+AA170</f>
        <v>5514.5946036988025</v>
      </c>
      <c r="AB171" s="37">
        <f>AA171+AB170</f>
        <v>5953.428166441541</v>
      </c>
      <c r="AC171" s="37">
        <f>AB171+AC170</f>
        <v>7024.915568464994</v>
      </c>
    </row>
    <row r="172" spans="1:29" x14ac:dyDescent="0.25">
      <c r="A172" s="33" t="s">
        <v>234</v>
      </c>
      <c r="B172" s="26" t="s">
        <v>92</v>
      </c>
      <c r="E172" s="44" t="str">
        <f>IF(E171&gt;=0,E$5,"")</f>
        <v/>
      </c>
      <c r="F172" s="44" t="str">
        <f>IF(F171&gt;=0,F$5,"")</f>
        <v/>
      </c>
      <c r="G172" s="44" t="str">
        <f>IF(G171&gt;=0,G$5,"")</f>
        <v/>
      </c>
      <c r="H172" s="44" t="str">
        <f>IF(H171&gt;=0,H$5,"")</f>
        <v/>
      </c>
      <c r="I172" s="44" t="str">
        <f>IF(I171&gt;=0,I$5,"")</f>
        <v/>
      </c>
      <c r="J172" s="44" t="str">
        <f>IF(J171&gt;=0,J$5,"")</f>
        <v/>
      </c>
      <c r="K172" s="44" t="str">
        <f>IF(K171&gt;=0,K$5,"")</f>
        <v/>
      </c>
      <c r="L172" s="44">
        <f>IF(L171&gt;=0,L$5,"")</f>
        <v>8</v>
      </c>
      <c r="M172" s="44">
        <f>IF(M171&gt;=0,M$5,"")</f>
        <v>9</v>
      </c>
      <c r="N172" s="44">
        <f>IF(N171&gt;=0,N$5,"")</f>
        <v>10</v>
      </c>
      <c r="O172" s="44">
        <f>IF(O171&gt;=0,O$5,"")</f>
        <v>11</v>
      </c>
      <c r="P172" s="44">
        <f>IF(P171&gt;=0,P$5,"")</f>
        <v>12</v>
      </c>
      <c r="Q172" s="44">
        <f>IF(Q171&gt;=0,Q$5,"")</f>
        <v>13</v>
      </c>
      <c r="R172" s="44">
        <f>IF(R171&gt;=0,R$5,"")</f>
        <v>14</v>
      </c>
      <c r="S172" s="44">
        <f>IF(S171&gt;=0,S$5,"")</f>
        <v>15</v>
      </c>
      <c r="T172" s="44">
        <f>IF(T171&gt;=0,T$5,"")</f>
        <v>16</v>
      </c>
      <c r="U172" s="44">
        <f>IF(U171&gt;=0,U$5,"")</f>
        <v>17</v>
      </c>
      <c r="V172" s="44">
        <f>IF(V171&gt;=0,V$5,"")</f>
        <v>18</v>
      </c>
      <c r="W172" s="44">
        <f>IF(W171&gt;=0,W$5,"")</f>
        <v>19</v>
      </c>
      <c r="X172" s="44">
        <f>IF(X171&gt;=0,X$5,"")</f>
        <v>20</v>
      </c>
      <c r="Y172" s="44">
        <f>IF(Y171&gt;=0,Y$5,"")</f>
        <v>21</v>
      </c>
      <c r="Z172" s="44">
        <f>IF(Z171&gt;=0,Z$5,"")</f>
        <v>22</v>
      </c>
      <c r="AA172" s="44">
        <f>IF(AA171&gt;=0,AA$5,"")</f>
        <v>23</v>
      </c>
      <c r="AB172" s="44">
        <f>IF(AB171&gt;=0,AB$5,"")</f>
        <v>24</v>
      </c>
      <c r="AC172" s="44">
        <f>IF(AC171&gt;=0,AC$5,"")</f>
        <v>25</v>
      </c>
    </row>
    <row r="173" spans="1:29" x14ac:dyDescent="0.25">
      <c r="A173" s="33" t="s">
        <v>235</v>
      </c>
      <c r="B173" s="26" t="s">
        <v>86</v>
      </c>
      <c r="C173" s="57">
        <f>SUM(E173:AC173)</f>
        <v>3376.550805584845</v>
      </c>
      <c r="E173" s="37">
        <f>MAX(0,(E124-E146)*$C$69)</f>
        <v>0</v>
      </c>
      <c r="F173" s="37">
        <f>MAX(0,(F124-F146)*$C$69)</f>
        <v>0</v>
      </c>
      <c r="G173" s="37">
        <f>MAX(0,(G124-G146)*$C$69)</f>
        <v>0</v>
      </c>
      <c r="H173" s="37">
        <f>MAX(0,(H124-H146)*$C$69)</f>
        <v>67.46254419751905</v>
      </c>
      <c r="I173" s="37">
        <f>MAX(0,(I124-I146)*$C$69)</f>
        <v>112.64939188125705</v>
      </c>
      <c r="J173" s="37">
        <f>MAX(0,(J124-J146)*$C$69)</f>
        <v>139.22496427649443</v>
      </c>
      <c r="K173" s="37">
        <f>MAX(0,(K124-K146)*$C$69)</f>
        <v>154.61430632503004</v>
      </c>
      <c r="L173" s="37">
        <f>MAX(0,(L124-L146)*$C$69)</f>
        <v>163.2714717332632</v>
      </c>
      <c r="M173" s="37">
        <f>MAX(0,(M124-M146)*$C$69)</f>
        <v>167.86787080341944</v>
      </c>
      <c r="N173" s="37">
        <f>MAX(0,(N124-N146)*$C$69)</f>
        <v>170.00527669913927</v>
      </c>
      <c r="O173" s="37">
        <f>MAX(0,(O124-O146)*$C$69)</f>
        <v>170.64362665002758</v>
      </c>
      <c r="P173" s="37">
        <f>MAX(0,(P124-P146)*$C$69)</f>
        <v>170.35769999183873</v>
      </c>
      <c r="Q173" s="37">
        <f>MAX(0,(Q124-Q146)*$C$69)</f>
        <v>169.49112217391638</v>
      </c>
      <c r="R173" s="37">
        <f>MAX(0,(R124-R146)*$C$69)</f>
        <v>168.24876420615254</v>
      </c>
      <c r="S173" s="37">
        <f>MAX(0,(S124-S146)*$C$69)</f>
        <v>166.75217922178217</v>
      </c>
      <c r="T173" s="37">
        <f>MAX(0,(T124-T146)*$C$69)</f>
        <v>165.0728611544112</v>
      </c>
      <c r="U173" s="37">
        <f>MAX(0,(U124-U146)*$C$69)</f>
        <v>163.25219652055142</v>
      </c>
      <c r="V173" s="37">
        <f>MAX(0,(V124-V146)*$C$69)</f>
        <v>161.31343189427548</v>
      </c>
      <c r="W173" s="37">
        <f>MAX(0,(W124-W146)*$C$69)</f>
        <v>159.26885061740066</v>
      </c>
      <c r="X173" s="37">
        <f>MAX(0,(X124-X146)*$C$69)</f>
        <v>157.12407486226016</v>
      </c>
      <c r="Y173" s="37">
        <f>MAX(0,(Y124-Y146)*$C$69)</f>
        <v>154.8806427078584</v>
      </c>
      <c r="Z173" s="37">
        <f>MAX(0,(Z124-Z146)*$C$69)</f>
        <v>152.53755001598293</v>
      </c>
      <c r="AA173" s="37">
        <f>MAX(0,(AA124-AA146)*$C$69)</f>
        <v>150.0921709688104</v>
      </c>
      <c r="AB173" s="37">
        <f>MAX(0,(AB124-AB146)*$C$69)</f>
        <v>147.54080557400627</v>
      </c>
      <c r="AC173" s="37">
        <f>MAX(0,(AC124-AC146)*$C$69)</f>
        <v>144.87900310944713</v>
      </c>
    </row>
    <row r="174" spans="1:29" x14ac:dyDescent="0.25">
      <c r="A174" s="61" t="s">
        <v>236</v>
      </c>
      <c r="B174" s="62" t="s">
        <v>86</v>
      </c>
      <c r="C174" s="63">
        <f>SUM(E174:AC174)</f>
        <v>13974.796936398172</v>
      </c>
      <c r="D174" s="63">
        <f>-$C$84</f>
        <v>-5406.4049462433695</v>
      </c>
      <c r="E174" s="63">
        <f>E124-E173-E164-E128+E168</f>
        <v>666.5801102095622</v>
      </c>
      <c r="F174" s="63">
        <f>F124-F173-F164-F128+F168</f>
        <v>738.5888746823526</v>
      </c>
      <c r="G174" s="63">
        <f>G124-G173-G164-G128+G168</f>
        <v>734.0089377111303</v>
      </c>
      <c r="H174" s="63">
        <f>H124-H173-H164-H128+H168</f>
        <v>661.8105788550215</v>
      </c>
      <c r="I174" s="63">
        <f>I124-I173-I164-I128+I168</f>
        <v>611.7242449409574</v>
      </c>
      <c r="J174" s="63">
        <f>J124-J173-J164-J128+J168</f>
        <v>580.0773311650714</v>
      </c>
      <c r="K174" s="63">
        <f>K124-K173-K164-K128+K168</f>
        <v>559.4361998280482</v>
      </c>
      <c r="L174" s="63">
        <f>L124-L173-L164-L128+L168</f>
        <v>545.3377748280963</v>
      </c>
      <c r="M174" s="63">
        <f>M124-M173-M164-M128+M168</f>
        <v>535.1011723478285</v>
      </c>
      <c r="N174" s="63">
        <f>N124-N173-N164-N128+N168</f>
        <v>527.1146720326851</v>
      </c>
      <c r="O174" s="63">
        <f>O124-O173-O164-O128+O168</f>
        <v>520.4078921025956</v>
      </c>
      <c r="P174" s="63">
        <f>P124-P173-P164-P128+P168</f>
        <v>514.3950864438166</v>
      </c>
      <c r="Q174" s="63">
        <f>Q124-Q173-Q164-Q128+Q168</f>
        <v>508.7211144901161</v>
      </c>
      <c r="R174" s="63">
        <f>R124-R173-R164-R128+R168</f>
        <v>503.1690143588692</v>
      </c>
      <c r="S174" s="63">
        <f>S124-S173-S164-S128+S168</f>
        <v>497.60453750047196</v>
      </c>
      <c r="T174" s="63">
        <f>T124-T173-T164-T128+T168</f>
        <v>491.94285979413024</v>
      </c>
      <c r="U174" s="63">
        <f>U124-U173-U164-U128+U168</f>
        <v>486.1285980267847</v>
      </c>
      <c r="V174" s="63">
        <f>V124-V173-V164-V128+V168</f>
        <v>480.1238090929889</v>
      </c>
      <c r="W174" s="63">
        <f>W124-W173-W164-W128+W168</f>
        <v>473.9007782929815</v>
      </c>
      <c r="X174" s="63">
        <f>X124-X173-X164-X128+X168</f>
        <v>467.43768052858917</v>
      </c>
      <c r="Y174" s="63">
        <f>Y124-Y173-Y164-Y128+Y168</f>
        <v>460.7159646486751</v>
      </c>
      <c r="Z174" s="63">
        <f>Z124-Z173-Z164-Z128+Z168</f>
        <v>453.71877106571236</v>
      </c>
      <c r="AA174" s="63">
        <f>AA124-AA173-AA164-AA128+AA168</f>
        <v>446.42996868549784</v>
      </c>
      <c r="AB174" s="63">
        <f>AB124-AB173-AB164-AB128+AB168</f>
        <v>438.833562742739</v>
      </c>
      <c r="AC174" s="63">
        <f>AC124-AC173-AC164-AC128+AC168</f>
        <v>1071.4874020234524</v>
      </c>
    </row>
    <row r="176" ht="20" customHeight="1" spans="1:29" x14ac:dyDescent="0.25">
      <c r="A176" s="21" t="s">
        <v>237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x14ac:dyDescent="0.25">
      <c r="A177" s="33" t="s">
        <v>238</v>
      </c>
      <c r="B177" s="26" t="s">
        <v>86</v>
      </c>
      <c r="C177" s="57">
        <f>SUM(E177:AC177)</f>
        <v>3892.3175927454695</v>
      </c>
      <c r="E177" s="37">
        <f>E123+E128</f>
        <v>74.82884741505818</v>
      </c>
      <c r="F177" s="37">
        <f>F123+F128</f>
        <v>105.79862820648255</v>
      </c>
      <c r="G177" s="37">
        <f>G123+G128</f>
        <v>108.9161819538366</v>
      </c>
      <c r="H177" s="37">
        <f>H123+H128</f>
        <v>112.18961338855836</v>
      </c>
      <c r="I177" s="37">
        <f>I123+I128</f>
        <v>115.6267163950162</v>
      </c>
      <c r="J177" s="37">
        <f>J123+J128</f>
        <v>119.23567455179693</v>
      </c>
      <c r="K177" s="37">
        <f>K123+K128</f>
        <v>123.0250806164167</v>
      </c>
      <c r="L177" s="37">
        <f>L123+L128</f>
        <v>127.00395698426746</v>
      </c>
      <c r="M177" s="37">
        <f>M123+M128</f>
        <v>131.18177717051077</v>
      </c>
      <c r="N177" s="37">
        <f>N123+N128</f>
        <v>135.56848836606622</v>
      </c>
      <c r="O177" s="37">
        <f>O123+O128</f>
        <v>140.17453512139946</v>
      </c>
      <c r="P177" s="37">
        <f>P123+P128</f>
        <v>145.01088421449936</v>
      </c>
      <c r="Q177" s="37">
        <f>Q123+Q128</f>
        <v>150.08905076225426</v>
      </c>
      <c r="R177" s="37">
        <f>R123+R128</f>
        <v>155.42112563739687</v>
      </c>
      <c r="S177" s="37">
        <f>S123+S128</f>
        <v>161.01980425629665</v>
      </c>
      <c r="T177" s="37">
        <f>T123+T128</f>
        <v>166.89841680614143</v>
      </c>
      <c r="U177" s="37">
        <f>U123+U128</f>
        <v>173.07095998347842</v>
      </c>
      <c r="V177" s="37">
        <f>V123+V128</f>
        <v>179.55213031968225</v>
      </c>
      <c r="W177" s="37">
        <f>W123+W128</f>
        <v>186.3573591726963</v>
      </c>
      <c r="X177" s="37">
        <f>X123+X128</f>
        <v>193.50284946836103</v>
      </c>
      <c r="Y177" s="37">
        <f>Y123+Y128</f>
        <v>201.005614278809</v>
      </c>
      <c r="Z177" s="37">
        <f>Z123+Z128</f>
        <v>208.8835173297794</v>
      </c>
      <c r="AA177" s="37">
        <f>AA123+AA128</f>
        <v>217.15531553329834</v>
      </c>
      <c r="AB177" s="37">
        <f>AB123+AB128</f>
        <v>225.84070364699312</v>
      </c>
      <c r="AC177" s="37">
        <f>AC123+AC128</f>
        <v>234.9603611663727</v>
      </c>
    </row>
    <row r="178" spans="1:29" x14ac:dyDescent="0.25">
      <c r="A178" s="33" t="s">
        <v>239</v>
      </c>
      <c r="B178" s="26" t="s">
        <v>86</v>
      </c>
      <c r="C178" s="57">
        <f>SUM(E178:AC178)</f>
        <v>1185.366355832108</v>
      </c>
      <c r="E178" s="37">
        <f>E177*E107</f>
        <v>68.02622492278016</v>
      </c>
      <c r="F178" s="37">
        <f>F177*F107</f>
        <v>87.43688281527483</v>
      </c>
      <c r="G178" s="37">
        <f>G177*G107</f>
        <v>81.83033955960674</v>
      </c>
      <c r="H178" s="37">
        <f>H177*H107</f>
        <v>76.62701549659062</v>
      </c>
      <c r="I178" s="37">
        <f>I177*I107</f>
        <v>71.79509372497914</v>
      </c>
      <c r="J178" s="37">
        <f>J177*J107</f>
        <v>67.30542981686597</v>
      </c>
      <c r="K178" s="37">
        <f>K177*K107</f>
        <v>63.131318864301356</v>
      </c>
      <c r="L178" s="37">
        <f>L177*L107</f>
        <v>59.248283249000245</v>
      </c>
      <c r="M178" s="37">
        <f>M177*M107</f>
        <v>55.633879271883586</v>
      </c>
      <c r="N178" s="37">
        <f>N177*N107</f>
        <v>52.26752094764233</v>
      </c>
      <c r="O178" s="37">
        <f>O177*O107</f>
        <v>49.13031942269066</v>
      </c>
      <c r="P178" s="37">
        <f>P177*P107</f>
        <v>46.20493661416776</v>
      </c>
      <c r="Q178" s="37">
        <f>Q177*Q107</f>
        <v>43.47545179431661</v>
      </c>
      <c r="R178" s="37">
        <f>R177*R107</f>
        <v>40.92723995975852</v>
      </c>
      <c r="S178" s="37">
        <f>S177*S107</f>
        <v>38.546860929936386</v>
      </c>
      <c r="T178" s="37">
        <f>T177*T107</f>
        <v>36.321958214264555</v>
      </c>
      <c r="U178" s="37">
        <f>U177*U107</f>
        <v>34.241166774159794</v>
      </c>
      <c r="V178" s="37">
        <f>V177*V107</f>
        <v>32.29402888491947</v>
      </c>
      <c r="W178" s="37">
        <f>W177*W107</f>
        <v>30.47091737407077</v>
      </c>
      <c r="X178" s="37">
        <f>X177*X107</f>
        <v>28.76296557798688</v>
      </c>
      <c r="Y178" s="37">
        <f>Y177*Y107</f>
        <v>27.16200341783976</v>
      </c>
      <c r="Z178" s="37">
        <f>Z177*Z107</f>
        <v>25.66049904986979</v>
      </c>
      <c r="AA178" s="37">
        <f>AA177*AA107</f>
        <v>24.251505593987293</v>
      </c>
      <c r="AB178" s="37">
        <f>AB177*AB107</f>
        <v>22.92861248932071</v>
      </c>
      <c r="AC178" s="37">
        <f>AC177*AC107</f>
        <v>21.68590106589384</v>
      </c>
    </row>
    <row r="179" spans="1:29" x14ac:dyDescent="0.25">
      <c r="A179" s="33" t="s">
        <v>240</v>
      </c>
      <c r="B179" s="26" t="s">
        <v>182</v>
      </c>
      <c r="C179" s="58">
        <f>SUM(E179:AC179)</f>
        <v>13130.092887712468</v>
      </c>
      <c r="E179" s="59">
        <f>E96*E107</f>
        <v>1326.734536587897</v>
      </c>
      <c r="F179" s="59">
        <f>F96*F107</f>
        <v>1204.6938105105999</v>
      </c>
      <c r="G179" s="59">
        <f>G96*G107</f>
        <v>1093.877559120184</v>
      </c>
      <c r="H179" s="59">
        <f>H96*H107</f>
        <v>993.2535698791777</v>
      </c>
      <c r="I179" s="59">
        <f>I96*I107</f>
        <v>901.8845410033116</v>
      </c>
      <c r="J179" s="59">
        <f>J96*J107</f>
        <v>818.9193556430644</v>
      </c>
      <c r="K179" s="59">
        <f>K96*K107</f>
        <v>743.5851581912643</v>
      </c>
      <c r="L179" s="59">
        <f>L96*L107</f>
        <v>675.180158989849</v>
      </c>
      <c r="M179" s="59">
        <f>M96*M107</f>
        <v>613.0671004846308</v>
      </c>
      <c r="N179" s="59">
        <f>N96*N107</f>
        <v>556.6673240300322</v>
      </c>
      <c r="O179" s="59">
        <f>O96*O107</f>
        <v>505.4553821334215</v>
      </c>
      <c r="P179" s="59">
        <f>P96*P107</f>
        <v>458.9541460028885</v>
      </c>
      <c r="Q179" s="59">
        <f>Q96*Q107</f>
        <v>416.7303628701926</v>
      </c>
      <c r="R179" s="59">
        <f>R96*R107</f>
        <v>378.39062174507063</v>
      </c>
      <c r="S179" s="59">
        <f>S96*S107</f>
        <v>343.57769005699396</v>
      </c>
      <c r="T179" s="59">
        <f>T96*T107</f>
        <v>311.96718709117033</v>
      </c>
      <c r="U179" s="59">
        <f>U96*U107</f>
        <v>283.2645632591576</v>
      </c>
      <c r="V179" s="59">
        <f>V96*V107</f>
        <v>257.2023570900632</v>
      </c>
      <c r="W179" s="59">
        <f>W96*W107</f>
        <v>233.53770441238126</v>
      </c>
      <c r="X179" s="59">
        <f>X96*X107</f>
        <v>212.05007654312035</v>
      </c>
      <c r="Y179" s="59">
        <f>Y96*Y107</f>
        <v>192.5392264318046</v>
      </c>
      <c r="Z179" s="59">
        <f>Z96*Z107</f>
        <v>174.8233236420246</v>
      </c>
      <c r="AA179" s="59">
        <f>AA96*AA107</f>
        <v>158.7372608104541</v>
      </c>
      <c r="AB179" s="59">
        <f>AB96*AB107</f>
        <v>144.13111581898715</v>
      </c>
      <c r="AC179" s="59">
        <f>AC96*AC107</f>
        <v>130.86875536472533</v>
      </c>
    </row>
    <row r="180" spans="1:29" x14ac:dyDescent="0.25">
      <c r="A180" s="33" t="s">
        <v>241</v>
      </c>
      <c r="B180" s="26" t="s">
        <v>86</v>
      </c>
      <c r="C180" s="57">
        <f>SUM(E180:AC180)</f>
        <v>8574.44282531813</v>
      </c>
      <c r="E180" s="37">
        <f>E111*E107</f>
        <v>866.4073838345713</v>
      </c>
      <c r="F180" s="37">
        <f>F111*F107</f>
        <v>786.7102151199937</v>
      </c>
      <c r="G180" s="37">
        <f>G111*G107</f>
        <v>714.3430491152187</v>
      </c>
      <c r="H180" s="37">
        <f>H111*H107</f>
        <v>648.6318123417253</v>
      </c>
      <c r="I180" s="37">
        <f>I111*I107</f>
        <v>588.9644116004769</v>
      </c>
      <c r="J180" s="37">
        <f>J111*J107</f>
        <v>534.7850356853918</v>
      </c>
      <c r="K180" s="37">
        <f>K111*K107</f>
        <v>485.58898091519404</v>
      </c>
      <c r="L180" s="37">
        <f>L111*L107</f>
        <v>440.91795233721916</v>
      </c>
      <c r="M180" s="37">
        <f>M111*M107</f>
        <v>400.3557968815603</v>
      </c>
      <c r="N180" s="37">
        <f>N111*N107</f>
        <v>363.52462876216003</v>
      </c>
      <c r="O180" s="37">
        <f>O111*O107</f>
        <v>330.08131107040646</v>
      </c>
      <c r="P180" s="37">
        <f>P111*P107</f>
        <v>299.7142608204414</v>
      </c>
      <c r="Q180" s="37">
        <f>Q111*Q107</f>
        <v>272.1405477145162</v>
      </c>
      <c r="R180" s="37">
        <f>R111*R107</f>
        <v>247.10325962933416</v>
      </c>
      <c r="S180" s="37">
        <f>S111*S107</f>
        <v>224.36911030580077</v>
      </c>
      <c r="T180" s="37">
        <f>T111*T107</f>
        <v>203.72626697803926</v>
      </c>
      <c r="U180" s="37">
        <f>U111*U107</f>
        <v>184.98237772387236</v>
      </c>
      <c r="V180" s="37">
        <f>V111*V107</f>
        <v>167.96278017725618</v>
      </c>
      <c r="W180" s="37">
        <f>W111*W107</f>
        <v>152.5088749306539</v>
      </c>
      <c r="X180" s="37">
        <f>X111*X107</f>
        <v>138.47664848775406</v>
      </c>
      <c r="Y180" s="37">
        <f>Y111*Y107</f>
        <v>125.73533201851657</v>
      </c>
      <c r="Z180" s="37">
        <f>Z111*Z107</f>
        <v>114.16618343221687</v>
      </c>
      <c r="AA180" s="37">
        <f>AA111*AA107</f>
        <v>103.66138143170289</v>
      </c>
      <c r="AB180" s="37">
        <f>AB111*AB107</f>
        <v>94.12302125415661</v>
      </c>
      <c r="AC180" s="37">
        <f>AC111*AC107</f>
        <v>85.46220274995179</v>
      </c>
    </row>
    <row r="182" ht="20" customHeight="1" spans="1:29" x14ac:dyDescent="0.25">
      <c r="A182" s="21" t="s">
        <v>242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3" x14ac:dyDescent="0.25">
      <c r="A183" s="25" t="s">
        <v>7</v>
      </c>
      <c r="B183" s="26" t="s">
        <v>83</v>
      </c>
      <c r="C183" s="65">
        <f>IFERROR(IRR(D170:AC170),"n/a")</f>
        <v>0.1400000000002308</v>
      </c>
    </row>
    <row r="184" spans="1:3" x14ac:dyDescent="0.25">
      <c r="A184" s="33" t="s">
        <v>9</v>
      </c>
      <c r="B184" s="26" t="s">
        <v>83</v>
      </c>
      <c r="C184" s="32">
        <f>IFERROR(IRR(D174:AC174),"n/a")</f>
        <v>0.09962017714217722</v>
      </c>
    </row>
    <row r="185" spans="1:3" x14ac:dyDescent="0.25">
      <c r="A185" s="33" t="s">
        <v>85</v>
      </c>
      <c r="B185" s="26" t="s">
        <v>86</v>
      </c>
      <c r="C185" s="37">
        <f>D170+NPV($C$66,E170:AC170)</f>
        <v>-4.121147867408581e-13</v>
      </c>
    </row>
    <row r="186" spans="1:3" x14ac:dyDescent="0.25">
      <c r="A186" s="33" t="s">
        <v>87</v>
      </c>
      <c r="B186" s="26" t="s">
        <v>86</v>
      </c>
      <c r="C186" s="37">
        <f>D174+NPV($C$67,E174:AC174)</f>
        <v>-14.464161624841793</v>
      </c>
    </row>
    <row r="187" spans="1:3" x14ac:dyDescent="0.25">
      <c r="A187" s="33" t="s">
        <v>11</v>
      </c>
      <c r="B187" s="26" t="s">
        <v>88</v>
      </c>
      <c r="C187" s="40">
        <f>IF(COUNT(E167:AC167)=0,"",MIN(E167:AC167))</f>
        <v>1.124266152360773</v>
      </c>
    </row>
    <row r="188" spans="1:3" x14ac:dyDescent="0.25">
      <c r="A188" s="33" t="s">
        <v>12</v>
      </c>
      <c r="B188" s="26" t="s">
        <v>88</v>
      </c>
      <c r="C188" s="40">
        <f>IF(COUNT(E167:AC167)=0,"",AVERAGE(E167:AC167))</f>
        <v>1.5592739205330317</v>
      </c>
    </row>
    <row r="189" spans="1:3" x14ac:dyDescent="0.25">
      <c r="A189" s="33" t="s">
        <v>243</v>
      </c>
      <c r="B189" s="26" t="s">
        <v>82</v>
      </c>
      <c r="C189" s="29">
        <f>IF(C179&gt;0,($C$84+C178)*10/C179,"")</f>
        <v>5.020353898824474</v>
      </c>
    </row>
    <row r="190" spans="1:3" x14ac:dyDescent="0.25">
      <c r="A190" s="33" t="s">
        <v>90</v>
      </c>
      <c r="B190" s="26" t="s">
        <v>82</v>
      </c>
      <c r="C190" s="29">
        <f>IF(C179&gt;0,C180*10/C179,"")</f>
        <v>6.530374840944461</v>
      </c>
    </row>
    <row r="191" spans="1:3" x14ac:dyDescent="0.25">
      <c r="A191" s="33" t="s">
        <v>91</v>
      </c>
      <c r="B191" s="26" t="s">
        <v>92</v>
      </c>
      <c r="C191" s="44">
        <f>IF(COUNT(E172:AC172)=0,"beyond the term",MIN(E172:AC172))</f>
        <v>8</v>
      </c>
    </row>
    <row r="193" ht="20" customHeight="1" spans="1:29" x14ac:dyDescent="0.25">
      <c r="A193" s="21" t="s">
        <v>244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3" x14ac:dyDescent="0.25">
      <c r="A194" s="33" t="s">
        <v>245</v>
      </c>
      <c r="C194" s="66" t="str">
        <f>IF(ABS($C$85+$C$86-$C$84)&lt;0.001,"OK","CHECK")</f>
        <v>OK</v>
      </c>
    </row>
    <row r="195" spans="1:3" x14ac:dyDescent="0.25">
      <c r="A195" s="33" t="s">
        <v>246</v>
      </c>
      <c r="C195" s="66" t="str">
        <f>IF(ABS(INDEX(E140:AC140,1,$C$88))&lt;0.01,"OK","CHECK")</f>
        <v>OK</v>
      </c>
    </row>
    <row r="196" spans="1:3" x14ac:dyDescent="0.25">
      <c r="A196" s="33" t="s">
        <v>247</v>
      </c>
      <c r="C196" s="66" t="str">
        <f>IF(ABS(C115-C123-C124)&lt;0.01,"OK","CHECK")</f>
        <v>OK</v>
      </c>
    </row>
    <row r="197" spans="1:3" x14ac:dyDescent="0.25">
      <c r="A197" s="33" t="s">
        <v>248</v>
      </c>
      <c r="C197" s="66" t="str">
        <f>IF(MIN(E158:AC158)&gt;=-1E-9,"OK","CHECK")</f>
        <v>OK</v>
      </c>
    </row>
    <row r="198" spans="1:3" x14ac:dyDescent="0.25">
      <c r="A198" s="33" t="s">
        <v>249</v>
      </c>
      <c r="C198" s="66" t="str">
        <f>IF(ISNUMBER($C$10),IF($C$10&gt;=$C$66-1E-5,"OK","Below target"),"No IRR")</f>
        <v>OK</v>
      </c>
    </row>
    <row r="199" spans="1:3" x14ac:dyDescent="0.25">
      <c r="A199" s="33" t="s">
        <v>250</v>
      </c>
      <c r="C199" s="66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4:C199">
    <cfRule type="expression" dxfId="2" priority="3">
      <formula>C194="OK"</formula>
    </cfRule>
    <cfRule type="expression" dxfId="3" priority="4">
      <formula>C194&lt;&gt;"OK"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7">
      <formula1>"annual,oneTime,none"</formula1>
    </dataValidation>
    <dataValidation type="list" showErrorMessage="1" errorTitle="Choose from the list" error="One of: annuity, equal" sqref="C65">
      <formula1>"annuity,equal"</formula1>
    </dataValidation>
    <dataValidation type="list" showErrorMessage="1" errorTitle="Choose from the list" error="One of: wdv, slm" sqref="C70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7" customFormat="1" x14ac:dyDescent="0.25">
      <c r="A1" s="67" t="s">
        <v>251</v>
      </c>
      <c r="B1" s="67" t="s">
        <v>252</v>
      </c>
      <c r="C1" s="67" t="s">
        <v>253</v>
      </c>
      <c r="D1" s="67" t="s">
        <v>254</v>
      </c>
      <c r="E1" s="67" t="s">
        <v>255</v>
      </c>
      <c r="F1" s="67" t="s">
        <v>256</v>
      </c>
    </row>
    <row r="2" spans="1:6" s="68" customFormat="1" x14ac:dyDescent="0.25">
      <c r="A2" s="68" t="s">
        <v>257</v>
      </c>
      <c r="B2" s="68" t="s">
        <v>258</v>
      </c>
      <c r="C2" s="68">
        <v>1</v>
      </c>
      <c r="D2" s="68" t="s">
        <v>259</v>
      </c>
      <c r="E2" s="68" t="s">
        <v>260</v>
      </c>
      <c r="F2" s="69" t="s">
        <v>261</v>
      </c>
    </row>
    <row r="3" spans="1:6" s="68" customFormat="1" x14ac:dyDescent="0.25">
      <c r="A3" s="68" t="s">
        <v>262</v>
      </c>
      <c r="B3" s="68" t="s">
        <v>263</v>
      </c>
      <c r="C3" s="68">
        <v>2</v>
      </c>
      <c r="D3" s="68" t="s">
        <v>264</v>
      </c>
      <c r="E3" s="68" t="s">
        <v>265</v>
      </c>
      <c r="F3" s="70" t="s">
        <v>266</v>
      </c>
    </row>
    <row r="4" spans="1:6" s="68" customFormat="1" x14ac:dyDescent="0.25">
      <c r="A4" s="68" t="s">
        <v>267</v>
      </c>
      <c r="B4" s="68" t="s">
        <v>268</v>
      </c>
      <c r="C4" s="68">
        <v>2</v>
      </c>
      <c r="D4" s="68" t="s">
        <v>269</v>
      </c>
      <c r="E4" s="68" t="s">
        <v>270</v>
      </c>
      <c r="F4" s="70" t="s">
        <v>266</v>
      </c>
    </row>
    <row r="5" spans="1:6" s="68" customFormat="1" x14ac:dyDescent="0.25">
      <c r="A5" s="68" t="s">
        <v>271</v>
      </c>
      <c r="B5" s="68" t="s">
        <v>272</v>
      </c>
      <c r="C5" s="68">
        <v>2</v>
      </c>
      <c r="D5" s="68" t="s">
        <v>273</v>
      </c>
      <c r="E5" s="68" t="s">
        <v>274</v>
      </c>
      <c r="F5" s="69" t="s">
        <v>261</v>
      </c>
    </row>
    <row r="6" spans="1:6" s="68" customFormat="1" x14ac:dyDescent="0.25">
      <c r="A6" s="68" t="s">
        <v>275</v>
      </c>
      <c r="B6" s="68" t="s">
        <v>276</v>
      </c>
      <c r="C6" s="68">
        <v>2</v>
      </c>
      <c r="D6" s="68" t="s">
        <v>277</v>
      </c>
      <c r="E6" s="68" t="s">
        <v>278</v>
      </c>
      <c r="F6" s="69" t="s">
        <v>261</v>
      </c>
    </row>
    <row r="7" spans="1:6" s="68" customFormat="1" x14ac:dyDescent="0.25">
      <c r="A7" s="68" t="s">
        <v>279</v>
      </c>
      <c r="B7" s="68" t="s">
        <v>280</v>
      </c>
      <c r="C7" s="68">
        <v>19</v>
      </c>
      <c r="D7" s="68" t="s">
        <v>281</v>
      </c>
      <c r="E7" s="68" t="s">
        <v>282</v>
      </c>
      <c r="F7" s="69" t="s">
        <v>261</v>
      </c>
    </row>
    <row r="8" spans="1:6" s="68" customFormat="1" x14ac:dyDescent="0.25">
      <c r="A8" s="68" t="s">
        <v>60</v>
      </c>
      <c r="B8" s="68" t="s">
        <v>61</v>
      </c>
      <c r="C8" s="68">
        <v>34</v>
      </c>
      <c r="D8" s="68" t="s">
        <v>283</v>
      </c>
      <c r="E8" s="68" t="s">
        <v>284</v>
      </c>
      <c r="F8" s="69" t="s">
        <v>261</v>
      </c>
    </row>
    <row r="9" spans="1:6" s="68" customFormat="1" x14ac:dyDescent="0.25">
      <c r="A9" s="68" t="s">
        <v>64</v>
      </c>
      <c r="B9" s="68" t="s">
        <v>58</v>
      </c>
      <c r="C9" s="68">
        <v>60</v>
      </c>
      <c r="D9" s="68" t="s">
        <v>285</v>
      </c>
      <c r="E9" s="68" t="s">
        <v>286</v>
      </c>
      <c r="F9" s="70" t="s">
        <v>287</v>
      </c>
    </row>
    <row r="10" spans="1:6" s="68" customFormat="1" x14ac:dyDescent="0.25">
      <c r="A10" s="68" t="s">
        <v>62</v>
      </c>
      <c r="B10" s="68" t="s">
        <v>63</v>
      </c>
      <c r="C10" s="68">
        <v>2</v>
      </c>
      <c r="D10" s="68" t="s">
        <v>288</v>
      </c>
      <c r="E10" s="68" t="s">
        <v>289</v>
      </c>
      <c r="F10" s="70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7" customFormat="1" x14ac:dyDescent="0.25">
      <c r="A1" s="67" t="s">
        <v>290</v>
      </c>
      <c r="B1" s="67" t="s">
        <v>69</v>
      </c>
      <c r="C1" s="67" t="s">
        <v>291</v>
      </c>
      <c r="D1" s="67" t="s">
        <v>74</v>
      </c>
      <c r="E1" s="67" t="s">
        <v>292</v>
      </c>
    </row>
    <row r="2" spans="1:5" x14ac:dyDescent="0.25">
      <c r="A2" t="s">
        <v>293</v>
      </c>
      <c r="B2" t="s">
        <v>257</v>
      </c>
      <c r="C2" s="71">
        <v>200</v>
      </c>
      <c r="D2" t="s">
        <v>106</v>
      </c>
      <c r="E2" t="s">
        <v>294</v>
      </c>
    </row>
    <row r="3" spans="1:5" x14ac:dyDescent="0.25">
      <c r="A3" t="s">
        <v>293</v>
      </c>
      <c r="B3" t="s">
        <v>295</v>
      </c>
      <c r="C3" t="s">
        <v>134</v>
      </c>
      <c r="D3" t="s">
        <v>8</v>
      </c>
      <c r="E3" t="s">
        <v>294</v>
      </c>
    </row>
    <row r="4" spans="1:5" x14ac:dyDescent="0.25">
      <c r="A4" t="s">
        <v>38</v>
      </c>
      <c r="B4" t="s">
        <v>53</v>
      </c>
      <c r="C4" t="s">
        <v>296</v>
      </c>
      <c r="D4" t="s">
        <v>106</v>
      </c>
      <c r="E4" t="s">
        <v>297</v>
      </c>
    </row>
    <row r="5" spans="1:5" x14ac:dyDescent="0.25">
      <c r="A5" t="s">
        <v>38</v>
      </c>
      <c r="B5" t="s">
        <v>298</v>
      </c>
      <c r="C5" s="72">
        <v>0.25</v>
      </c>
      <c r="D5" t="s">
        <v>83</v>
      </c>
      <c r="E5" s="73" t="s">
        <v>104</v>
      </c>
    </row>
    <row r="6" spans="1:5" x14ac:dyDescent="0.25">
      <c r="A6" t="s">
        <v>38</v>
      </c>
      <c r="B6" t="s">
        <v>299</v>
      </c>
      <c r="C6" s="71">
        <v>1.4</v>
      </c>
      <c r="D6" t="s">
        <v>300</v>
      </c>
      <c r="E6" s="73" t="s">
        <v>104</v>
      </c>
    </row>
    <row r="7" spans="1:5" x14ac:dyDescent="0.25">
      <c r="A7" t="s">
        <v>38</v>
      </c>
      <c r="B7" t="s">
        <v>301</v>
      </c>
      <c r="C7" s="72">
        <v>0.005</v>
      </c>
      <c r="D7" t="s">
        <v>83</v>
      </c>
      <c r="E7" s="73" t="s">
        <v>104</v>
      </c>
    </row>
    <row r="8" spans="1:5" x14ac:dyDescent="0.25">
      <c r="A8" t="s">
        <v>38</v>
      </c>
      <c r="B8" t="s">
        <v>302</v>
      </c>
      <c r="C8" s="71">
        <v>4</v>
      </c>
      <c r="D8" t="s">
        <v>303</v>
      </c>
      <c r="E8" s="73" t="s">
        <v>104</v>
      </c>
    </row>
    <row r="9" spans="1:5" x14ac:dyDescent="0.25">
      <c r="A9" t="s">
        <v>38</v>
      </c>
      <c r="B9" t="s">
        <v>304</v>
      </c>
      <c r="C9" s="71">
        <v>4</v>
      </c>
      <c r="D9" t="s">
        <v>305</v>
      </c>
      <c r="E9" s="73" t="s">
        <v>104</v>
      </c>
    </row>
    <row r="10" spans="1:5" x14ac:dyDescent="0.25">
      <c r="A10" t="s">
        <v>40</v>
      </c>
      <c r="B10" t="s">
        <v>53</v>
      </c>
      <c r="C10" t="s">
        <v>296</v>
      </c>
      <c r="D10" t="s">
        <v>106</v>
      </c>
      <c r="E10" t="s">
        <v>297</v>
      </c>
    </row>
    <row r="11" spans="1:5" x14ac:dyDescent="0.25">
      <c r="A11" t="s">
        <v>40</v>
      </c>
      <c r="B11" t="s">
        <v>306</v>
      </c>
      <c r="C11" s="72">
        <v>0.33</v>
      </c>
      <c r="D11" t="s">
        <v>83</v>
      </c>
      <c r="E11" s="73" t="s">
        <v>104</v>
      </c>
    </row>
    <row r="12" spans="1:5" x14ac:dyDescent="0.25">
      <c r="A12" t="s">
        <v>40</v>
      </c>
      <c r="B12" t="s">
        <v>307</v>
      </c>
      <c r="C12" s="71">
        <v>6.5</v>
      </c>
      <c r="D12" t="s">
        <v>112</v>
      </c>
      <c r="E12" s="73" t="s">
        <v>104</v>
      </c>
    </row>
    <row r="13" spans="1:5" x14ac:dyDescent="0.25">
      <c r="A13" t="s">
        <v>40</v>
      </c>
      <c r="B13" t="s">
        <v>308</v>
      </c>
      <c r="C13" s="71">
        <v>9</v>
      </c>
      <c r="D13" t="s">
        <v>121</v>
      </c>
      <c r="E13" s="73" t="s">
        <v>104</v>
      </c>
    </row>
    <row r="14" spans="1:5" x14ac:dyDescent="0.25">
      <c r="A14" t="s">
        <v>42</v>
      </c>
      <c r="B14" t="s">
        <v>53</v>
      </c>
      <c r="C14" t="s">
        <v>296</v>
      </c>
      <c r="D14" t="s">
        <v>106</v>
      </c>
      <c r="E14" t="s">
        <v>297</v>
      </c>
    </row>
    <row r="15" spans="1:5" x14ac:dyDescent="0.25">
      <c r="A15" t="s">
        <v>42</v>
      </c>
      <c r="B15" t="s">
        <v>309</v>
      </c>
      <c r="C15" t="s">
        <v>310</v>
      </c>
      <c r="D15" t="s">
        <v>8</v>
      </c>
      <c r="E15" s="73" t="s">
        <v>104</v>
      </c>
    </row>
    <row r="16" spans="1:5" x14ac:dyDescent="0.25">
      <c r="A16" t="s">
        <v>42</v>
      </c>
      <c r="B16" t="s">
        <v>311</v>
      </c>
      <c r="C16" s="72">
        <v>0.87</v>
      </c>
      <c r="D16" t="s">
        <v>83</v>
      </c>
      <c r="E16" s="73" t="s">
        <v>104</v>
      </c>
    </row>
    <row r="17" spans="1:5" x14ac:dyDescent="0.25">
      <c r="A17" t="s">
        <v>42</v>
      </c>
      <c r="B17" t="s">
        <v>312</v>
      </c>
      <c r="C17" s="72">
        <v>0.05</v>
      </c>
      <c r="D17" t="s">
        <v>83</v>
      </c>
      <c r="E17" s="73" t="s">
        <v>104</v>
      </c>
    </row>
    <row r="18" spans="1:5" x14ac:dyDescent="0.25">
      <c r="A18" t="s">
        <v>42</v>
      </c>
      <c r="B18" t="s">
        <v>313</v>
      </c>
      <c r="C18" s="72">
        <v>0.95</v>
      </c>
      <c r="D18" t="s">
        <v>83</v>
      </c>
      <c r="E18" s="73" t="s">
        <v>104</v>
      </c>
    </row>
    <row r="19" spans="1:5" x14ac:dyDescent="0.25">
      <c r="A19" t="s">
        <v>42</v>
      </c>
      <c r="B19" t="s">
        <v>314</v>
      </c>
      <c r="C19" s="72">
        <v>0.02</v>
      </c>
      <c r="D19" t="s">
        <v>83</v>
      </c>
      <c r="E19" s="73" t="s">
        <v>104</v>
      </c>
    </row>
    <row r="20" spans="1:5" x14ac:dyDescent="0.25">
      <c r="A20" t="s">
        <v>42</v>
      </c>
      <c r="B20" t="s">
        <v>144</v>
      </c>
      <c r="C20" t="s">
        <v>315</v>
      </c>
      <c r="D20" t="s">
        <v>8</v>
      </c>
      <c r="E20" s="73" t="s">
        <v>104</v>
      </c>
    </row>
    <row r="21" spans="1:5" x14ac:dyDescent="0.25">
      <c r="A21" t="s">
        <v>42</v>
      </c>
      <c r="B21" t="s">
        <v>307</v>
      </c>
      <c r="C21" s="71">
        <v>1.2</v>
      </c>
      <c r="D21" t="s">
        <v>113</v>
      </c>
      <c r="E21" s="73" t="s">
        <v>104</v>
      </c>
    </row>
    <row r="22" spans="1:5" x14ac:dyDescent="0.25">
      <c r="A22" t="s">
        <v>42</v>
      </c>
      <c r="B22" t="s">
        <v>308</v>
      </c>
      <c r="C22" s="71">
        <v>1.2</v>
      </c>
      <c r="D22" t="s">
        <v>124</v>
      </c>
      <c r="E22" s="73" t="s">
        <v>104</v>
      </c>
    </row>
    <row r="23" spans="1:5" x14ac:dyDescent="0.25">
      <c r="A23" t="s">
        <v>44</v>
      </c>
      <c r="B23" t="s">
        <v>159</v>
      </c>
      <c r="C23" s="72">
        <v>0.14</v>
      </c>
      <c r="D23" t="s">
        <v>83</v>
      </c>
      <c r="E23" s="73" t="s">
        <v>104</v>
      </c>
    </row>
    <row r="24" spans="1:5" x14ac:dyDescent="0.25">
      <c r="A24" t="s">
        <v>44</v>
      </c>
      <c r="B24" t="s">
        <v>151</v>
      </c>
      <c r="C24" s="72">
        <v>0.7</v>
      </c>
      <c r="D24" t="s">
        <v>83</v>
      </c>
      <c r="E24" s="73" t="s">
        <v>104</v>
      </c>
    </row>
    <row r="25" spans="1:5" x14ac:dyDescent="0.25">
      <c r="A25" t="s">
        <v>44</v>
      </c>
      <c r="B25" t="s">
        <v>153</v>
      </c>
      <c r="C25" s="72">
        <v>0.09</v>
      </c>
      <c r="D25" t="s">
        <v>83</v>
      </c>
      <c r="E25" s="73" t="s">
        <v>104</v>
      </c>
    </row>
    <row r="26" spans="1:5" x14ac:dyDescent="0.25">
      <c r="A26" t="s">
        <v>44</v>
      </c>
      <c r="B26" t="s">
        <v>154</v>
      </c>
      <c r="C26" s="71">
        <v>15</v>
      </c>
      <c r="D26" t="s">
        <v>155</v>
      </c>
      <c r="E26" s="73" t="s">
        <v>104</v>
      </c>
    </row>
    <row r="27" spans="1:5" x14ac:dyDescent="0.25">
      <c r="A27" t="s">
        <v>44</v>
      </c>
      <c r="B27" t="s">
        <v>162</v>
      </c>
      <c r="C27" s="72">
        <v>0.2517</v>
      </c>
      <c r="D27" t="s">
        <v>83</v>
      </c>
      <c r="E27" s="73" t="s">
        <v>104</v>
      </c>
    </row>
    <row r="28" spans="1:5" x14ac:dyDescent="0.25">
      <c r="A28" t="s">
        <v>44</v>
      </c>
      <c r="B28" t="s">
        <v>125</v>
      </c>
      <c r="C28" s="72">
        <v>0.05</v>
      </c>
      <c r="D28" t="s">
        <v>83</v>
      </c>
      <c r="E28" s="73" t="s">
        <v>104</v>
      </c>
    </row>
    <row r="29" spans="1:5" x14ac:dyDescent="0.25">
      <c r="A29" t="s">
        <v>44</v>
      </c>
      <c r="B29" t="s">
        <v>126</v>
      </c>
      <c r="C29" s="72">
        <v>0.003</v>
      </c>
      <c r="D29" t="s">
        <v>83</v>
      </c>
      <c r="E29" s="73" t="s">
        <v>104</v>
      </c>
    </row>
    <row r="30" spans="1:5" x14ac:dyDescent="0.25">
      <c r="A30" t="s">
        <v>44</v>
      </c>
      <c r="B30" t="s">
        <v>102</v>
      </c>
      <c r="C30" s="72">
        <v>0</v>
      </c>
      <c r="D30" t="s">
        <v>83</v>
      </c>
      <c r="E30" s="73" t="s">
        <v>104</v>
      </c>
    </row>
    <row r="31" spans="1:5" x14ac:dyDescent="0.25">
      <c r="A31" t="s">
        <v>44</v>
      </c>
      <c r="B31" t="s">
        <v>316</v>
      </c>
      <c r="C31" s="72">
        <v>0.05</v>
      </c>
      <c r="D31" t="s">
        <v>83</v>
      </c>
      <c r="E31" s="73" t="s">
        <v>104</v>
      </c>
    </row>
    <row r="32" spans="1:5" x14ac:dyDescent="0.25">
      <c r="A32" t="s">
        <v>44</v>
      </c>
      <c r="B32" t="s">
        <v>116</v>
      </c>
      <c r="C32" s="71">
        <v>0</v>
      </c>
      <c r="D32" t="s">
        <v>86</v>
      </c>
      <c r="E32" s="73" t="s">
        <v>104</v>
      </c>
    </row>
    <row r="33" spans="1:5" x14ac:dyDescent="0.25">
      <c r="A33" t="s">
        <v>44</v>
      </c>
      <c r="B33" t="s">
        <v>156</v>
      </c>
      <c r="C33" t="s">
        <v>158</v>
      </c>
      <c r="D33" t="s">
        <v>8</v>
      </c>
      <c r="E33" t="s">
        <v>317</v>
      </c>
    </row>
    <row r="34" spans="1:5" x14ac:dyDescent="0.25">
      <c r="A34" t="s">
        <v>44</v>
      </c>
      <c r="B34" t="s">
        <v>163</v>
      </c>
      <c r="C34" t="s">
        <v>165</v>
      </c>
      <c r="D34" t="s">
        <v>8</v>
      </c>
      <c r="E34" t="s">
        <v>317</v>
      </c>
    </row>
    <row r="35" spans="1:5" x14ac:dyDescent="0.25">
      <c r="A35" t="s">
        <v>44</v>
      </c>
      <c r="B35" t="s">
        <v>166</v>
      </c>
      <c r="C35" s="72">
        <v>0.4</v>
      </c>
      <c r="D35" t="s">
        <v>83</v>
      </c>
      <c r="E35" t="s">
        <v>317</v>
      </c>
    </row>
    <row r="36" spans="1:5" x14ac:dyDescent="0.25">
      <c r="A36" t="s">
        <v>44</v>
      </c>
      <c r="B36" t="s">
        <v>167</v>
      </c>
      <c r="C36" s="71">
        <v>25</v>
      </c>
      <c r="D36" t="s">
        <v>155</v>
      </c>
      <c r="E36" t="s">
        <v>317</v>
      </c>
    </row>
    <row r="37" spans="1:5" x14ac:dyDescent="0.25">
      <c r="A37" t="s">
        <v>44</v>
      </c>
      <c r="B37" t="s">
        <v>168</v>
      </c>
      <c r="C37" s="72">
        <v>0.1</v>
      </c>
      <c r="D37" t="s">
        <v>83</v>
      </c>
      <c r="E37" t="s">
        <v>317</v>
      </c>
    </row>
    <row r="38" spans="1:5" x14ac:dyDescent="0.25">
      <c r="A38" t="s">
        <v>44</v>
      </c>
      <c r="B38" t="s">
        <v>169</v>
      </c>
      <c r="C38" s="71">
        <v>45</v>
      </c>
      <c r="D38" t="s">
        <v>170</v>
      </c>
      <c r="E38" t="s">
        <v>317</v>
      </c>
    </row>
    <row r="39" spans="1:5" x14ac:dyDescent="0.25">
      <c r="A39" t="s">
        <v>44</v>
      </c>
      <c r="B39" t="s">
        <v>318</v>
      </c>
      <c r="C39" s="72">
        <v>0.1</v>
      </c>
      <c r="D39" t="s">
        <v>83</v>
      </c>
      <c r="E39" t="s">
        <v>317</v>
      </c>
    </row>
    <row r="40" spans="1:5" x14ac:dyDescent="0.25">
      <c r="A40" t="s">
        <v>319</v>
      </c>
      <c r="B40" t="s">
        <v>320</v>
      </c>
      <c r="C40" t="s">
        <v>134</v>
      </c>
      <c r="D40" t="s">
        <v>8</v>
      </c>
      <c r="E40" s="7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7" customFormat="1" x14ac:dyDescent="0.25">
      <c r="A1" s="67" t="s">
        <v>321</v>
      </c>
      <c r="B1" s="67" t="s">
        <v>291</v>
      </c>
      <c r="C1" s="67" t="s">
        <v>322</v>
      </c>
    </row>
    <row r="2" spans="1:3" x14ac:dyDescent="0.25">
      <c r="A2" t="s">
        <v>29</v>
      </c>
      <c r="B2" s="11">
        <v>200</v>
      </c>
      <c r="C2" t="s">
        <v>30</v>
      </c>
    </row>
    <row r="3" spans="1:3" x14ac:dyDescent="0.25">
      <c r="A3" t="s">
        <v>31</v>
      </c>
      <c r="B3" s="11">
        <v>424.2244085840473</v>
      </c>
      <c r="C3" t="s">
        <v>32</v>
      </c>
    </row>
    <row r="4" spans="1:3" x14ac:dyDescent="0.25">
      <c r="A4" t="s">
        <v>33</v>
      </c>
      <c r="B4" s="11">
        <v>315.69620893894404</v>
      </c>
      <c r="C4" t="s">
        <v>32</v>
      </c>
    </row>
    <row r="5" spans="1:3" x14ac:dyDescent="0.25">
      <c r="A5" t="s">
        <v>34</v>
      </c>
      <c r="B5" s="11">
        <v>291.6737706710471</v>
      </c>
      <c r="C5" t="s">
        <v>8</v>
      </c>
    </row>
    <row r="6" spans="1:3" x14ac:dyDescent="0.25">
      <c r="A6" t="s">
        <v>35</v>
      </c>
      <c r="B6" s="11">
        <v>1166.6950826841885</v>
      </c>
      <c r="C6" t="s">
        <v>8</v>
      </c>
    </row>
    <row r="8" spans="1:3" s="67" customFormat="1" x14ac:dyDescent="0.25">
      <c r="A8" s="67" t="s">
        <v>307</v>
      </c>
      <c r="B8" s="67" t="s">
        <v>323</v>
      </c>
      <c r="C8" s="67" t="s">
        <v>322</v>
      </c>
    </row>
    <row r="9" spans="1:3" x14ac:dyDescent="0.25">
      <c r="A9" t="s">
        <v>38</v>
      </c>
      <c r="B9" s="8">
        <v>1781.7425160529988</v>
      </c>
      <c r="C9" t="s">
        <v>8</v>
      </c>
    </row>
    <row r="10" spans="1:3" x14ac:dyDescent="0.25">
      <c r="A10" t="s">
        <v>40</v>
      </c>
      <c r="B10" s="8">
        <v>2154.626626008293</v>
      </c>
      <c r="C10" t="s">
        <v>8</v>
      </c>
    </row>
    <row r="11" spans="1:3" x14ac:dyDescent="0.25">
      <c r="A11" t="s">
        <v>42</v>
      </c>
      <c r="B11" s="8">
        <v>1470.0358041820775</v>
      </c>
      <c r="C11" t="s">
        <v>8</v>
      </c>
    </row>
    <row r="12" spans="1:3" x14ac:dyDescent="0.25">
      <c r="A12" t="s">
        <v>116</v>
      </c>
      <c r="B12" s="8">
        <v>0</v>
      </c>
      <c r="C12" t="s">
        <v>8</v>
      </c>
    </row>
    <row r="13" spans="1:3" x14ac:dyDescent="0.25">
      <c r="A13" t="s">
        <v>324</v>
      </c>
      <c r="B13" s="8">
        <v>5406.4049462433695</v>
      </c>
      <c r="C13" t="s">
        <v>325</v>
      </c>
    </row>
    <row r="14" spans="1:3" x14ac:dyDescent="0.25">
      <c r="A14" t="s">
        <v>94</v>
      </c>
      <c r="B14" s="8">
        <v>3784.483462370358</v>
      </c>
      <c r="C14" t="s">
        <v>326</v>
      </c>
    </row>
    <row r="15" spans="1:3" x14ac:dyDescent="0.25">
      <c r="A15" t="s">
        <v>95</v>
      </c>
      <c r="B15" s="8">
        <v>1621.9214838730113</v>
      </c>
      <c r="C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183</v>
      </c>
      <c r="B4" t="s">
        <v>182</v>
      </c>
      <c r="C4" s="74">
        <v>35966.65589750897</v>
      </c>
      <c r="D4" s="74">
        <v>1459.4079902466867</v>
      </c>
      <c r="E4" s="74">
        <v>1457.679510717826</v>
      </c>
      <c r="F4" s="74">
        <v>1455.9510311889653</v>
      </c>
      <c r="G4" s="74">
        <v>1454.2225516601047</v>
      </c>
      <c r="H4" s="74">
        <v>1452.494072131244</v>
      </c>
      <c r="I4" s="74">
        <v>1450.7655926023833</v>
      </c>
      <c r="J4" s="74">
        <v>1449.0371130735227</v>
      </c>
      <c r="K4" s="74">
        <v>1447.3086335446621</v>
      </c>
      <c r="L4" s="74">
        <v>1445.5801540158016</v>
      </c>
      <c r="M4" s="74">
        <v>1443.8516744869407</v>
      </c>
      <c r="N4" s="74">
        <v>1442.1231949580801</v>
      </c>
      <c r="O4" s="74">
        <v>1440.3947154292196</v>
      </c>
      <c r="P4" s="74">
        <v>1438.6662359003587</v>
      </c>
      <c r="Q4" s="74">
        <v>1436.9377563714982</v>
      </c>
      <c r="R4" s="74">
        <v>1435.2092768426378</v>
      </c>
      <c r="S4" s="74">
        <v>1433.480797313777</v>
      </c>
      <c r="T4" s="74">
        <v>1431.7523177849164</v>
      </c>
      <c r="U4" s="74">
        <v>1430.0238382560558</v>
      </c>
      <c r="V4" s="74">
        <v>1428.2953587271948</v>
      </c>
      <c r="W4" s="74">
        <v>1426.5668791983342</v>
      </c>
      <c r="X4" s="74">
        <v>1424.8383996694738</v>
      </c>
      <c r="Y4" s="74">
        <v>1423.1099201406132</v>
      </c>
      <c r="Z4" s="74">
        <v>1421.3814406117524</v>
      </c>
      <c r="AA4" s="74">
        <v>1419.6529610828918</v>
      </c>
      <c r="AB4" s="74">
        <v>1417.9244815540312</v>
      </c>
    </row>
    <row r="5" spans="1:28" x14ac:dyDescent="0.25">
      <c r="A5" t="s">
        <v>184</v>
      </c>
      <c r="B5" t="s">
        <v>8</v>
      </c>
      <c r="D5" s="72">
        <v>0.8329954282229947</v>
      </c>
      <c r="E5" s="72">
        <v>0.8320088531494441</v>
      </c>
      <c r="F5" s="72">
        <v>0.8310222780758935</v>
      </c>
      <c r="G5" s="72">
        <v>0.8300357030023429</v>
      </c>
      <c r="H5" s="72">
        <v>0.8290491279287923</v>
      </c>
      <c r="I5" s="72">
        <v>0.8280625528552417</v>
      </c>
      <c r="J5" s="72">
        <v>0.8270759777816911</v>
      </c>
      <c r="K5" s="72">
        <v>0.8260894027081405</v>
      </c>
      <c r="L5" s="72">
        <v>0.82510282763459</v>
      </c>
      <c r="M5" s="72">
        <v>0.8241162525610393</v>
      </c>
      <c r="N5" s="72">
        <v>0.8231296774874887</v>
      </c>
      <c r="O5" s="72">
        <v>0.8221431024139382</v>
      </c>
      <c r="P5" s="72">
        <v>0.8211565273403875</v>
      </c>
      <c r="Q5" s="72">
        <v>0.8201699522668369</v>
      </c>
      <c r="R5" s="72">
        <v>0.8191833771932864</v>
      </c>
      <c r="S5" s="72">
        <v>0.8181968021197358</v>
      </c>
      <c r="T5" s="72">
        <v>0.8172102270461852</v>
      </c>
      <c r="U5" s="72">
        <v>0.8162236519726346</v>
      </c>
      <c r="V5" s="72">
        <v>0.8152370768990838</v>
      </c>
      <c r="W5" s="72">
        <v>0.8142505018255332</v>
      </c>
      <c r="X5" s="72">
        <v>0.8132639267519828</v>
      </c>
      <c r="Y5" s="72">
        <v>0.8122773516784322</v>
      </c>
      <c r="Z5" s="72">
        <v>0.8112907766048816</v>
      </c>
      <c r="AA5" s="72">
        <v>0.810304201531331</v>
      </c>
      <c r="AB5" s="72">
        <v>0.8093176264577804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6.530374840944462</v>
      </c>
      <c r="E7" s="75">
        <v>6.530374840944462</v>
      </c>
      <c r="F7" s="75">
        <v>6.530374840944462</v>
      </c>
      <c r="G7" s="75">
        <v>6.530374840944462</v>
      </c>
      <c r="H7" s="75">
        <v>6.530374840944462</v>
      </c>
      <c r="I7" s="75">
        <v>6.530374840944462</v>
      </c>
      <c r="J7" s="75">
        <v>6.530374840944462</v>
      </c>
      <c r="K7" s="75">
        <v>6.530374840944462</v>
      </c>
      <c r="L7" s="75">
        <v>6.530374840944462</v>
      </c>
      <c r="M7" s="75">
        <v>6.530374840944462</v>
      </c>
      <c r="N7" s="75">
        <v>6.530374840944462</v>
      </c>
      <c r="O7" s="75">
        <v>6.530374840944462</v>
      </c>
      <c r="P7" s="75">
        <v>6.530374840944462</v>
      </c>
      <c r="Q7" s="75">
        <v>6.530374840944462</v>
      </c>
      <c r="R7" s="75">
        <v>6.530374840944462</v>
      </c>
      <c r="S7" s="75">
        <v>6.530374840944462</v>
      </c>
      <c r="T7" s="75">
        <v>6.530374840944462</v>
      </c>
      <c r="U7" s="75">
        <v>6.530374840944462</v>
      </c>
      <c r="V7" s="75">
        <v>6.530374840944462</v>
      </c>
      <c r="W7" s="75">
        <v>6.530374840944462</v>
      </c>
      <c r="X7" s="75">
        <v>6.530374840944462</v>
      </c>
      <c r="Y7" s="75">
        <v>6.530374840944462</v>
      </c>
      <c r="Z7" s="75">
        <v>6.530374840944462</v>
      </c>
      <c r="AA7" s="75">
        <v>6.530374840944462</v>
      </c>
      <c r="AB7" s="75">
        <v>6.530374840944462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23487.574478599938</v>
      </c>
      <c r="D9" s="76">
        <v>953.0481222180283</v>
      </c>
      <c r="E9" s="76">
        <v>951.9193602951924</v>
      </c>
      <c r="F9" s="76">
        <v>950.7905983723565</v>
      </c>
      <c r="G9" s="76">
        <v>949.6618364495205</v>
      </c>
      <c r="H9" s="76">
        <v>948.5330745266846</v>
      </c>
      <c r="I9" s="76">
        <v>947.4043126038487</v>
      </c>
      <c r="J9" s="76">
        <v>946.2755506810129</v>
      </c>
      <c r="K9" s="76">
        <v>945.146788758177</v>
      </c>
      <c r="L9" s="76">
        <v>944.0180268353411</v>
      </c>
      <c r="M9" s="76">
        <v>942.8892649125052</v>
      </c>
      <c r="N9" s="76">
        <v>941.7605029896691</v>
      </c>
      <c r="O9" s="76">
        <v>940.6317410668335</v>
      </c>
      <c r="P9" s="76">
        <v>939.5029791439973</v>
      </c>
      <c r="Q9" s="76">
        <v>938.3742172211614</v>
      </c>
      <c r="R9" s="76">
        <v>937.2454552983256</v>
      </c>
      <c r="S9" s="76">
        <v>936.1166933754897</v>
      </c>
      <c r="T9" s="76">
        <v>934.9879314526538</v>
      </c>
      <c r="U9" s="76">
        <v>933.8591695298179</v>
      </c>
      <c r="V9" s="76">
        <v>932.7304076069819</v>
      </c>
      <c r="W9" s="76">
        <v>931.601645684146</v>
      </c>
      <c r="X9" s="76">
        <v>930.4728837613101</v>
      </c>
      <c r="Y9" s="76">
        <v>929.3441218384743</v>
      </c>
      <c r="Z9" s="76">
        <v>928.2153599156384</v>
      </c>
      <c r="AA9" s="76">
        <v>927.0865979928025</v>
      </c>
      <c r="AB9" s="76">
        <v>925.9578360699666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2784.5496384957837</v>
      </c>
      <c r="D11" s="76">
        <v>107.37852992744585</v>
      </c>
      <c r="E11" s="76">
        <v>107.71215122847799</v>
      </c>
      <c r="F11" s="76">
        <v>108.04577252951012</v>
      </c>
      <c r="G11" s="76">
        <v>108.37939383054223</v>
      </c>
      <c r="H11" s="76">
        <v>108.71301513157437</v>
      </c>
      <c r="I11" s="76">
        <v>109.04663643260648</v>
      </c>
      <c r="J11" s="76">
        <v>109.38025773363859</v>
      </c>
      <c r="K11" s="76">
        <v>109.71387903467073</v>
      </c>
      <c r="L11" s="76">
        <v>110.04750033570286</v>
      </c>
      <c r="M11" s="76">
        <v>110.38112163673497</v>
      </c>
      <c r="N11" s="76">
        <v>110.7147429377671</v>
      </c>
      <c r="O11" s="76">
        <v>111.04836423879922</v>
      </c>
      <c r="P11" s="76">
        <v>111.38198553983132</v>
      </c>
      <c r="Q11" s="76">
        <v>111.71560684086346</v>
      </c>
      <c r="R11" s="76">
        <v>112.0492281418956</v>
      </c>
      <c r="S11" s="76">
        <v>112.38284944292774</v>
      </c>
      <c r="T11" s="76">
        <v>112.71647074395985</v>
      </c>
      <c r="U11" s="76">
        <v>113.05009204499198</v>
      </c>
      <c r="V11" s="76">
        <v>113.38371334602407</v>
      </c>
      <c r="W11" s="76">
        <v>113.7173346470562</v>
      </c>
      <c r="X11" s="76">
        <v>114.05095594808833</v>
      </c>
      <c r="Y11" s="76">
        <v>114.38457724912044</v>
      </c>
      <c r="Z11" s="76">
        <v>114.71819855015258</v>
      </c>
      <c r="AA11" s="76">
        <v>115.05181985118472</v>
      </c>
      <c r="AB11" s="76">
        <v>115.38544115221683</v>
      </c>
    </row>
    <row r="12" spans="1:28" s="14" customFormat="1" x14ac:dyDescent="0.25">
      <c r="A12" s="14" t="s">
        <v>195</v>
      </c>
      <c r="B12" s="14" t="s">
        <v>8</v>
      </c>
      <c r="C12" s="77">
        <v>20703.024840104146</v>
      </c>
      <c r="D12" s="77">
        <v>845.6695922905825</v>
      </c>
      <c r="E12" s="77">
        <v>844.2072090667144</v>
      </c>
      <c r="F12" s="77">
        <v>842.7448258428464</v>
      </c>
      <c r="G12" s="77">
        <v>841.2824426189783</v>
      </c>
      <c r="H12" s="77">
        <v>839.8200593951102</v>
      </c>
      <c r="I12" s="77">
        <v>838.3576761712422</v>
      </c>
      <c r="J12" s="77">
        <v>836.8952929473743</v>
      </c>
      <c r="K12" s="77">
        <v>835.4329097235062</v>
      </c>
      <c r="L12" s="77">
        <v>833.9705264996383</v>
      </c>
      <c r="M12" s="77">
        <v>832.5081432757702</v>
      </c>
      <c r="N12" s="77">
        <v>831.045760051902</v>
      </c>
      <c r="O12" s="77">
        <v>829.5833768280343</v>
      </c>
      <c r="P12" s="77">
        <v>828.120993604166</v>
      </c>
      <c r="Q12" s="77">
        <v>826.658610380298</v>
      </c>
      <c r="R12" s="77">
        <v>825.19622715643</v>
      </c>
      <c r="S12" s="77">
        <v>823.733843932562</v>
      </c>
      <c r="T12" s="77">
        <v>822.271460708694</v>
      </c>
      <c r="U12" s="77">
        <v>820.8090774848259</v>
      </c>
      <c r="V12" s="77">
        <v>819.3466942609579</v>
      </c>
      <c r="W12" s="77">
        <v>817.8843110370898</v>
      </c>
      <c r="X12" s="77">
        <v>816.4219278132217</v>
      </c>
      <c r="Y12" s="77">
        <v>814.9595445893539</v>
      </c>
      <c r="Z12" s="77">
        <v>813.4971613654858</v>
      </c>
      <c r="AA12" s="77">
        <v>812.0347781416177</v>
      </c>
      <c r="AB12" s="77">
        <v>810.5723949177498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2834.1294432448494</v>
      </c>
      <c r="D14" s="76">
        <v>59.381976140077114</v>
      </c>
      <c r="E14" s="76">
        <v>62.351074947080974</v>
      </c>
      <c r="F14" s="76">
        <v>65.46862869443503</v>
      </c>
      <c r="G14" s="76">
        <v>68.74206012915678</v>
      </c>
      <c r="H14" s="76">
        <v>72.17916313561462</v>
      </c>
      <c r="I14" s="76">
        <v>75.78812129239536</v>
      </c>
      <c r="J14" s="76">
        <v>79.57752735701513</v>
      </c>
      <c r="K14" s="76">
        <v>83.55640372486589</v>
      </c>
      <c r="L14" s="76">
        <v>87.73422391110918</v>
      </c>
      <c r="M14" s="76">
        <v>92.12093510666465</v>
      </c>
      <c r="N14" s="76">
        <v>96.72698186199787</v>
      </c>
      <c r="O14" s="76">
        <v>101.56333095509778</v>
      </c>
      <c r="P14" s="76">
        <v>106.64149750285267</v>
      </c>
      <c r="Q14" s="76">
        <v>111.97357237799531</v>
      </c>
      <c r="R14" s="76">
        <v>117.5722509968951</v>
      </c>
      <c r="S14" s="76">
        <v>123.45086354673985</v>
      </c>
      <c r="T14" s="76">
        <v>129.62340672407683</v>
      </c>
      <c r="U14" s="76">
        <v>136.1045770602807</v>
      </c>
      <c r="V14" s="76">
        <v>142.90980591329472</v>
      </c>
      <c r="W14" s="76">
        <v>150.05529620895948</v>
      </c>
      <c r="X14" s="76">
        <v>157.55806101940743</v>
      </c>
      <c r="Y14" s="76">
        <v>165.43596407037782</v>
      </c>
      <c r="Z14" s="76">
        <v>173.70776227389675</v>
      </c>
      <c r="AA14" s="76">
        <v>182.39315038759156</v>
      </c>
      <c r="AB14" s="76">
        <v>191.51280790697115</v>
      </c>
    </row>
    <row r="15" spans="1:28" x14ac:dyDescent="0.25">
      <c r="A15" t="s">
        <v>126</v>
      </c>
      <c r="B15" t="s">
        <v>8</v>
      </c>
      <c r="C15" s="76">
        <v>386.1717818745263</v>
      </c>
      <c r="D15" s="76">
        <v>15.446871274981055</v>
      </c>
      <c r="E15" s="76">
        <v>15.446871274981055</v>
      </c>
      <c r="F15" s="76">
        <v>15.446871274981055</v>
      </c>
      <c r="G15" s="76">
        <v>15.446871274981055</v>
      </c>
      <c r="H15" s="76">
        <v>15.446871274981055</v>
      </c>
      <c r="I15" s="76">
        <v>15.446871274981055</v>
      </c>
      <c r="J15" s="76">
        <v>15.446871274981055</v>
      </c>
      <c r="K15" s="76">
        <v>15.446871274981055</v>
      </c>
      <c r="L15" s="76">
        <v>15.446871274981055</v>
      </c>
      <c r="M15" s="76">
        <v>15.446871274981055</v>
      </c>
      <c r="N15" s="76">
        <v>15.446871274981055</v>
      </c>
      <c r="O15" s="76">
        <v>15.446871274981055</v>
      </c>
      <c r="P15" s="76">
        <v>15.446871274981055</v>
      </c>
      <c r="Q15" s="76">
        <v>15.446871274981055</v>
      </c>
      <c r="R15" s="76">
        <v>15.446871274981055</v>
      </c>
      <c r="S15" s="76">
        <v>15.446871274981055</v>
      </c>
      <c r="T15" s="76">
        <v>15.446871274981055</v>
      </c>
      <c r="U15" s="76">
        <v>15.446871274981055</v>
      </c>
      <c r="V15" s="76">
        <v>15.446871274981055</v>
      </c>
      <c r="W15" s="76">
        <v>15.446871274981055</v>
      </c>
      <c r="X15" s="76">
        <v>15.446871274981055</v>
      </c>
      <c r="Y15" s="76">
        <v>15.446871274981055</v>
      </c>
      <c r="Z15" s="76">
        <v>15.446871274981055</v>
      </c>
      <c r="AA15" s="76">
        <v>15.446871274981055</v>
      </c>
      <c r="AB15" s="76">
        <v>15.446871274981055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3220.3012251193754</v>
      </c>
      <c r="D17" s="77">
        <v>74.82884741505816</v>
      </c>
      <c r="E17" s="77">
        <v>77.79794622206202</v>
      </c>
      <c r="F17" s="77">
        <v>80.91549996941608</v>
      </c>
      <c r="G17" s="77">
        <v>84.18893140413783</v>
      </c>
      <c r="H17" s="77">
        <v>87.62603441059566</v>
      </c>
      <c r="I17" s="77">
        <v>91.23499256737641</v>
      </c>
      <c r="J17" s="77">
        <v>95.02439863199618</v>
      </c>
      <c r="K17" s="77">
        <v>99.00327499984694</v>
      </c>
      <c r="L17" s="77">
        <v>103.18109518609023</v>
      </c>
      <c r="M17" s="77">
        <v>107.5678063816457</v>
      </c>
      <c r="N17" s="77">
        <v>112.17385313697892</v>
      </c>
      <c r="O17" s="77">
        <v>117.01020223007883</v>
      </c>
      <c r="P17" s="77">
        <v>122.08836877783372</v>
      </c>
      <c r="Q17" s="77">
        <v>127.42044365297636</v>
      </c>
      <c r="R17" s="77">
        <v>133.01912227187614</v>
      </c>
      <c r="S17" s="77">
        <v>138.89773482172092</v>
      </c>
      <c r="T17" s="77">
        <v>145.07027799905788</v>
      </c>
      <c r="U17" s="77">
        <v>151.55144833526174</v>
      </c>
      <c r="V17" s="77">
        <v>158.35667718827577</v>
      </c>
      <c r="W17" s="77">
        <v>165.50216748394053</v>
      </c>
      <c r="X17" s="77">
        <v>173.00493229438848</v>
      </c>
      <c r="Y17" s="77">
        <v>180.88283534535887</v>
      </c>
      <c r="Z17" s="77">
        <v>189.1546335488778</v>
      </c>
      <c r="AA17" s="77">
        <v>197.8400216625726</v>
      </c>
      <c r="AB17" s="77">
        <v>206.9596791819522</v>
      </c>
    </row>
    <row r="18" spans="1:1" s="5" customFormat="1" x14ac:dyDescent="0.25">
      <c r="A18" s="5" t="s">
        <v>354</v>
      </c>
    </row>
    <row r="19" spans="1:28" x14ac:dyDescent="0.25">
      <c r="A19" t="s">
        <v>143</v>
      </c>
      <c r="B19" t="s">
        <v>8</v>
      </c>
      <c r="C19" s="76">
        <v>672.0163676260926</v>
      </c>
      <c r="D19" s="76">
        <v>0</v>
      </c>
      <c r="E19" s="76">
        <v>28.000681984420524</v>
      </c>
      <c r="F19" s="76">
        <v>28.000681984420524</v>
      </c>
      <c r="G19" s="76">
        <v>28.000681984420524</v>
      </c>
      <c r="H19" s="76">
        <v>28.000681984420524</v>
      </c>
      <c r="I19" s="76">
        <v>28.000681984420524</v>
      </c>
      <c r="J19" s="76">
        <v>28.000681984420524</v>
      </c>
      <c r="K19" s="76">
        <v>28.000681984420524</v>
      </c>
      <c r="L19" s="76">
        <v>28.000681984420524</v>
      </c>
      <c r="M19" s="76">
        <v>28.000681984420524</v>
      </c>
      <c r="N19" s="76">
        <v>28.000681984420524</v>
      </c>
      <c r="O19" s="76">
        <v>28.000681984420524</v>
      </c>
      <c r="P19" s="76">
        <v>28.000681984420524</v>
      </c>
      <c r="Q19" s="76">
        <v>28.000681984420524</v>
      </c>
      <c r="R19" s="76">
        <v>28.000681984420524</v>
      </c>
      <c r="S19" s="76">
        <v>28.000681984420524</v>
      </c>
      <c r="T19" s="76">
        <v>28.000681984420524</v>
      </c>
      <c r="U19" s="76">
        <v>28.000681984420524</v>
      </c>
      <c r="V19" s="76">
        <v>28.000681984420524</v>
      </c>
      <c r="W19" s="76">
        <v>28.000681984420524</v>
      </c>
      <c r="X19" s="76">
        <v>28.000681984420524</v>
      </c>
      <c r="Y19" s="76">
        <v>28.000681984420524</v>
      </c>
      <c r="Z19" s="76">
        <v>28.000681984420524</v>
      </c>
      <c r="AA19" s="76">
        <v>28.000681984420524</v>
      </c>
      <c r="AB19" s="76">
        <v>28.000681984420524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327</v>
      </c>
      <c r="D1" s="67" t="s">
        <v>328</v>
      </c>
      <c r="E1" s="67" t="s">
        <v>329</v>
      </c>
      <c r="F1" s="67" t="s">
        <v>330</v>
      </c>
      <c r="G1" s="67" t="s">
        <v>331</v>
      </c>
      <c r="H1" s="67" t="s">
        <v>332</v>
      </c>
      <c r="I1" s="67" t="s">
        <v>333</v>
      </c>
      <c r="J1" s="67" t="s">
        <v>334</v>
      </c>
      <c r="K1" s="67" t="s">
        <v>335</v>
      </c>
      <c r="L1" s="67" t="s">
        <v>336</v>
      </c>
      <c r="M1" s="67" t="s">
        <v>337</v>
      </c>
      <c r="N1" s="67" t="s">
        <v>338</v>
      </c>
      <c r="O1" s="67" t="s">
        <v>339</v>
      </c>
      <c r="P1" s="67" t="s">
        <v>340</v>
      </c>
      <c r="Q1" s="67" t="s">
        <v>341</v>
      </c>
      <c r="R1" s="67" t="s">
        <v>342</v>
      </c>
      <c r="S1" s="67" t="s">
        <v>343</v>
      </c>
      <c r="T1" s="67" t="s">
        <v>344</v>
      </c>
      <c r="U1" s="67" t="s">
        <v>345</v>
      </c>
      <c r="V1" s="67" t="s">
        <v>346</v>
      </c>
      <c r="W1" s="67" t="s">
        <v>347</v>
      </c>
      <c r="X1" s="67" t="s">
        <v>348</v>
      </c>
      <c r="Y1" s="67" t="s">
        <v>349</v>
      </c>
      <c r="Z1" s="67" t="s">
        <v>350</v>
      </c>
      <c r="AA1" s="67" t="s">
        <v>351</v>
      </c>
      <c r="AB1" s="67" t="s">
        <v>352</v>
      </c>
    </row>
    <row r="2" spans="1:1" s="5" customFormat="1" x14ac:dyDescent="0.25">
      <c r="A2" s="5" t="s">
        <v>353</v>
      </c>
    </row>
    <row r="3" spans="1:28" x14ac:dyDescent="0.25">
      <c r="A3" t="s">
        <v>181</v>
      </c>
      <c r="B3" t="s">
        <v>182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183</v>
      </c>
      <c r="B4" t="s">
        <v>182</v>
      </c>
      <c r="C4" s="74">
        <v>35966.65589750897</v>
      </c>
      <c r="D4" s="74">
        <v>1459.4079902466867</v>
      </c>
      <c r="E4" s="74">
        <v>1457.679510717826</v>
      </c>
      <c r="F4" s="74">
        <v>1455.9510311889653</v>
      </c>
      <c r="G4" s="74">
        <v>1454.2225516601047</v>
      </c>
      <c r="H4" s="74">
        <v>1452.494072131244</v>
      </c>
      <c r="I4" s="74">
        <v>1450.7655926023833</v>
      </c>
      <c r="J4" s="74">
        <v>1449.0371130735227</v>
      </c>
      <c r="K4" s="74">
        <v>1447.3086335446621</v>
      </c>
      <c r="L4" s="74">
        <v>1445.5801540158016</v>
      </c>
      <c r="M4" s="74">
        <v>1443.8516744869407</v>
      </c>
      <c r="N4" s="74">
        <v>1442.1231949580801</v>
      </c>
      <c r="O4" s="74">
        <v>1440.3947154292196</v>
      </c>
      <c r="P4" s="74">
        <v>1438.6662359003587</v>
      </c>
      <c r="Q4" s="74">
        <v>1436.9377563714982</v>
      </c>
      <c r="R4" s="74">
        <v>1435.2092768426378</v>
      </c>
      <c r="S4" s="74">
        <v>1433.480797313777</v>
      </c>
      <c r="T4" s="74">
        <v>1431.7523177849164</v>
      </c>
      <c r="U4" s="74">
        <v>1430.0238382560558</v>
      </c>
      <c r="V4" s="74">
        <v>1428.2953587271948</v>
      </c>
      <c r="W4" s="74">
        <v>1426.5668791983342</v>
      </c>
      <c r="X4" s="74">
        <v>1424.8383996694738</v>
      </c>
      <c r="Y4" s="74">
        <v>1423.1099201406132</v>
      </c>
      <c r="Z4" s="74">
        <v>1421.3814406117524</v>
      </c>
      <c r="AA4" s="74">
        <v>1419.6529610828918</v>
      </c>
      <c r="AB4" s="74">
        <v>1417.9244815540312</v>
      </c>
    </row>
    <row r="5" spans="1:28" x14ac:dyDescent="0.25">
      <c r="A5" t="s">
        <v>184</v>
      </c>
      <c r="B5" t="s">
        <v>8</v>
      </c>
      <c r="D5" s="72">
        <v>0.8329954282229947</v>
      </c>
      <c r="E5" s="72">
        <v>0.8320088531494441</v>
      </c>
      <c r="F5" s="72">
        <v>0.8310222780758935</v>
      </c>
      <c r="G5" s="72">
        <v>0.8300357030023429</v>
      </c>
      <c r="H5" s="72">
        <v>0.8290491279287923</v>
      </c>
      <c r="I5" s="72">
        <v>0.8280625528552417</v>
      </c>
      <c r="J5" s="72">
        <v>0.8270759777816911</v>
      </c>
      <c r="K5" s="72">
        <v>0.8260894027081405</v>
      </c>
      <c r="L5" s="72">
        <v>0.82510282763459</v>
      </c>
      <c r="M5" s="72">
        <v>0.8241162525610393</v>
      </c>
      <c r="N5" s="72">
        <v>0.8231296774874887</v>
      </c>
      <c r="O5" s="72">
        <v>0.8221431024139382</v>
      </c>
      <c r="P5" s="72">
        <v>0.8211565273403875</v>
      </c>
      <c r="Q5" s="72">
        <v>0.8201699522668369</v>
      </c>
      <c r="R5" s="72">
        <v>0.8191833771932864</v>
      </c>
      <c r="S5" s="72">
        <v>0.8181968021197358</v>
      </c>
      <c r="T5" s="72">
        <v>0.8172102270461852</v>
      </c>
      <c r="U5" s="72">
        <v>0.8162236519726346</v>
      </c>
      <c r="V5" s="72">
        <v>0.8152370768990838</v>
      </c>
      <c r="W5" s="72">
        <v>0.8142505018255332</v>
      </c>
      <c r="X5" s="72">
        <v>0.8132639267519828</v>
      </c>
      <c r="Y5" s="72">
        <v>0.8122773516784322</v>
      </c>
      <c r="Z5" s="72">
        <v>0.8112907766048816</v>
      </c>
      <c r="AA5" s="72">
        <v>0.810304201531331</v>
      </c>
      <c r="AB5" s="72">
        <v>0.8093176264577804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6.530374840944462</v>
      </c>
      <c r="E7" s="75">
        <v>6.530374840944462</v>
      </c>
      <c r="F7" s="75">
        <v>6.530374840944462</v>
      </c>
      <c r="G7" s="75">
        <v>6.530374840944462</v>
      </c>
      <c r="H7" s="75">
        <v>6.530374840944462</v>
      </c>
      <c r="I7" s="75">
        <v>6.530374840944462</v>
      </c>
      <c r="J7" s="75">
        <v>6.530374840944462</v>
      </c>
      <c r="K7" s="75">
        <v>6.530374840944462</v>
      </c>
      <c r="L7" s="75">
        <v>6.530374840944462</v>
      </c>
      <c r="M7" s="75">
        <v>6.530374840944462</v>
      </c>
      <c r="N7" s="75">
        <v>6.530374840944462</v>
      </c>
      <c r="O7" s="75">
        <v>6.530374840944462</v>
      </c>
      <c r="P7" s="75">
        <v>6.530374840944462</v>
      </c>
      <c r="Q7" s="75">
        <v>6.530374840944462</v>
      </c>
      <c r="R7" s="75">
        <v>6.530374840944462</v>
      </c>
      <c r="S7" s="75">
        <v>6.530374840944462</v>
      </c>
      <c r="T7" s="75">
        <v>6.530374840944462</v>
      </c>
      <c r="U7" s="75">
        <v>6.530374840944462</v>
      </c>
      <c r="V7" s="75">
        <v>6.530374840944462</v>
      </c>
      <c r="W7" s="75">
        <v>6.530374840944462</v>
      </c>
      <c r="X7" s="75">
        <v>6.530374840944462</v>
      </c>
      <c r="Y7" s="75">
        <v>6.530374840944462</v>
      </c>
      <c r="Z7" s="75">
        <v>6.530374840944462</v>
      </c>
      <c r="AA7" s="75">
        <v>6.530374840944462</v>
      </c>
      <c r="AB7" s="75">
        <v>6.530374840944462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23487.574478599938</v>
      </c>
      <c r="D9" s="76">
        <v>953.0481222180283</v>
      </c>
      <c r="E9" s="76">
        <v>951.9193602951924</v>
      </c>
      <c r="F9" s="76">
        <v>950.7905983723565</v>
      </c>
      <c r="G9" s="76">
        <v>949.6618364495205</v>
      </c>
      <c r="H9" s="76">
        <v>948.5330745266846</v>
      </c>
      <c r="I9" s="76">
        <v>947.4043126038487</v>
      </c>
      <c r="J9" s="76">
        <v>946.2755506810129</v>
      </c>
      <c r="K9" s="76">
        <v>945.146788758177</v>
      </c>
      <c r="L9" s="76">
        <v>944.0180268353411</v>
      </c>
      <c r="M9" s="76">
        <v>942.8892649125052</v>
      </c>
      <c r="N9" s="76">
        <v>941.7605029896691</v>
      </c>
      <c r="O9" s="76">
        <v>940.6317410668335</v>
      </c>
      <c r="P9" s="76">
        <v>939.5029791439973</v>
      </c>
      <c r="Q9" s="76">
        <v>938.3742172211614</v>
      </c>
      <c r="R9" s="76">
        <v>937.2454552983256</v>
      </c>
      <c r="S9" s="76">
        <v>936.1166933754897</v>
      </c>
      <c r="T9" s="76">
        <v>934.9879314526538</v>
      </c>
      <c r="U9" s="76">
        <v>933.8591695298179</v>
      </c>
      <c r="V9" s="76">
        <v>932.7304076069819</v>
      </c>
      <c r="W9" s="76">
        <v>931.601645684146</v>
      </c>
      <c r="X9" s="76">
        <v>930.4728837613101</v>
      </c>
      <c r="Y9" s="76">
        <v>929.3441218384743</v>
      </c>
      <c r="Z9" s="76">
        <v>928.2153599156384</v>
      </c>
      <c r="AA9" s="76">
        <v>927.0865979928025</v>
      </c>
      <c r="AB9" s="76">
        <v>925.9578360699666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2784.5496384957837</v>
      </c>
      <c r="D11" s="76">
        <v>107.37852992744585</v>
      </c>
      <c r="E11" s="76">
        <v>107.71215122847799</v>
      </c>
      <c r="F11" s="76">
        <v>108.04577252951012</v>
      </c>
      <c r="G11" s="76">
        <v>108.37939383054223</v>
      </c>
      <c r="H11" s="76">
        <v>108.71301513157437</v>
      </c>
      <c r="I11" s="76">
        <v>109.04663643260648</v>
      </c>
      <c r="J11" s="76">
        <v>109.38025773363859</v>
      </c>
      <c r="K11" s="76">
        <v>109.71387903467073</v>
      </c>
      <c r="L11" s="76">
        <v>110.04750033570286</v>
      </c>
      <c r="M11" s="76">
        <v>110.38112163673497</v>
      </c>
      <c r="N11" s="76">
        <v>110.7147429377671</v>
      </c>
      <c r="O11" s="76">
        <v>111.04836423879922</v>
      </c>
      <c r="P11" s="76">
        <v>111.38198553983132</v>
      </c>
      <c r="Q11" s="76">
        <v>111.71560684086346</v>
      </c>
      <c r="R11" s="76">
        <v>112.0492281418956</v>
      </c>
      <c r="S11" s="76">
        <v>112.38284944292774</v>
      </c>
      <c r="T11" s="76">
        <v>112.71647074395985</v>
      </c>
      <c r="U11" s="76">
        <v>113.05009204499198</v>
      </c>
      <c r="V11" s="76">
        <v>113.38371334602407</v>
      </c>
      <c r="W11" s="76">
        <v>113.7173346470562</v>
      </c>
      <c r="X11" s="76">
        <v>114.05095594808833</v>
      </c>
      <c r="Y11" s="76">
        <v>114.38457724912044</v>
      </c>
      <c r="Z11" s="76">
        <v>114.71819855015258</v>
      </c>
      <c r="AA11" s="76">
        <v>115.05181985118472</v>
      </c>
      <c r="AB11" s="76">
        <v>115.38544115221683</v>
      </c>
    </row>
    <row r="12" spans="1:28" s="14" customFormat="1" x14ac:dyDescent="0.25">
      <c r="A12" s="14" t="s">
        <v>195</v>
      </c>
      <c r="B12" s="14" t="s">
        <v>8</v>
      </c>
      <c r="C12" s="77">
        <v>20703.024840104146</v>
      </c>
      <c r="D12" s="77">
        <v>845.6695922905825</v>
      </c>
      <c r="E12" s="77">
        <v>844.2072090667144</v>
      </c>
      <c r="F12" s="77">
        <v>842.7448258428464</v>
      </c>
      <c r="G12" s="77">
        <v>841.2824426189783</v>
      </c>
      <c r="H12" s="77">
        <v>839.8200593951102</v>
      </c>
      <c r="I12" s="77">
        <v>838.3576761712422</v>
      </c>
      <c r="J12" s="77">
        <v>836.8952929473743</v>
      </c>
      <c r="K12" s="77">
        <v>835.4329097235062</v>
      </c>
      <c r="L12" s="77">
        <v>833.9705264996383</v>
      </c>
      <c r="M12" s="77">
        <v>832.5081432757702</v>
      </c>
      <c r="N12" s="77">
        <v>831.045760051902</v>
      </c>
      <c r="O12" s="77">
        <v>829.5833768280343</v>
      </c>
      <c r="P12" s="77">
        <v>828.120993604166</v>
      </c>
      <c r="Q12" s="77">
        <v>826.658610380298</v>
      </c>
      <c r="R12" s="77">
        <v>825.19622715643</v>
      </c>
      <c r="S12" s="77">
        <v>823.733843932562</v>
      </c>
      <c r="T12" s="77">
        <v>822.271460708694</v>
      </c>
      <c r="U12" s="77">
        <v>820.8090774848259</v>
      </c>
      <c r="V12" s="77">
        <v>819.3466942609579</v>
      </c>
      <c r="W12" s="77">
        <v>817.8843110370898</v>
      </c>
      <c r="X12" s="77">
        <v>816.4219278132217</v>
      </c>
      <c r="Y12" s="77">
        <v>814.9595445893539</v>
      </c>
      <c r="Z12" s="77">
        <v>813.4971613654858</v>
      </c>
      <c r="AA12" s="77">
        <v>812.0347781416177</v>
      </c>
      <c r="AB12" s="77">
        <v>810.5723949177498</v>
      </c>
    </row>
    <row r="13" spans="1:1" s="5" customFormat="1" x14ac:dyDescent="0.25">
      <c r="A13" s="5" t="s">
        <v>196</v>
      </c>
    </row>
    <row r="14" spans="1:28" x14ac:dyDescent="0.25">
      <c r="A14" t="s">
        <v>308</v>
      </c>
      <c r="B14" t="s">
        <v>8</v>
      </c>
      <c r="C14" s="76">
        <v>2834.1294432448494</v>
      </c>
      <c r="D14" s="76">
        <v>59.381976140077114</v>
      </c>
      <c r="E14" s="76">
        <v>62.351074947080974</v>
      </c>
      <c r="F14" s="76">
        <v>65.46862869443503</v>
      </c>
      <c r="G14" s="76">
        <v>68.74206012915678</v>
      </c>
      <c r="H14" s="76">
        <v>72.17916313561462</v>
      </c>
      <c r="I14" s="76">
        <v>75.78812129239536</v>
      </c>
      <c r="J14" s="76">
        <v>79.57752735701513</v>
      </c>
      <c r="K14" s="76">
        <v>83.55640372486589</v>
      </c>
      <c r="L14" s="76">
        <v>87.73422391110918</v>
      </c>
      <c r="M14" s="76">
        <v>92.12093510666465</v>
      </c>
      <c r="N14" s="76">
        <v>96.72698186199787</v>
      </c>
      <c r="O14" s="76">
        <v>101.56333095509778</v>
      </c>
      <c r="P14" s="76">
        <v>106.64149750285267</v>
      </c>
      <c r="Q14" s="76">
        <v>111.97357237799531</v>
      </c>
      <c r="R14" s="76">
        <v>117.5722509968951</v>
      </c>
      <c r="S14" s="76">
        <v>123.45086354673985</v>
      </c>
      <c r="T14" s="76">
        <v>129.62340672407683</v>
      </c>
      <c r="U14" s="76">
        <v>136.1045770602807</v>
      </c>
      <c r="V14" s="76">
        <v>142.90980591329472</v>
      </c>
      <c r="W14" s="76">
        <v>150.05529620895948</v>
      </c>
      <c r="X14" s="76">
        <v>157.55806101940743</v>
      </c>
      <c r="Y14" s="76">
        <v>165.43596407037782</v>
      </c>
      <c r="Z14" s="76">
        <v>173.70776227389675</v>
      </c>
      <c r="AA14" s="76">
        <v>182.39315038759156</v>
      </c>
      <c r="AB14" s="76">
        <v>191.51280790697115</v>
      </c>
    </row>
    <row r="15" spans="1:28" x14ac:dyDescent="0.25">
      <c r="A15" t="s">
        <v>126</v>
      </c>
      <c r="B15" t="s">
        <v>8</v>
      </c>
      <c r="C15" s="76">
        <v>386.1717818745263</v>
      </c>
      <c r="D15" s="76">
        <v>15.446871274981055</v>
      </c>
      <c r="E15" s="76">
        <v>15.446871274981055</v>
      </c>
      <c r="F15" s="76">
        <v>15.446871274981055</v>
      </c>
      <c r="G15" s="76">
        <v>15.446871274981055</v>
      </c>
      <c r="H15" s="76">
        <v>15.446871274981055</v>
      </c>
      <c r="I15" s="76">
        <v>15.446871274981055</v>
      </c>
      <c r="J15" s="76">
        <v>15.446871274981055</v>
      </c>
      <c r="K15" s="76">
        <v>15.446871274981055</v>
      </c>
      <c r="L15" s="76">
        <v>15.446871274981055</v>
      </c>
      <c r="M15" s="76">
        <v>15.446871274981055</v>
      </c>
      <c r="N15" s="76">
        <v>15.446871274981055</v>
      </c>
      <c r="O15" s="76">
        <v>15.446871274981055</v>
      </c>
      <c r="P15" s="76">
        <v>15.446871274981055</v>
      </c>
      <c r="Q15" s="76">
        <v>15.446871274981055</v>
      </c>
      <c r="R15" s="76">
        <v>15.446871274981055</v>
      </c>
      <c r="S15" s="76">
        <v>15.446871274981055</v>
      </c>
      <c r="T15" s="76">
        <v>15.446871274981055</v>
      </c>
      <c r="U15" s="76">
        <v>15.446871274981055</v>
      </c>
      <c r="V15" s="76">
        <v>15.446871274981055</v>
      </c>
      <c r="W15" s="76">
        <v>15.446871274981055</v>
      </c>
      <c r="X15" s="76">
        <v>15.446871274981055</v>
      </c>
      <c r="Y15" s="76">
        <v>15.446871274981055</v>
      </c>
      <c r="Z15" s="76">
        <v>15.446871274981055</v>
      </c>
      <c r="AA15" s="76">
        <v>15.446871274981055</v>
      </c>
      <c r="AB15" s="76">
        <v>15.446871274981055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3220.3012251193754</v>
      </c>
      <c r="D17" s="77">
        <v>74.82884741505816</v>
      </c>
      <c r="E17" s="77">
        <v>77.79794622206202</v>
      </c>
      <c r="F17" s="77">
        <v>80.91549996941608</v>
      </c>
      <c r="G17" s="77">
        <v>84.18893140413783</v>
      </c>
      <c r="H17" s="77">
        <v>87.62603441059566</v>
      </c>
      <c r="I17" s="77">
        <v>91.23499256737641</v>
      </c>
      <c r="J17" s="77">
        <v>95.02439863199618</v>
      </c>
      <c r="K17" s="77">
        <v>99.00327499984694</v>
      </c>
      <c r="L17" s="77">
        <v>103.18109518609023</v>
      </c>
      <c r="M17" s="77">
        <v>107.5678063816457</v>
      </c>
      <c r="N17" s="77">
        <v>112.17385313697892</v>
      </c>
      <c r="O17" s="77">
        <v>117.01020223007883</v>
      </c>
      <c r="P17" s="77">
        <v>122.08836877783372</v>
      </c>
      <c r="Q17" s="77">
        <v>127.42044365297636</v>
      </c>
      <c r="R17" s="77">
        <v>133.01912227187614</v>
      </c>
      <c r="S17" s="77">
        <v>138.89773482172092</v>
      </c>
      <c r="T17" s="77">
        <v>145.07027799905788</v>
      </c>
      <c r="U17" s="77">
        <v>151.55144833526174</v>
      </c>
      <c r="V17" s="77">
        <v>158.35667718827577</v>
      </c>
      <c r="W17" s="77">
        <v>165.50216748394053</v>
      </c>
      <c r="X17" s="77">
        <v>173.00493229438848</v>
      </c>
      <c r="Y17" s="77">
        <v>180.88283534535887</v>
      </c>
      <c r="Z17" s="77">
        <v>189.1546335488778</v>
      </c>
      <c r="AA17" s="77">
        <v>197.8400216625726</v>
      </c>
      <c r="AB17" s="77">
        <v>206.9596791819522</v>
      </c>
    </row>
    <row r="18" spans="1:1" s="5" customFormat="1" x14ac:dyDescent="0.25">
      <c r="A18" s="5" t="s">
        <v>213</v>
      </c>
    </row>
    <row r="19" spans="1:28" s="14" customFormat="1" x14ac:dyDescent="0.25">
      <c r="A19" s="14" t="s">
        <v>198</v>
      </c>
      <c r="B19" s="14" t="s">
        <v>8</v>
      </c>
      <c r="C19" s="77">
        <v>17482.723614984778</v>
      </c>
      <c r="D19" s="77">
        <v>770.8407448755244</v>
      </c>
      <c r="E19" s="77">
        <v>766.4092628446524</v>
      </c>
      <c r="F19" s="77">
        <v>761.8293258734303</v>
      </c>
      <c r="G19" s="77">
        <v>757.0935112148404</v>
      </c>
      <c r="H19" s="77">
        <v>752.1940249845145</v>
      </c>
      <c r="I19" s="77">
        <v>747.1226836038659</v>
      </c>
      <c r="J19" s="77">
        <v>741.8708943153781</v>
      </c>
      <c r="K19" s="77">
        <v>736.4296347236593</v>
      </c>
      <c r="L19" s="77">
        <v>730.789431313548</v>
      </c>
      <c r="M19" s="77">
        <v>724.9403368941245</v>
      </c>
      <c r="N19" s="77">
        <v>718.8719069149231</v>
      </c>
      <c r="O19" s="77">
        <v>712.5731745979555</v>
      </c>
      <c r="P19" s="77">
        <v>706.0326248263323</v>
      </c>
      <c r="Q19" s="77">
        <v>699.2381667273216</v>
      </c>
      <c r="R19" s="77">
        <v>692.177104884554</v>
      </c>
      <c r="S19" s="77">
        <v>684.8361091108411</v>
      </c>
      <c r="T19" s="77">
        <v>677.2011827096361</v>
      </c>
      <c r="U19" s="77">
        <v>669.2576291495642</v>
      </c>
      <c r="V19" s="77">
        <v>660.9900170726821</v>
      </c>
      <c r="W19" s="77">
        <v>652.3821435531493</v>
      </c>
      <c r="X19" s="77">
        <v>643.4169955188332</v>
      </c>
      <c r="Y19" s="77">
        <v>634.076709243995</v>
      </c>
      <c r="Z19" s="77">
        <v>624.342527816608</v>
      </c>
      <c r="AA19" s="77">
        <v>614.194756479045</v>
      </c>
      <c r="AB19" s="77">
        <v>603.6127157357976</v>
      </c>
    </row>
    <row r="20" spans="1:28" x14ac:dyDescent="0.25">
      <c r="A20" t="s">
        <v>201</v>
      </c>
      <c r="B20" t="s">
        <v>8</v>
      </c>
      <c r="C20" s="76">
        <v>5537.780819245126</v>
      </c>
      <c r="D20" s="76">
        <v>194.63057806476132</v>
      </c>
      <c r="E20" s="76">
        <v>195.7972731474455</v>
      </c>
      <c r="F20" s="76">
        <v>197.01469410328988</v>
      </c>
      <c r="G20" s="76">
        <v>198.287452375309</v>
      </c>
      <c r="H20" s="76">
        <v>199.62081818409092</v>
      </c>
      <c r="I20" s="76">
        <v>201.02085228331197</v>
      </c>
      <c r="J20" s="76">
        <v>202.49457238775514</v>
      </c>
      <c r="K20" s="76">
        <v>204.05016583133406</v>
      </c>
      <c r="L20" s="76">
        <v>205.6972647715941</v>
      </c>
      <c r="M20" s="76">
        <v>207.44730739562038</v>
      </c>
      <c r="N20" s="76">
        <v>209.31401952791506</v>
      </c>
      <c r="O20" s="76">
        <v>211.31406824108797</v>
      </c>
      <c r="P20" s="76">
        <v>213.46796685527417</v>
      </c>
      <c r="Q20" s="76">
        <v>215.80135702064254</v>
      </c>
      <c r="R20" s="76">
        <v>218.34687356468078</v>
      </c>
      <c r="S20" s="76">
        <v>221.1469417631228</v>
      </c>
      <c r="T20" s="76">
        <v>224.25812865028064</v>
      </c>
      <c r="U20" s="76">
        <v>227.75821389833322</v>
      </c>
      <c r="V20" s="76">
        <v>231.758311324679</v>
      </c>
      <c r="W20" s="76">
        <v>236.42509165541577</v>
      </c>
      <c r="X20" s="76">
        <v>242.02522805229987</v>
      </c>
      <c r="Y20" s="76">
        <v>249.025398548405</v>
      </c>
      <c r="Z20" s="76">
        <v>258.3589592098785</v>
      </c>
      <c r="AA20" s="76">
        <v>272.3593002020888</v>
      </c>
      <c r="AB20" s="76">
        <v>300.3599821865093</v>
      </c>
    </row>
    <row r="21" spans="1:28" x14ac:dyDescent="0.25">
      <c r="A21" t="s">
        <v>206</v>
      </c>
      <c r="B21" t="s">
        <v>8</v>
      </c>
      <c r="C21" s="76">
        <v>2724.8280929066573</v>
      </c>
      <c r="D21" s="76">
        <v>340.6035116133322</v>
      </c>
      <c r="E21" s="76">
        <v>317.89661083911005</v>
      </c>
      <c r="F21" s="76">
        <v>295.1897100648879</v>
      </c>
      <c r="G21" s="76">
        <v>272.4828092906657</v>
      </c>
      <c r="H21" s="76">
        <v>249.77590851644356</v>
      </c>
      <c r="I21" s="76">
        <v>227.06900774222143</v>
      </c>
      <c r="J21" s="76">
        <v>204.36210696799927</v>
      </c>
      <c r="K21" s="76">
        <v>181.6552061937771</v>
      </c>
      <c r="L21" s="76">
        <v>158.94830541955497</v>
      </c>
      <c r="M21" s="76">
        <v>136.24140464533284</v>
      </c>
      <c r="N21" s="76">
        <v>113.53450387111069</v>
      </c>
      <c r="O21" s="76">
        <v>90.82760309688854</v>
      </c>
      <c r="P21" s="76">
        <v>68.12070232266639</v>
      </c>
      <c r="Q21" s="76">
        <v>45.41380154844423</v>
      </c>
      <c r="R21" s="76">
        <v>22.70690077422208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</row>
    <row r="22" spans="1:28" x14ac:dyDescent="0.25">
      <c r="A22" t="s">
        <v>216</v>
      </c>
      <c r="B22" t="s">
        <v>8</v>
      </c>
      <c r="C22" s="76">
        <v>9220.114702832994</v>
      </c>
      <c r="D22" s="76">
        <v>235.60665519743077</v>
      </c>
      <c r="E22" s="76">
        <v>252.71537885809687</v>
      </c>
      <c r="F22" s="76">
        <v>269.6249217052525</v>
      </c>
      <c r="G22" s="76">
        <v>286.32324954886576</v>
      </c>
      <c r="H22" s="76">
        <v>302.79729828398</v>
      </c>
      <c r="I22" s="76">
        <v>319.03282357833245</v>
      </c>
      <c r="J22" s="76">
        <v>335.0142149596237</v>
      </c>
      <c r="K22" s="76">
        <v>350.72426269854816</v>
      </c>
      <c r="L22" s="76">
        <v>366.14386112239896</v>
      </c>
      <c r="M22" s="76">
        <v>381.25162485317117</v>
      </c>
      <c r="N22" s="76">
        <v>396.0233835158973</v>
      </c>
      <c r="O22" s="76">
        <v>410.43150325997897</v>
      </c>
      <c r="P22" s="76">
        <v>424.4439556483917</v>
      </c>
      <c r="Q22" s="76">
        <v>438.0230081582349</v>
      </c>
      <c r="R22" s="76">
        <v>451.1233305456511</v>
      </c>
      <c r="S22" s="76">
        <v>463.6891673477183</v>
      </c>
      <c r="T22" s="76">
        <v>452.94305405935546</v>
      </c>
      <c r="U22" s="76">
        <v>441.49941525123097</v>
      </c>
      <c r="V22" s="76">
        <v>429.23170574800315</v>
      </c>
      <c r="W22" s="76">
        <v>415.9570518977335</v>
      </c>
      <c r="X22" s="76">
        <v>401.39176746653334</v>
      </c>
      <c r="Y22" s="76">
        <v>385.05131069558996</v>
      </c>
      <c r="Z22" s="76">
        <v>365.98356860672953</v>
      </c>
      <c r="AA22" s="76">
        <v>341.8354562769563</v>
      </c>
      <c r="AB22" s="76">
        <v>303.2527335492883</v>
      </c>
    </row>
    <row r="23" spans="1:28" x14ac:dyDescent="0.25">
      <c r="A23" t="s">
        <v>163</v>
      </c>
      <c r="B23" t="s">
        <v>8</v>
      </c>
      <c r="C23" s="76">
        <v>6036.40511934471</v>
      </c>
      <c r="D23" s="76">
        <v>2162.561978497348</v>
      </c>
      <c r="E23" s="76">
        <v>1308.737459892177</v>
      </c>
      <c r="F23" s="76">
        <v>796.4427487290744</v>
      </c>
      <c r="G23" s="76">
        <v>489.06592203121284</v>
      </c>
      <c r="H23" s="76">
        <v>304.6398260124959</v>
      </c>
      <c r="I23" s="76">
        <v>193.98416840126575</v>
      </c>
      <c r="J23" s="76">
        <v>127.59077383452767</v>
      </c>
      <c r="K23" s="76">
        <v>87.7547370944848</v>
      </c>
      <c r="L23" s="76">
        <v>63.85311505045909</v>
      </c>
      <c r="M23" s="76">
        <v>49.51214182404367</v>
      </c>
      <c r="N23" s="76">
        <v>40.90755788819441</v>
      </c>
      <c r="O23" s="76">
        <v>35.74480752668485</v>
      </c>
      <c r="P23" s="76">
        <v>32.64715730977912</v>
      </c>
      <c r="Q23" s="76">
        <v>30.78856717963568</v>
      </c>
      <c r="R23" s="76">
        <v>29.67341310154962</v>
      </c>
      <c r="S23" s="76">
        <v>29.004320654697985</v>
      </c>
      <c r="T23" s="76">
        <v>28.602865186586996</v>
      </c>
      <c r="U23" s="76">
        <v>28.36199190572041</v>
      </c>
      <c r="V23" s="76">
        <v>28.217467937200457</v>
      </c>
      <c r="W23" s="76">
        <v>28.130753556088486</v>
      </c>
      <c r="X23" s="76">
        <v>28.078724927421298</v>
      </c>
      <c r="Y23" s="76">
        <v>28.047507750220987</v>
      </c>
      <c r="Z23" s="76">
        <v>28.0287774439008</v>
      </c>
      <c r="AA23" s="76">
        <v>28.017539260108688</v>
      </c>
      <c r="AB23" s="76">
        <v>28.01079634983342</v>
      </c>
    </row>
    <row r="24" spans="1:28" x14ac:dyDescent="0.25">
      <c r="A24" t="s">
        <v>222</v>
      </c>
      <c r="B24" t="s">
        <v>8</v>
      </c>
      <c r="C24" s="76">
        <v>2195.1991343679983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21.541050598021332</v>
      </c>
      <c r="O24" s="76">
        <v>147.49639229235194</v>
      </c>
      <c r="P24" s="76">
        <v>152.3451413993013</v>
      </c>
      <c r="Q24" s="76">
        <v>156.81811035640914</v>
      </c>
      <c r="R24" s="76">
        <v>161.0368522969105</v>
      </c>
      <c r="S24" s="76">
        <v>165.0728611544112</v>
      </c>
      <c r="T24" s="76">
        <v>163.25219652055145</v>
      </c>
      <c r="U24" s="76">
        <v>161.31343189427548</v>
      </c>
      <c r="V24" s="76">
        <v>159.26885061740072</v>
      </c>
      <c r="W24" s="76">
        <v>157.1240748622602</v>
      </c>
      <c r="X24" s="76">
        <v>154.88064270785839</v>
      </c>
      <c r="Y24" s="76">
        <v>152.5375500159829</v>
      </c>
      <c r="Z24" s="76">
        <v>150.0921709688104</v>
      </c>
      <c r="AA24" s="76">
        <v>147.54080557400627</v>
      </c>
      <c r="AB24" s="76">
        <v>144.87900310944715</v>
      </c>
    </row>
    <row r="25" spans="1:28" s="14" customFormat="1" x14ac:dyDescent="0.25">
      <c r="A25" s="14" t="s">
        <v>223</v>
      </c>
      <c r="B25" s="14" t="s">
        <v>8</v>
      </c>
      <c r="C25" s="77">
        <v>7024.915568464993</v>
      </c>
      <c r="D25" s="77">
        <v>235.60665519743077</v>
      </c>
      <c r="E25" s="77">
        <v>252.71537885809687</v>
      </c>
      <c r="F25" s="77">
        <v>269.6249217052525</v>
      </c>
      <c r="G25" s="77">
        <v>286.32324954886576</v>
      </c>
      <c r="H25" s="77">
        <v>302.79729828398</v>
      </c>
      <c r="I25" s="77">
        <v>319.03282357833245</v>
      </c>
      <c r="J25" s="77">
        <v>335.0142149596237</v>
      </c>
      <c r="K25" s="77">
        <v>350.72426269854816</v>
      </c>
      <c r="L25" s="77">
        <v>366.14386112239896</v>
      </c>
      <c r="M25" s="77">
        <v>381.25162485317117</v>
      </c>
      <c r="N25" s="77">
        <v>374.48233291787596</v>
      </c>
      <c r="O25" s="77">
        <v>262.935110967627</v>
      </c>
      <c r="P25" s="77">
        <v>272.0988142490904</v>
      </c>
      <c r="Q25" s="77">
        <v>281.2048978018258</v>
      </c>
      <c r="R25" s="77">
        <v>290.0864782487406</v>
      </c>
      <c r="S25" s="77">
        <v>298.6163061933071</v>
      </c>
      <c r="T25" s="77">
        <v>289.69085753880404</v>
      </c>
      <c r="U25" s="77">
        <v>280.1859833569555</v>
      </c>
      <c r="V25" s="77">
        <v>269.9628551306024</v>
      </c>
      <c r="W25" s="77">
        <v>258.8329770354733</v>
      </c>
      <c r="X25" s="77">
        <v>246.51112475867495</v>
      </c>
      <c r="Y25" s="77">
        <v>232.51376067960706</v>
      </c>
      <c r="Z25" s="77">
        <v>215.89139763791914</v>
      </c>
      <c r="AA25" s="77">
        <v>194.29465070295</v>
      </c>
      <c r="AB25" s="77">
        <v>158.37373043984113</v>
      </c>
    </row>
    <row r="26" spans="1:1" s="5" customFormat="1" x14ac:dyDescent="0.25">
      <c r="A26" s="5" t="s">
        <v>224</v>
      </c>
    </row>
    <row r="27" spans="1:28" x14ac:dyDescent="0.25">
      <c r="A27" t="s">
        <v>225</v>
      </c>
      <c r="B27" t="s">
        <v>86</v>
      </c>
      <c r="D27" s="76">
        <v>104.26063466596223</v>
      </c>
      <c r="E27" s="76">
        <v>104.0803408438415</v>
      </c>
      <c r="F27" s="76">
        <v>103.9000470217208</v>
      </c>
      <c r="G27" s="76">
        <v>103.71975319960006</v>
      </c>
      <c r="H27" s="76">
        <v>103.53945937747933</v>
      </c>
      <c r="I27" s="76">
        <v>103.35916555535863</v>
      </c>
      <c r="J27" s="76">
        <v>103.17887173323793</v>
      </c>
      <c r="K27" s="76">
        <v>102.99857791111721</v>
      </c>
      <c r="L27" s="76">
        <v>102.8182840889965</v>
      </c>
      <c r="M27" s="76">
        <v>102.63799026687578</v>
      </c>
      <c r="N27" s="76">
        <v>102.45769644475504</v>
      </c>
      <c r="O27" s="76">
        <v>102.27740262263436</v>
      </c>
      <c r="P27" s="76">
        <v>102.09710880051361</v>
      </c>
      <c r="Q27" s="76">
        <v>101.9168149783929</v>
      </c>
      <c r="R27" s="76">
        <v>101.7365211562722</v>
      </c>
      <c r="S27" s="76">
        <v>101.55622733415147</v>
      </c>
      <c r="T27" s="76">
        <v>101.37593351203077</v>
      </c>
      <c r="U27" s="76">
        <v>101.19563968991005</v>
      </c>
      <c r="V27" s="76">
        <v>101.01534586778932</v>
      </c>
      <c r="W27" s="76">
        <v>100.8350520456686</v>
      </c>
      <c r="X27" s="76">
        <v>100.65475822354787</v>
      </c>
      <c r="Y27" s="76">
        <v>100.47446440142718</v>
      </c>
      <c r="Z27" s="76">
        <v>100.29417057930648</v>
      </c>
      <c r="AA27" s="76">
        <v>100.11387675718575</v>
      </c>
      <c r="AB27" s="76">
        <v>99.93358293506505</v>
      </c>
    </row>
    <row r="28" spans="1:28" x14ac:dyDescent="0.25">
      <c r="A28" t="s">
        <v>355</v>
      </c>
      <c r="B28" t="s">
        <v>8</v>
      </c>
      <c r="C28" s="76">
        <v>99.93358293506505</v>
      </c>
      <c r="D28" s="76">
        <v>104.26063466596223</v>
      </c>
      <c r="E28" s="76">
        <v>-0.1802938221207313</v>
      </c>
      <c r="F28" s="76">
        <v>-0.18029382212070288</v>
      </c>
      <c r="G28" s="76">
        <v>-0.1802938221207313</v>
      </c>
      <c r="H28" s="76">
        <v>-0.1802938221207313</v>
      </c>
      <c r="I28" s="76">
        <v>-0.18029382212070288</v>
      </c>
      <c r="J28" s="76">
        <v>-0.18029382212070288</v>
      </c>
      <c r="K28" s="76">
        <v>-0.1802938221207171</v>
      </c>
      <c r="L28" s="76">
        <v>-0.18029382212070288</v>
      </c>
      <c r="M28" s="76">
        <v>-0.1802938221207313</v>
      </c>
      <c r="N28" s="76">
        <v>-0.1802938221207313</v>
      </c>
      <c r="O28" s="76">
        <v>-0.18029382212068867</v>
      </c>
      <c r="P28" s="76">
        <v>-0.18029382212074552</v>
      </c>
      <c r="Q28" s="76">
        <v>-0.18029382212070288</v>
      </c>
      <c r="R28" s="76">
        <v>-0.18029382212070288</v>
      </c>
      <c r="S28" s="76">
        <v>-0.1802938221207313</v>
      </c>
      <c r="T28" s="76">
        <v>-0.18029382212070288</v>
      </c>
      <c r="U28" s="76">
        <v>-0.1802938221207171</v>
      </c>
      <c r="V28" s="76">
        <v>-0.1802938221207313</v>
      </c>
      <c r="W28" s="76">
        <v>-0.1802938221207171</v>
      </c>
      <c r="X28" s="76">
        <v>-0.1802938221207313</v>
      </c>
      <c r="Y28" s="76">
        <v>-0.18029382212068867</v>
      </c>
      <c r="Z28" s="76">
        <v>-0.18029382212070288</v>
      </c>
      <c r="AA28" s="76">
        <v>-0.1802938221207313</v>
      </c>
      <c r="AB28" s="76">
        <v>-0.18029382212070288</v>
      </c>
    </row>
    <row r="29" spans="1:28" x14ac:dyDescent="0.25">
      <c r="A29" t="s">
        <v>143</v>
      </c>
      <c r="B29" t="s">
        <v>8</v>
      </c>
      <c r="C29" s="76">
        <v>672.0163676260926</v>
      </c>
      <c r="D29" s="76">
        <v>0</v>
      </c>
      <c r="E29" s="76">
        <v>28.000681984420524</v>
      </c>
      <c r="F29" s="76">
        <v>28.000681984420524</v>
      </c>
      <c r="G29" s="76">
        <v>28.000681984420524</v>
      </c>
      <c r="H29" s="76">
        <v>28.000681984420524</v>
      </c>
      <c r="I29" s="76">
        <v>28.000681984420524</v>
      </c>
      <c r="J29" s="76">
        <v>28.000681984420524</v>
      </c>
      <c r="K29" s="76">
        <v>28.000681984420524</v>
      </c>
      <c r="L29" s="76">
        <v>28.000681984420524</v>
      </c>
      <c r="M29" s="76">
        <v>28.000681984420524</v>
      </c>
      <c r="N29" s="76">
        <v>28.000681984420524</v>
      </c>
      <c r="O29" s="76">
        <v>28.000681984420524</v>
      </c>
      <c r="P29" s="76">
        <v>28.000681984420524</v>
      </c>
      <c r="Q29" s="76">
        <v>28.000681984420524</v>
      </c>
      <c r="R29" s="76">
        <v>28.000681984420524</v>
      </c>
      <c r="S29" s="76">
        <v>28.000681984420524</v>
      </c>
      <c r="T29" s="76">
        <v>28.000681984420524</v>
      </c>
      <c r="U29" s="76">
        <v>28.000681984420524</v>
      </c>
      <c r="V29" s="76">
        <v>28.000681984420524</v>
      </c>
      <c r="W29" s="76">
        <v>28.000681984420524</v>
      </c>
      <c r="X29" s="76">
        <v>28.000681984420524</v>
      </c>
      <c r="Y29" s="76">
        <v>28.000681984420524</v>
      </c>
      <c r="Z29" s="76">
        <v>28.000681984420524</v>
      </c>
      <c r="AA29" s="76">
        <v>28.000681984420524</v>
      </c>
      <c r="AB29" s="76">
        <v>28.000681984420524</v>
      </c>
    </row>
    <row r="30" spans="1:28" s="14" customFormat="1" x14ac:dyDescent="0.25">
      <c r="A30" s="14" t="s">
        <v>356</v>
      </c>
      <c r="B30" s="14" t="s">
        <v>8</v>
      </c>
      <c r="C30" s="77">
        <v>14515.57453005562</v>
      </c>
      <c r="D30" s="77">
        <v>666.5801102095621</v>
      </c>
      <c r="E30" s="77">
        <v>738.5888746823525</v>
      </c>
      <c r="F30" s="77">
        <v>734.0089377111304</v>
      </c>
      <c r="G30" s="77">
        <v>729.2731230525405</v>
      </c>
      <c r="H30" s="77">
        <v>724.3736368222146</v>
      </c>
      <c r="I30" s="77">
        <v>719.302295441566</v>
      </c>
      <c r="J30" s="77">
        <v>714.0505061530782</v>
      </c>
      <c r="K30" s="77">
        <v>708.6092465613594</v>
      </c>
      <c r="L30" s="77">
        <v>702.9690431512481</v>
      </c>
      <c r="M30" s="77">
        <v>697.1199487318246</v>
      </c>
      <c r="N30" s="77">
        <v>669.5104681546019</v>
      </c>
      <c r="O30" s="77">
        <v>537.2563941433036</v>
      </c>
      <c r="P30" s="77">
        <v>525.8670952647311</v>
      </c>
      <c r="Q30" s="77">
        <v>514.5996682086127</v>
      </c>
      <c r="R30" s="77">
        <v>503.3198644253436</v>
      </c>
      <c r="S30" s="77">
        <v>491.94285979413013</v>
      </c>
      <c r="T30" s="77">
        <v>486.1285980267848</v>
      </c>
      <c r="U30" s="77">
        <v>480.1238090929889</v>
      </c>
      <c r="V30" s="77">
        <v>473.9007782929816</v>
      </c>
      <c r="W30" s="77">
        <v>467.4376805285893</v>
      </c>
      <c r="X30" s="77">
        <v>460.7159646486751</v>
      </c>
      <c r="Y30" s="77">
        <v>453.71877106571225</v>
      </c>
      <c r="Z30" s="77">
        <v>446.42996868549784</v>
      </c>
      <c r="AA30" s="77">
        <v>438.833562742739</v>
      </c>
      <c r="AB30" s="77">
        <v>430.9133244640506</v>
      </c>
    </row>
    <row r="31" spans="1:28" x14ac:dyDescent="0.25">
      <c r="A31" t="s">
        <v>209</v>
      </c>
      <c r="B31" t="s">
        <v>8</v>
      </c>
      <c r="C31" s="76">
        <v>6509.311555277017</v>
      </c>
      <c r="D31" s="76">
        <v>592.9024091046895</v>
      </c>
      <c r="E31" s="76">
        <v>570.1955083304673</v>
      </c>
      <c r="F31" s="76">
        <v>547.4886075562451</v>
      </c>
      <c r="G31" s="76">
        <v>524.781706782023</v>
      </c>
      <c r="H31" s="76">
        <v>502.0748060078008</v>
      </c>
      <c r="I31" s="76">
        <v>479.36790523357865</v>
      </c>
      <c r="J31" s="76">
        <v>456.6610044593565</v>
      </c>
      <c r="K31" s="76">
        <v>433.9541036851343</v>
      </c>
      <c r="L31" s="76">
        <v>411.24720291091216</v>
      </c>
      <c r="M31" s="76">
        <v>388.54030213669006</v>
      </c>
      <c r="N31" s="76">
        <v>365.8334013624679</v>
      </c>
      <c r="O31" s="76">
        <v>343.1265005882458</v>
      </c>
      <c r="P31" s="76">
        <v>320.4195998140236</v>
      </c>
      <c r="Q31" s="76">
        <v>297.71269903980146</v>
      </c>
      <c r="R31" s="76">
        <v>275.00579826557856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</row>
    <row r="32" spans="1:28" s="14" customFormat="1" x14ac:dyDescent="0.25">
      <c r="A32" s="14" t="s">
        <v>357</v>
      </c>
      <c r="B32" s="14" t="s">
        <v>8</v>
      </c>
      <c r="C32" s="77">
        <v>8646.837052338007</v>
      </c>
      <c r="D32" s="77">
        <v>73.67770110487265</v>
      </c>
      <c r="E32" s="77">
        <v>168.39336635188522</v>
      </c>
      <c r="F32" s="77">
        <v>186.5203301548853</v>
      </c>
      <c r="G32" s="77">
        <v>204.49141627051756</v>
      </c>
      <c r="H32" s="77">
        <v>222.2988308144138</v>
      </c>
      <c r="I32" s="77">
        <v>239.93439020798735</v>
      </c>
      <c r="J32" s="77">
        <v>257.38950169372174</v>
      </c>
      <c r="K32" s="77">
        <v>274.6551428762251</v>
      </c>
      <c r="L32" s="77">
        <v>291.72184024033595</v>
      </c>
      <c r="M32" s="77">
        <v>308.57964659513453</v>
      </c>
      <c r="N32" s="77">
        <v>303.677066792134</v>
      </c>
      <c r="O32" s="77">
        <v>194.12989355505783</v>
      </c>
      <c r="P32" s="77">
        <v>205.4474954507075</v>
      </c>
      <c r="Q32" s="77">
        <v>216.88696916881122</v>
      </c>
      <c r="R32" s="77">
        <v>228.31406615976505</v>
      </c>
      <c r="S32" s="77">
        <v>491.94285979413013</v>
      </c>
      <c r="T32" s="77">
        <v>486.1285980267848</v>
      </c>
      <c r="U32" s="77">
        <v>480.1238090929889</v>
      </c>
      <c r="V32" s="77">
        <v>473.9007782929816</v>
      </c>
      <c r="W32" s="77">
        <v>467.4376805285893</v>
      </c>
      <c r="X32" s="77">
        <v>460.7159646486751</v>
      </c>
      <c r="Y32" s="77">
        <v>453.71877106571225</v>
      </c>
      <c r="Z32" s="77">
        <v>446.42996868549784</v>
      </c>
      <c r="AA32" s="77">
        <v>438.833562742739</v>
      </c>
      <c r="AB32" s="77">
        <v>1071.4874020234527</v>
      </c>
    </row>
    <row r="33" spans="1:28" x14ac:dyDescent="0.25">
      <c r="A33" t="s">
        <v>233</v>
      </c>
      <c r="B33" t="s">
        <v>86</v>
      </c>
      <c r="D33" s="76">
        <v>-1548.2437827681388</v>
      </c>
      <c r="E33" s="76">
        <v>-1379.8504164162537</v>
      </c>
      <c r="F33" s="76">
        <v>-1193.3300862613683</v>
      </c>
      <c r="G33" s="76">
        <v>-988.8386699908507</v>
      </c>
      <c r="H33" s="76">
        <v>-766.5398391764369</v>
      </c>
      <c r="I33" s="76">
        <v>-526.6054489684495</v>
      </c>
      <c r="J33" s="76">
        <v>-269.2159472747278</v>
      </c>
      <c r="K33" s="76">
        <v>5.4391956014973175</v>
      </c>
      <c r="L33" s="76">
        <v>297.16103584183327</v>
      </c>
      <c r="M33" s="76">
        <v>605.7406824369677</v>
      </c>
      <c r="N33" s="76">
        <v>909.4177492291017</v>
      </c>
      <c r="O33" s="76">
        <v>1103.5476427841595</v>
      </c>
      <c r="P33" s="76">
        <v>1308.995138234867</v>
      </c>
      <c r="Q33" s="76">
        <v>1525.8821074036782</v>
      </c>
      <c r="R33" s="76">
        <v>1754.1961735634432</v>
      </c>
      <c r="S33" s="76">
        <v>2246.139033357573</v>
      </c>
      <c r="T33" s="76">
        <v>2732.267631384358</v>
      </c>
      <c r="U33" s="76">
        <v>3212.391440477347</v>
      </c>
      <c r="V33" s="76">
        <v>3686.2922187703284</v>
      </c>
      <c r="W33" s="76">
        <v>4153.729899298918</v>
      </c>
      <c r="X33" s="76">
        <v>4614.445863947593</v>
      </c>
      <c r="Y33" s="76">
        <v>5068.164635013306</v>
      </c>
      <c r="Z33" s="76">
        <v>5514.594603698803</v>
      </c>
      <c r="AA33" s="76">
        <v>5953.428166441542</v>
      </c>
      <c r="AB33" s="76">
        <v>7024.915568464995</v>
      </c>
    </row>
    <row r="34" spans="1:28" x14ac:dyDescent="0.25">
      <c r="A34" t="s">
        <v>358</v>
      </c>
      <c r="B34" t="s">
        <v>8</v>
      </c>
      <c r="C34" s="76">
        <v>13974.796936398174</v>
      </c>
      <c r="D34" s="76">
        <v>666.5801102095621</v>
      </c>
      <c r="E34" s="76">
        <v>738.5888746823525</v>
      </c>
      <c r="F34" s="76">
        <v>734.0089377111304</v>
      </c>
      <c r="G34" s="76">
        <v>661.8105788550215</v>
      </c>
      <c r="H34" s="76">
        <v>611.7242449409575</v>
      </c>
      <c r="I34" s="76">
        <v>580.0773311650715</v>
      </c>
      <c r="J34" s="76">
        <v>559.4361998280482</v>
      </c>
      <c r="K34" s="76">
        <v>545.3377748280963</v>
      </c>
      <c r="L34" s="76">
        <v>535.1011723478287</v>
      </c>
      <c r="M34" s="76">
        <v>527.1146720326852</v>
      </c>
      <c r="N34" s="76">
        <v>520.4078921025956</v>
      </c>
      <c r="O34" s="76">
        <v>514.3950864438168</v>
      </c>
      <c r="P34" s="76">
        <v>508.7211144901161</v>
      </c>
      <c r="Q34" s="76">
        <v>503.1690143588692</v>
      </c>
      <c r="R34" s="76">
        <v>497.60453750047196</v>
      </c>
      <c r="S34" s="76">
        <v>491.94285979413013</v>
      </c>
      <c r="T34" s="76">
        <v>486.1285980267848</v>
      </c>
      <c r="U34" s="76">
        <v>480.1238090929889</v>
      </c>
      <c r="V34" s="76">
        <v>473.9007782929816</v>
      </c>
      <c r="W34" s="76">
        <v>467.4376805285893</v>
      </c>
      <c r="X34" s="76">
        <v>460.7159646486751</v>
      </c>
      <c r="Y34" s="76">
        <v>453.71877106571225</v>
      </c>
      <c r="Z34" s="76">
        <v>446.42996868549784</v>
      </c>
      <c r="AA34" s="76">
        <v>438.833562742739</v>
      </c>
      <c r="AB34" s="76">
        <v>1071.4874020234527</v>
      </c>
    </row>
    <row r="35" spans="1:1" s="5" customFormat="1" x14ac:dyDescent="0.25">
      <c r="A35" s="5" t="s">
        <v>94</v>
      </c>
    </row>
    <row r="36" spans="1:28" x14ac:dyDescent="0.25">
      <c r="A36" t="s">
        <v>205</v>
      </c>
      <c r="B36" t="s">
        <v>86</v>
      </c>
      <c r="D36" s="76">
        <v>3784.483462370358</v>
      </c>
      <c r="E36" s="76">
        <v>3532.184564879001</v>
      </c>
      <c r="F36" s="76">
        <v>3279.8856673876435</v>
      </c>
      <c r="G36" s="76">
        <v>3027.586769896286</v>
      </c>
      <c r="H36" s="76">
        <v>2775.2878724049287</v>
      </c>
      <c r="I36" s="76">
        <v>2522.9889749135714</v>
      </c>
      <c r="J36" s="76">
        <v>2270.690077422214</v>
      </c>
      <c r="K36" s="76">
        <v>2018.3911799308569</v>
      </c>
      <c r="L36" s="76">
        <v>1766.0922824394997</v>
      </c>
      <c r="M36" s="76">
        <v>1513.7933849481426</v>
      </c>
      <c r="N36" s="76">
        <v>1261.4944874567855</v>
      </c>
      <c r="O36" s="76">
        <v>1009.1955899654282</v>
      </c>
      <c r="P36" s="76">
        <v>756.896692474071</v>
      </c>
      <c r="Q36" s="76">
        <v>504.5977949827137</v>
      </c>
      <c r="R36" s="76">
        <v>252.29889749135648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</row>
    <row r="37" spans="1:28" x14ac:dyDescent="0.25">
      <c r="A37" t="s">
        <v>206</v>
      </c>
      <c r="B37" t="s">
        <v>8</v>
      </c>
      <c r="C37" s="76">
        <v>2724.8280929066573</v>
      </c>
      <c r="D37" s="76">
        <v>340.6035116133322</v>
      </c>
      <c r="E37" s="76">
        <v>317.89661083911005</v>
      </c>
      <c r="F37" s="76">
        <v>295.1897100648879</v>
      </c>
      <c r="G37" s="76">
        <v>272.4828092906657</v>
      </c>
      <c r="H37" s="76">
        <v>249.77590851644356</v>
      </c>
      <c r="I37" s="76">
        <v>227.06900774222143</v>
      </c>
      <c r="J37" s="76">
        <v>204.36210696799927</v>
      </c>
      <c r="K37" s="76">
        <v>181.6552061937771</v>
      </c>
      <c r="L37" s="76">
        <v>158.94830541955497</v>
      </c>
      <c r="M37" s="76">
        <v>136.24140464533284</v>
      </c>
      <c r="N37" s="76">
        <v>113.53450387111069</v>
      </c>
      <c r="O37" s="76">
        <v>90.82760309688854</v>
      </c>
      <c r="P37" s="76">
        <v>68.12070232266639</v>
      </c>
      <c r="Q37" s="76">
        <v>45.41380154844423</v>
      </c>
      <c r="R37" s="76">
        <v>22.70690077422208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</row>
    <row r="38" spans="1:28" x14ac:dyDescent="0.25">
      <c r="A38" t="s">
        <v>207</v>
      </c>
      <c r="B38" t="s">
        <v>8</v>
      </c>
      <c r="C38" s="76">
        <v>3784.483462370358</v>
      </c>
      <c r="D38" s="76">
        <v>252.29889749135722</v>
      </c>
      <c r="E38" s="76">
        <v>252.29889749135722</v>
      </c>
      <c r="F38" s="76">
        <v>252.29889749135722</v>
      </c>
      <c r="G38" s="76">
        <v>252.29889749135722</v>
      </c>
      <c r="H38" s="76">
        <v>252.29889749135722</v>
      </c>
      <c r="I38" s="76">
        <v>252.29889749135722</v>
      </c>
      <c r="J38" s="76">
        <v>252.29889749135722</v>
      </c>
      <c r="K38" s="76">
        <v>252.29889749135722</v>
      </c>
      <c r="L38" s="76">
        <v>252.29889749135722</v>
      </c>
      <c r="M38" s="76">
        <v>252.29889749135722</v>
      </c>
      <c r="N38" s="76">
        <v>252.29889749135722</v>
      </c>
      <c r="O38" s="76">
        <v>252.29889749135722</v>
      </c>
      <c r="P38" s="76">
        <v>252.29889749135722</v>
      </c>
      <c r="Q38" s="76">
        <v>252.29889749135722</v>
      </c>
      <c r="R38" s="76">
        <v>252.29889749135648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</row>
    <row r="39" spans="1:28" x14ac:dyDescent="0.25">
      <c r="A39" t="s">
        <v>208</v>
      </c>
      <c r="B39" t="s">
        <v>86</v>
      </c>
      <c r="D39" s="76">
        <v>3532.184564879001</v>
      </c>
      <c r="E39" s="76">
        <v>3279.8856673876435</v>
      </c>
      <c r="F39" s="76">
        <v>3027.586769896286</v>
      </c>
      <c r="G39" s="76">
        <v>2775.2878724049287</v>
      </c>
      <c r="H39" s="76">
        <v>2522.9889749135714</v>
      </c>
      <c r="I39" s="76">
        <v>2270.690077422214</v>
      </c>
      <c r="J39" s="76">
        <v>2018.3911799308569</v>
      </c>
      <c r="K39" s="76">
        <v>1766.0922824394997</v>
      </c>
      <c r="L39" s="76">
        <v>1513.7933849481426</v>
      </c>
      <c r="M39" s="76">
        <v>1261.4944874567855</v>
      </c>
      <c r="N39" s="76">
        <v>1009.1955899654282</v>
      </c>
      <c r="O39" s="76">
        <v>756.896692474071</v>
      </c>
      <c r="P39" s="76">
        <v>504.5977949827137</v>
      </c>
      <c r="Q39" s="76">
        <v>252.29889749135648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  <c r="AA39" s="76">
        <v>0</v>
      </c>
      <c r="AB39" s="76">
        <v>0</v>
      </c>
    </row>
    <row r="40" spans="1:28" x14ac:dyDescent="0.25">
      <c r="A40" t="s">
        <v>229</v>
      </c>
      <c r="B40" t="s">
        <v>88</v>
      </c>
      <c r="D40" s="78">
        <v>1.1242661523607729</v>
      </c>
      <c r="E40" s="78">
        <v>1.2953256626747922</v>
      </c>
      <c r="F40" s="78">
        <v>1.3406834910911338</v>
      </c>
      <c r="G40" s="78">
        <v>1.3896694828111769</v>
      </c>
      <c r="H40" s="78">
        <v>1.44276037784489</v>
      </c>
      <c r="I40" s="78">
        <v>1.5005224329548636</v>
      </c>
      <c r="J40" s="78">
        <v>1.5636336345347608</v>
      </c>
      <c r="K40" s="78">
        <v>1.6329128830534292</v>
      </c>
      <c r="L40" s="78">
        <v>1.7093588434777298</v>
      </c>
      <c r="M40" s="78">
        <v>1.7942024158064689</v>
      </c>
      <c r="N40" s="78">
        <v>1.830096611356847</v>
      </c>
      <c r="O40" s="78">
        <v>1.5657677073098328</v>
      </c>
      <c r="P40" s="78">
        <v>1.641182672876292</v>
      </c>
      <c r="Q40" s="78">
        <v>1.7285109767515003</v>
      </c>
      <c r="R40" s="78">
        <v>1.8302154630909913</v>
      </c>
    </row>
    <row r="42" spans="1:1" s="5" customFormat="1" x14ac:dyDescent="0.25">
      <c r="A42" s="5" t="s">
        <v>359</v>
      </c>
    </row>
    <row r="43" spans="1:28" s="67" customFormat="1" x14ac:dyDescent="0.25">
      <c r="A43" s="67" t="s">
        <v>224</v>
      </c>
      <c r="B43" s="67" t="s">
        <v>74</v>
      </c>
      <c r="C43" s="67" t="s">
        <v>76</v>
      </c>
      <c r="D43" s="67" t="s">
        <v>328</v>
      </c>
      <c r="E43" s="67" t="s">
        <v>329</v>
      </c>
      <c r="F43" s="67" t="s">
        <v>330</v>
      </c>
      <c r="G43" s="67" t="s">
        <v>331</v>
      </c>
      <c r="H43" s="67" t="s">
        <v>332</v>
      </c>
      <c r="I43" s="67" t="s">
        <v>333</v>
      </c>
      <c r="J43" s="67" t="s">
        <v>334</v>
      </c>
      <c r="K43" s="67" t="s">
        <v>335</v>
      </c>
      <c r="L43" s="67" t="s">
        <v>336</v>
      </c>
      <c r="M43" s="67" t="s">
        <v>337</v>
      </c>
      <c r="N43" s="67" t="s">
        <v>338</v>
      </c>
      <c r="O43" s="67" t="s">
        <v>339</v>
      </c>
      <c r="P43" s="67" t="s">
        <v>340</v>
      </c>
      <c r="Q43" s="67" t="s">
        <v>341</v>
      </c>
      <c r="R43" s="67" t="s">
        <v>342</v>
      </c>
      <c r="S43" s="67" t="s">
        <v>343</v>
      </c>
      <c r="T43" s="67" t="s">
        <v>344</v>
      </c>
      <c r="U43" s="67" t="s">
        <v>345</v>
      </c>
      <c r="V43" s="67" t="s">
        <v>346</v>
      </c>
      <c r="W43" s="67" t="s">
        <v>347</v>
      </c>
      <c r="X43" s="67" t="s">
        <v>348</v>
      </c>
      <c r="Y43" s="67" t="s">
        <v>349</v>
      </c>
      <c r="Z43" s="67" t="s">
        <v>350</v>
      </c>
      <c r="AA43" s="67" t="s">
        <v>351</v>
      </c>
      <c r="AB43" s="67" t="s">
        <v>352</v>
      </c>
    </row>
    <row r="44" spans="1:28" x14ac:dyDescent="0.25">
      <c r="A44" t="s">
        <v>360</v>
      </c>
      <c r="B44" t="s">
        <v>86</v>
      </c>
      <c r="C44" s="76">
        <v>-1621.9214838730113</v>
      </c>
      <c r="D44" s="76">
        <v>73.67770110487265</v>
      </c>
      <c r="E44" s="76">
        <v>168.39336635188522</v>
      </c>
      <c r="F44" s="76">
        <v>186.5203301548853</v>
      </c>
      <c r="G44" s="76">
        <v>204.49141627051756</v>
      </c>
      <c r="H44" s="76">
        <v>222.2988308144138</v>
      </c>
      <c r="I44" s="76">
        <v>239.93439020798735</v>
      </c>
      <c r="J44" s="76">
        <v>257.38950169372174</v>
      </c>
      <c r="K44" s="76">
        <v>274.6551428762251</v>
      </c>
      <c r="L44" s="76">
        <v>291.72184024033595</v>
      </c>
      <c r="M44" s="76">
        <v>308.57964659513453</v>
      </c>
      <c r="N44" s="76">
        <v>303.677066792134</v>
      </c>
      <c r="O44" s="76">
        <v>194.12989355505783</v>
      </c>
      <c r="P44" s="76">
        <v>205.4474954507075</v>
      </c>
      <c r="Q44" s="76">
        <v>216.88696916881122</v>
      </c>
      <c r="R44" s="76">
        <v>228.31406615976505</v>
      </c>
      <c r="S44" s="76">
        <v>491.94285979413013</v>
      </c>
      <c r="T44" s="76">
        <v>486.1285980267848</v>
      </c>
      <c r="U44" s="76">
        <v>480.1238090929889</v>
      </c>
      <c r="V44" s="76">
        <v>473.9007782929816</v>
      </c>
      <c r="W44" s="76">
        <v>467.4376805285893</v>
      </c>
      <c r="X44" s="76">
        <v>460.7159646486751</v>
      </c>
      <c r="Y44" s="76">
        <v>453.71877106571225</v>
      </c>
      <c r="Z44" s="76">
        <v>446.42996868549784</v>
      </c>
      <c r="AA44" s="76">
        <v>438.833562742739</v>
      </c>
      <c r="AB44" s="76">
        <v>1071.4874020234527</v>
      </c>
    </row>
    <row r="45" spans="1:28" x14ac:dyDescent="0.25">
      <c r="A45" t="s">
        <v>358</v>
      </c>
      <c r="B45" t="s">
        <v>86</v>
      </c>
      <c r="C45" s="76">
        <v>-5406.4049462433695</v>
      </c>
      <c r="D45" s="76">
        <v>666.5801102095621</v>
      </c>
      <c r="E45" s="76">
        <v>738.5888746823525</v>
      </c>
      <c r="F45" s="76">
        <v>734.0089377111304</v>
      </c>
      <c r="G45" s="76">
        <v>661.8105788550215</v>
      </c>
      <c r="H45" s="76">
        <v>611.7242449409575</v>
      </c>
      <c r="I45" s="76">
        <v>580.0773311650715</v>
      </c>
      <c r="J45" s="76">
        <v>559.4361998280482</v>
      </c>
      <c r="K45" s="76">
        <v>545.3377748280963</v>
      </c>
      <c r="L45" s="76">
        <v>535.1011723478287</v>
      </c>
      <c r="M45" s="76">
        <v>527.1146720326852</v>
      </c>
      <c r="N45" s="76">
        <v>520.4078921025956</v>
      </c>
      <c r="O45" s="76">
        <v>514.3950864438168</v>
      </c>
      <c r="P45" s="76">
        <v>508.7211144901161</v>
      </c>
      <c r="Q45" s="76">
        <v>503.1690143588692</v>
      </c>
      <c r="R45" s="76">
        <v>497.60453750047196</v>
      </c>
      <c r="S45" s="76">
        <v>491.94285979413013</v>
      </c>
      <c r="T45" s="76">
        <v>486.1285980267848</v>
      </c>
      <c r="U45" s="76">
        <v>480.1238090929889</v>
      </c>
      <c r="V45" s="76">
        <v>473.9007782929816</v>
      </c>
      <c r="W45" s="76">
        <v>467.4376805285893</v>
      </c>
      <c r="X45" s="76">
        <v>460.7159646486751</v>
      </c>
      <c r="Y45" s="76">
        <v>453.71877106571225</v>
      </c>
      <c r="Z45" s="76">
        <v>446.42996868549784</v>
      </c>
      <c r="AA45" s="76">
        <v>438.833562742739</v>
      </c>
      <c r="AB45" s="76">
        <v>1071.4874020234527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0.0996201770065818</v>
      </c>
      <c r="C47" t="s">
        <v>8</v>
      </c>
    </row>
    <row r="48" spans="1:3" x14ac:dyDescent="0.25">
      <c r="A48" t="s">
        <v>10</v>
      </c>
      <c r="B48" s="8">
        <v>9.947598300641403e-14</v>
      </c>
      <c r="C48" t="s">
        <v>8</v>
      </c>
    </row>
    <row r="49" spans="1:3" x14ac:dyDescent="0.25">
      <c r="A49" t="s">
        <v>11</v>
      </c>
      <c r="B49" s="9">
        <v>1.1242661523607729</v>
      </c>
      <c r="C49" t="s">
        <v>8</v>
      </c>
    </row>
    <row r="50" spans="1:3" x14ac:dyDescent="0.25">
      <c r="A50" t="s">
        <v>12</v>
      </c>
      <c r="B50" s="9">
        <v>1.5592739205330317</v>
      </c>
      <c r="C50" t="s">
        <v>8</v>
      </c>
    </row>
    <row r="51" spans="1:3" x14ac:dyDescent="0.25">
      <c r="A51" t="s">
        <v>13</v>
      </c>
      <c r="B51" s="10">
        <v>8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2026-10-24T20:03:27Z</dcterms:created>
  <dcterms:modified xsi:type="dcterms:W3CDTF">2026-10-24T20:03:27Z</dcterms:modified>
</cp:coreProperties>
</file>