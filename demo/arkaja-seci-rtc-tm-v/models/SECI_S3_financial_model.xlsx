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<sst xmlns="http://schemas.openxmlformats.org/spreadsheetml/2006/main" count="933" uniqueCount="356">
  <si>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</si>
  <si>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</si>
  <si>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</si>
  <si>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</si>
  <si>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</si>
  <si>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</si>
  <si>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</si>
  <si>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</si>
  <si>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</si>
  <si>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</si>
  <si>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</si>
  <si>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</si>
  <si>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</si>
  <si>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</si>
  <si>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</si>
  <si>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₹26.43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</si>
  <si>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</si>
  <si>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</si>
  <si>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</si>
  <si>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</si>
  <si>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</si>
  <si>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</si>
  <si>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</si>
  <si>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83.4%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</si>
  <si>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</si>
  <si>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</si>
  <si>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</si>
  <si>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</si>
  <si>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</si>
  <si>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</si>
  <si>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</si>
  <si>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</si>
  <si>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</si>
  <si>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</si>
  <si>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</si>
  <si>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</si>
  <si>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</si>
  <si>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</si>
  <si>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</si>
  <si>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</si>
  <si>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</si>
  <si>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</si>
  <si>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</si>
  <si>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</si>
  <si>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</si>
  <si>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</si>
  <si>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</si>
  <si>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</si>
  <si>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</si>
  <si>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</si>
  <si>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</si>
  <si>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</si>
  <si>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</si>
  <si>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</si>
  <si>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</si>
  <si>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</si>
  <si>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</si>
  <si>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</si>
  <si>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</si>
  <si>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</si>
  <si>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</si>
  <si>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</si>
  <si>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</si>
  <si>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</si>
  <si>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</si>
  <si>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</si>
  <si>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</si>
  <si>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</si>
  <si>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</si>
  <si>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</si>
  <si>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</si>
  <si>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</si>
  <si>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</si>
  <si>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</si>
  <si>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</si>
  <si>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</si>
  <si>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</si>
  <si>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</si>
  <si>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</si>
  <si>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</si>
  <si>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</si>
  <si>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</si>
  <si>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</si>
  <si>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</si>
  <si>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</si>
  <si>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</si>
  <si>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</si>
  <si>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</si>
  <si>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</si>
  <si>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</si>
  <si>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</si>
  <si>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</si>
  <si>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</si>
  <si>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</si>
  <si>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</si>
  <si>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</si>
  <si>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</si>
  <si>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</si>
  <si>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</si>
  <si>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</si>
  <si>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</si>
  <si>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</si>
  <si>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</si>
  <si>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</si>
  <si>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</si>
  <si>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</si>
  <si>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</si>
  <si>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</si>
  <si>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</si>
  <si>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</si>
  <si>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</si>
  <si>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</si>
  <si>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</si>
  <si>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</si>
  <si>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</si>
  <si>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</si>
  <si>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</si>
  <si>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</si>
  <si>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</si>
  <si>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</si>
  <si>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</si>
  <si>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</si>
  <si>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</si>
  <si>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</si>
  <si>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</si>
  <si>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</si>
  <si>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</si>
  <si>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</si>
  <si>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</si>
  <si>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</si>
  <si>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</si>
  <si>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</si>
  <si>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</si>
  <si>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</si>
  <si>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</si>
  <si>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</si>
  <si>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</si>
  <si>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</si>
  <si>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</si>
  <si>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</si>
  <si>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</si>
  <si>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</si>
  <si>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</si>
  <si>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</si>
  <si>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</si>
  <si>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</si>
  <si>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</si>
  <si>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</si>
  <si>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</si>
  <si>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</si>
  <si>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</si>
  <si>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</si>
  <si>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</si>
  <si>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</si>
  <si>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</si>
  <si>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</si>
  <si>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</si>
  <si>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</si>
  <si>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</si>
  <si>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</si>
  <si>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</si>
  <si>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</si>
  <si>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</si>
  <si>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</si>
  <si>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</si>
  <si>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</si>
  <si>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</si>
  <si>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</si>
  <si>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</si>
  <si>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</si>
  <si>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</si>
  <si>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</si>
  <si>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</si>
  <si>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</si>
  <si>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</si>
  <si>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</si>
  <si>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</si>
  <si>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</si>
  <si>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</si>
  <si>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</si>
  <si>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</si>
  <si>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</si>
  <si>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</si>
  <si>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</si>
  <si>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</si>
  <si>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</si>
  <si>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</si>
  <si>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</si>
  <si>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</si>
  <si>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</si>
  <si>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</si>
  <si>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</si>
  <si>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</si>
  <si>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</si>
  <si>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</si>
  <si>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</si>
  <si>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</si>
  <si>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</si>
  <si>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</si>
  <si>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</si>
  <si>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</si>
  <si>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</si>
  <si>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</si>
  <si>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</si>
  <si>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</si>
  <si>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</si>
  <si>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</si>
  <si>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</si>
  <si>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</si>
  <si>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</si>
  <si>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</si>
  <si>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</si>
  <si>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</si>
  <si>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</si>
  <si>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</si>
  <si>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</si>
  <si>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</si>
  <si>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</si>
  <si>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</si>
  <si>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</si>
  <si>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</si>
  <si>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</si>
  <si>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</si>
  <si>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</si>
  <si>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</si>
  <si>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</si>
  <si>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</si>
  <si>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</si>
  <si>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</si>
  <si>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</si>
  <si>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</si>
  <si>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</si>
  <si>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</si>
  <si>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</si>
  <si>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</si>
  <si>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</si>
  <si>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</si>
  <si>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</si>
  <si>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</si>
  <si>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</si>
  <si>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</si>
  <si>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</si>
  <si>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</si>
  <si>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</si>
  <si>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</si>
  <si>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</si>
  <si>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</si>
  <si>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</si>
  <si>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</si>
  <si>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</si>
  <si>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</si>
  <si>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</si>
  <si>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</si>
  <si>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</si>
  <si>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</si>
  <si>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</si>
  <si>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</si>
  <si>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</si>
  <si>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</si>
  <si>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</si>
  <si>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</si>
  <si>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</si>
  <si>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</si>
  <si>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</si>
  <si>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</si>
  <si>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79.9% of the hours at the floor; 48.01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</si>
  <si>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</si>
  <si>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</si>
  <si>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</si>
  <si>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</si>
  <si>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88.4% of the hours at the floor; 68.12 MU short in the worst modelled year</t>
  </si>
  <si>
    <t>Peak hours</t>
  </si>
  <si>
    <t>Evening 18:00–24:00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</si>
  <si>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</si>
  <si>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</si>
  <si>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</si>
  <si>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</si>
  <si>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</si>
  <si>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290 MW / 1,161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</si>
  <si>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</si>
  <si>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</si>
  <si>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</si>
  <si>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</si>
  <si>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</si>
  <si>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</si>
  <si>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</si>
  <si>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₹6.366/kWh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</si>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</sst>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6.365711545771363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0.099619277237216</v>
      </c>
      <c r="C12" t="s">
        <v>8</v>
      </c>
    </row>
    <row r="13" spans="1:3" x14ac:dyDescent="0.25">
      <c r="A13" t="s">
        <v>10</v>
      </c>
      <c r="B13" s="8">
        <f>'Live model'!$C$13</f>
        <v>5.968558980384842e-13</v>
      </c>
      <c r="C13" t="s">
        <v>8</v>
      </c>
    </row>
    <row r="14" spans="1:3" x14ac:dyDescent="0.25">
      <c r="A14" t="s">
        <v>11</v>
      </c>
      <c r="B14" s="9">
        <f>'Live model'!$C$15</f>
        <v>1.1249559367521016</v>
      </c>
      <c r="C14" t="s">
        <v>8</v>
      </c>
    </row>
    <row r="15" spans="1:3" x14ac:dyDescent="0.25">
      <c r="A15" t="s">
        <v>12</v>
      </c>
      <c r="B15" s="9">
        <f>'Live model'!$C$16</f>
        <v>1.5591657174013682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5285.015561746547</v>
      </c>
      <c r="C17" t="s">
        <v>15</v>
      </c>
    </row>
    <row r="18" spans="1:3" x14ac:dyDescent="0.25">
      <c r="A18" t="s">
        <v>16</v>
      </c>
      <c r="B18" s="8">
        <f>'Live model'!$C$21</f>
        <v>3699.5108932225826</v>
      </c>
      <c r="C18" t="s">
        <v>8</v>
      </c>
    </row>
    <row r="19" spans="1:3" x14ac:dyDescent="0.25">
      <c r="A19" t="s">
        <v>17</v>
      </c>
      <c r="B19" s="8">
        <f>'Live model'!$C$22</f>
        <v>1585.5046685239645</v>
      </c>
      <c r="C19" t="s">
        <v>8</v>
      </c>
    </row>
    <row r="20" spans="1:3" x14ac:dyDescent="0.25">
      <c r="A20" t="s">
        <v>18</v>
      </c>
      <c r="B20" s="6">
        <f>'Live model'!$C$17</f>
        <v>4.904721028405331</v>
      </c>
      <c r="C20" t="s">
        <v>19</v>
      </c>
    </row>
    <row r="21" spans="1:3" x14ac:dyDescent="0.25">
      <c r="A21" t="s">
        <v>20</v>
      </c>
      <c r="B21" s="6">
        <v>6.360371009553078</v>
      </c>
      <c r="C21" t="s">
        <v>21</v>
      </c>
    </row>
    <row r="22" spans="1:3" x14ac:dyDescent="0.25">
      <c r="A22" t="s">
        <v>22</v>
      </c>
      <c r="B22" s="11">
        <v>1461.0221597562793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20245.906958187465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413.102342378588</v>
      </c>
      <c r="C29" t="s">
        <v>32</v>
      </c>
    </row>
    <row r="30" spans="1:3" x14ac:dyDescent="0.25">
      <c r="A30" t="s">
        <v>33</v>
      </c>
      <c r="B30" s="11">
        <v>305.76709938749815</v>
      </c>
      <c r="C30" t="s">
        <v>32</v>
      </c>
    </row>
    <row r="31" spans="1:3" x14ac:dyDescent="0.25">
      <c r="A31" t="s">
        <v>34</v>
      </c>
      <c r="B31" s="11">
        <v>290.30263302317496</v>
      </c>
      <c r="C31" t="s">
        <v>8</v>
      </c>
    </row>
    <row r="32" spans="1:3" x14ac:dyDescent="0.25">
      <c r="A32" t="s">
        <v>35</v>
      </c>
      <c r="B32" s="11">
        <v>1161.2105320926999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6.365711545771363</v>
      </c>
      <c r="D9" s="28">
        <v>6.365711545771363</v>
      </c>
      <c r="E9" s="29">
        <f>IF(ISNUMBER(C9),C9-D9,"")</f>
        <v>0</v>
      </c>
      <c r="F9" s="12" t="str">
        <f>IF(ISNUMBER(E9),IF(ABS(E9)&lt;=0.000006365711545771363,"Yes","Changed"),"")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0.09961927737960535</v>
      </c>
      <c r="D12" s="31">
        <v>0.099619277237216</v>
      </c>
      <c r="E12" s="32">
        <f>IF(ISNUMBER(C12),C12-D12,"")</f>
        <v>1.4238935031052335e-10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1.4210854715202004e-13</v>
      </c>
      <c r="D13" s="36">
        <v>5.968558980384842e-13</v>
      </c>
      <c r="E13" s="37">
        <f>IF(ISNUMBER(C13),C13-D13,"")</f>
        <v>-4.547473508864641e-13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-14.171989576490887</v>
      </c>
      <c r="D14" s="36">
        <v>-14.171989576490063</v>
      </c>
      <c r="E14" s="37">
        <f>IF(ISNUMBER(C14),C14-D14,"")</f>
        <v>-8.242295734817162e-13</v>
      </c>
      <c r="F14" s="12" t="str">
        <f>IF(ISNUMBER(E14),IF(ABS(E14)&lt;=0.000014171989576490062,"Yes","Changed"),"")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1.1249559367521016</v>
      </c>
      <c r="D15" s="39">
        <v>1.1249559367521016</v>
      </c>
      <c r="E15" s="40">
        <f>IF(ISNUMBER(C15),C15-D15,"")</f>
        <v>0</v>
      </c>
      <c r="F15" s="12" t="str">
        <f>IF(ISNUMBER(E15),IF(ABS(E15)&lt;=0.0000011249559367521016,"Yes","Changed"),"")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1.5591657174013682</v>
      </c>
      <c r="D16" s="39">
        <v>1.5591657174013682</v>
      </c>
      <c r="E16" s="40">
        <f>IF(ISNUMBER(C16),C16-D16,"")</f>
        <v>0</v>
      </c>
      <c r="F16" s="12" t="str">
        <f>IF(ISNUMBER(E16),IF(ABS(E16)&lt;=0.0000015591657174013681,"Yes","Changed"),"")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4.904721028405333</v>
      </c>
      <c r="D17" s="28">
        <v>4.904721028405331</v>
      </c>
      <c r="E17" s="29">
        <f>IF(ISNUMBER(C17),C17-D17,"")</f>
        <v>1.7763568394002505e-15</v>
      </c>
      <c r="F17" s="12" t="str">
        <f>IF(ISNUMBER(E17),IF(ABS(E17)&lt;=0.000004904721028405331,"Yes","Changed"),"")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6.3657115457713624</v>
      </c>
      <c r="D18" s="28">
        <v>6.365711545771362</v>
      </c>
      <c r="E18" s="29">
        <f>IF(ISNUMBER(C18),C18-D18,"")</f>
        <v>8.881784197001252e-16</v>
      </c>
      <c r="F18" s="12" t="str">
        <f>IF(ISNUMBER(E18),IF(ABS(E18)&lt;=0.000006365711545771361,"Yes","Changed"),"")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5285.015561746547</v>
      </c>
      <c r="D20" s="36">
        <v>5285.015561746547</v>
      </c>
      <c r="E20" s="37">
        <f>IF(ISNUMBER(C20),C20-D20,"")</f>
        <v>0</v>
      </c>
      <c r="F20" s="12" t="str">
        <f>IF(ISNUMBER(E20),IF(ABS(E20)&lt;=0.0052850155617465465,"Yes","Changed"),"")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3699.5108932225826</v>
      </c>
      <c r="D21" s="36">
        <v>3699.5108932225826</v>
      </c>
      <c r="E21" s="37">
        <f>IF(ISNUMBER(C21),C21-D21,"")</f>
        <v>0</v>
      </c>
      <c r="F21" s="12" t="str">
        <f>IF(ISNUMBER(E21),IF(ABS(E21)&lt;=0.0036995108932225823,"Yes","Changed"),"")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1585.5046685239645</v>
      </c>
      <c r="D22" s="36">
        <v>1585.5046685239645</v>
      </c>
      <c r="E22" s="37">
        <f>IF(ISNUMBER(C22),C22-D22,"")</f>
        <v>0</v>
      </c>
      <c r="F22" s="12" t="str">
        <f>IF(ISNUMBER(E22),IF(ABS(E22)&lt;=0.0015855046685239644,"Yes","Changed"),"")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20245.906958187465</v>
      </c>
      <c r="D23" s="36">
        <v>20245.906958187465</v>
      </c>
      <c r="E23" s="37">
        <f>IF(ISNUMBER(C23),C23-D23,"")</f>
        <v>0</v>
      </c>
      <c r="F23" s="12" t="str">
        <f>IF(ISNUMBER(E23),IF(ABS(E23)&lt;=0.020245906958187464,"Yes","Changed"),"")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6.365711545771363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413.102342378588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305.76709938749815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290.30263302317496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1161.2105320926999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1652.409369514352</v>
      </c>
    </row>
    <row r="78" spans="1:3" x14ac:dyDescent="0.25">
      <c r="A78" s="33" t="s">
        <v>40</v>
      </c>
      <c r="B78" s="26" t="s">
        <v>86</v>
      </c>
      <c r="C78" s="37">
        <f>$C$33*$C$38</f>
        <v>1987.486146018738</v>
      </c>
    </row>
    <row r="79" spans="1:3" x14ac:dyDescent="0.25">
      <c r="A79" s="33" t="s">
        <v>109</v>
      </c>
      <c r="B79" s="26" t="s">
        <v>86</v>
      </c>
      <c r="C79" s="37">
        <f>$C$35*$C$39</f>
        <v>1393.4526385112397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5033.34815404433</v>
      </c>
    </row>
    <row r="83" spans="1:3" x14ac:dyDescent="0.25">
      <c r="A83" s="33" t="s">
        <v>117</v>
      </c>
      <c r="B83" s="26" t="s">
        <v>86</v>
      </c>
      <c r="C83" s="37">
        <f>$C$82*$C$42</f>
        <v>251.6674077022165</v>
      </c>
    </row>
    <row r="84" spans="1:3" x14ac:dyDescent="0.25">
      <c r="A84" s="25" t="s">
        <v>173</v>
      </c>
      <c r="B84" s="26" t="s">
        <v>86</v>
      </c>
      <c r="C84" s="57">
        <f>$C$82+$C$83</f>
        <v>5285.015561746547</v>
      </c>
    </row>
    <row r="85" spans="1:3" x14ac:dyDescent="0.25">
      <c r="A85" s="33" t="s">
        <v>94</v>
      </c>
      <c r="B85" s="26" t="s">
        <v>86</v>
      </c>
      <c r="C85" s="37">
        <f>$C$84*$C$62</f>
        <v>3699.5108932225826</v>
      </c>
    </row>
    <row r="86" spans="1:3" x14ac:dyDescent="0.25">
      <c r="A86" s="33" t="s">
        <v>95</v>
      </c>
      <c r="B86" s="26" t="s">
        <v>86</v>
      </c>
      <c r="C86" s="37">
        <f>$C$84-$C$85</f>
        <v>1585.5046685239645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458.9571877658441</v>
      </c>
    </row>
    <row r="90" spans="1:3" x14ac:dyDescent="0.25">
      <c r="A90" s="33" t="s">
        <v>177</v>
      </c>
      <c r="B90" s="26" t="s">
        <v>129</v>
      </c>
      <c r="C90" s="37">
        <f>$C$85/$C$88</f>
        <v>246.63405954817216</v>
      </c>
    </row>
    <row r="91" spans="1:3" x14ac:dyDescent="0.25">
      <c r="A91" s="33" t="s">
        <v>178</v>
      </c>
      <c r="B91" s="26" t="s">
        <v>86</v>
      </c>
      <c r="C91" s="37">
        <f>$C$84*(1-$C$73)</f>
        <v>4756.514005571892</v>
      </c>
    </row>
    <row r="92" spans="1:3" x14ac:dyDescent="0.25">
      <c r="A92" s="33" t="s">
        <v>179</v>
      </c>
      <c r="B92" s="26" t="s">
        <v>129</v>
      </c>
      <c r="C92" s="37">
        <f>$C$91/$C$72</f>
        <v>190.26056022287568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36004.47996792456</v>
      </c>
      <c r="E96" s="51">
        <v>1461.0221597562793</v>
      </c>
      <c r="F96" s="51">
        <v>1459.2852463363379</v>
      </c>
      <c r="G96" s="51">
        <v>1457.5483329163965</v>
      </c>
      <c r="H96" s="51">
        <v>1455.8114194964553</v>
      </c>
      <c r="I96" s="51">
        <v>1454.074506076514</v>
      </c>
      <c r="J96" s="51">
        <v>1452.3375926565723</v>
      </c>
      <c r="K96" s="51">
        <v>1450.6006792366309</v>
      </c>
      <c r="L96" s="51">
        <v>1448.8637658166895</v>
      </c>
      <c r="M96" s="51">
        <v>1447.1268523967483</v>
      </c>
      <c r="N96" s="51">
        <v>1445.389938976807</v>
      </c>
      <c r="O96" s="51">
        <v>1443.6530255568655</v>
      </c>
      <c r="P96" s="51">
        <v>1441.9161121369239</v>
      </c>
      <c r="Q96" s="51">
        <v>1440.1791987169827</v>
      </c>
      <c r="R96" s="51">
        <v>1438.4422852970413</v>
      </c>
      <c r="S96" s="51">
        <v>1436.7053718770999</v>
      </c>
      <c r="T96" s="51">
        <v>1434.9684584571585</v>
      </c>
      <c r="U96" s="51">
        <v>1433.231545037217</v>
      </c>
      <c r="V96" s="51">
        <v>1431.4946316172754</v>
      </c>
      <c r="W96" s="51">
        <v>1429.7577181973343</v>
      </c>
      <c r="X96" s="51">
        <v>1428.0208047773929</v>
      </c>
      <c r="Y96" s="51">
        <v>1426.2838913574517</v>
      </c>
      <c r="Z96" s="51">
        <v>1424.54697793751</v>
      </c>
      <c r="AA96" s="51">
        <v>1422.8100645175687</v>
      </c>
      <c r="AB96" s="51">
        <v>1421.0731510976273</v>
      </c>
      <c r="AC96" s="51">
        <v>1419.3362376776859</v>
      </c>
    </row>
    <row r="97" spans="1:29" x14ac:dyDescent="0.25">
      <c r="A97" s="33" t="s">
        <v>184</v>
      </c>
      <c r="B97" s="26" t="s">
        <v>83</v>
      </c>
      <c r="E97" s="32">
        <f>IF(E95&gt;0,E96/E95,1)</f>
        <v>0.8339167578517576</v>
      </c>
      <c r="F97" s="32">
        <f>IF(F95&gt;0,F96/F95,1)</f>
        <v>0.8329253689134348</v>
      </c>
      <c r="G97" s="32">
        <f>IF(G95&gt;0,G96/G95,1)</f>
        <v>0.8319339799751121</v>
      </c>
      <c r="H97" s="32">
        <f>IF(H95&gt;0,H96/H95,1)</f>
        <v>0.8309425910367896</v>
      </c>
      <c r="I97" s="32">
        <f>IF(I95&gt;0,I96/I95,1)</f>
        <v>0.8299512020984668</v>
      </c>
      <c r="J97" s="32">
        <f>IF(J95&gt;0,J96/J95,1)</f>
        <v>0.828959813160144</v>
      </c>
      <c r="K97" s="32">
        <f>IF(K95&gt;0,K96/K95,1)</f>
        <v>0.8279684242218213</v>
      </c>
      <c r="L97" s="32">
        <f>IF(L95&gt;0,L96/L95,1)</f>
        <v>0.8269770352834985</v>
      </c>
      <c r="M97" s="32">
        <f>IF(M95&gt;0,M96/M95,1)</f>
        <v>0.825985646345176</v>
      </c>
      <c r="N97" s="32">
        <f>IF(N95&gt;0,N96/N95,1)</f>
        <v>0.8249942574068533</v>
      </c>
      <c r="O97" s="32">
        <f>IF(O95&gt;0,O96/O95,1)</f>
        <v>0.8240028684685305</v>
      </c>
      <c r="P97" s="32">
        <f>IF(P95&gt;0,P96/P95,1)</f>
        <v>0.8230114795302077</v>
      </c>
      <c r="Q97" s="32">
        <f>IF(Q95&gt;0,Q96/Q95,1)</f>
        <v>0.8220200905918851</v>
      </c>
      <c r="R97" s="32">
        <f>IF(R95&gt;0,R96/R95,1)</f>
        <v>0.8210287016535623</v>
      </c>
      <c r="S97" s="32">
        <f>IF(S95&gt;0,S96/S95,1)</f>
        <v>0.8200373127152396</v>
      </c>
      <c r="T97" s="32">
        <f>IF(T95&gt;0,T96/T95,1)</f>
        <v>0.819045923776917</v>
      </c>
      <c r="U97" s="32">
        <f>IF(U95&gt;0,U96/U95,1)</f>
        <v>0.8180545348385942</v>
      </c>
      <c r="V97" s="32">
        <f>IF(V95&gt;0,V96/V95,1)</f>
        <v>0.8170631459002714</v>
      </c>
      <c r="W97" s="32">
        <f>IF(W95&gt;0,W96/W95,1)</f>
        <v>0.8160717569619488</v>
      </c>
      <c r="X97" s="32">
        <f>IF(X95&gt;0,X96/X95,1)</f>
        <v>0.815080368023626</v>
      </c>
      <c r="Y97" s="32">
        <f>IF(Y95&gt;0,Y96/Y95,1)</f>
        <v>0.8140889790853035</v>
      </c>
      <c r="Z97" s="32">
        <f>IF(Z95&gt;0,Z96/Z95,1)</f>
        <v>0.8130975901469806</v>
      </c>
      <c r="AA97" s="32">
        <f>IF(AA95&gt;0,AA96/AA95,1)</f>
        <v>0.812106201208658</v>
      </c>
      <c r="AB97" s="32">
        <f>IF(AB95&gt;0,AB96/AB95,1)</f>
        <v>0.8111148122703352</v>
      </c>
      <c r="AC97" s="32">
        <f>IF(AC95&gt;0,AC96/AC95,1)</f>
        <v>0.8101234233320125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2799.9032061279613</v>
      </c>
      <c r="E99" s="51">
        <v>107.85669058211484</v>
      </c>
      <c r="F99" s="51">
        <v>108.20164372069848</v>
      </c>
      <c r="G99" s="51">
        <v>108.5465968592821</v>
      </c>
      <c r="H99" s="51">
        <v>108.89154999786575</v>
      </c>
      <c r="I99" s="51">
        <v>109.23650313644939</v>
      </c>
      <c r="J99" s="51">
        <v>109.58145627503302</v>
      </c>
      <c r="K99" s="51">
        <v>109.92640941361665</v>
      </c>
      <c r="L99" s="51">
        <v>110.27136255220029</v>
      </c>
      <c r="M99" s="51">
        <v>110.61631569078394</v>
      </c>
      <c r="N99" s="51">
        <v>110.96126882936755</v>
      </c>
      <c r="O99" s="51">
        <v>111.30622196795119</v>
      </c>
      <c r="P99" s="51">
        <v>111.65117510653484</v>
      </c>
      <c r="Q99" s="51">
        <v>111.99612824511847</v>
      </c>
      <c r="R99" s="51">
        <v>112.3410813837021</v>
      </c>
      <c r="S99" s="51">
        <v>112.68603452228574</v>
      </c>
      <c r="T99" s="51">
        <v>113.03098766086937</v>
      </c>
      <c r="U99" s="51">
        <v>113.37594079945302</v>
      </c>
      <c r="V99" s="51">
        <v>113.72089393803665</v>
      </c>
      <c r="W99" s="51">
        <v>114.06584707662029</v>
      </c>
      <c r="X99" s="51">
        <v>114.41080021520392</v>
      </c>
      <c r="Y99" s="51">
        <v>114.75575335378755</v>
      </c>
      <c r="Z99" s="51">
        <v>115.10070649237119</v>
      </c>
      <c r="AA99" s="51">
        <v>115.44565963095482</v>
      </c>
      <c r="AB99" s="51">
        <v>115.79061276953847</v>
      </c>
      <c r="AC99" s="51">
        <v>116.13556590812209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6.365711545771363</v>
      </c>
      <c r="F110" s="29">
        <f>$C$29*F104</f>
        <v>6.365711545771363</v>
      </c>
      <c r="G110" s="29">
        <f>$C$29*G104</f>
        <v>6.365711545771363</v>
      </c>
      <c r="H110" s="29">
        <f>$C$29*H104</f>
        <v>6.365711545771363</v>
      </c>
      <c r="I110" s="29">
        <f>$C$29*I104</f>
        <v>6.365711545771363</v>
      </c>
      <c r="J110" s="29">
        <f>$C$29*J104</f>
        <v>6.365711545771363</v>
      </c>
      <c r="K110" s="29">
        <f>$C$29*K104</f>
        <v>6.365711545771363</v>
      </c>
      <c r="L110" s="29">
        <f>$C$29*L104</f>
        <v>6.365711545771363</v>
      </c>
      <c r="M110" s="29">
        <f>$C$29*M104</f>
        <v>6.365711545771363</v>
      </c>
      <c r="N110" s="29">
        <f>$C$29*N104</f>
        <v>6.365711545771363</v>
      </c>
      <c r="O110" s="29">
        <f>$C$29*O104</f>
        <v>6.365711545771363</v>
      </c>
      <c r="P110" s="29">
        <f>$C$29*P104</f>
        <v>6.365711545771363</v>
      </c>
      <c r="Q110" s="29">
        <f>$C$29*Q104</f>
        <v>6.365711545771363</v>
      </c>
      <c r="R110" s="29">
        <f>$C$29*R104</f>
        <v>6.365711545771363</v>
      </c>
      <c r="S110" s="29">
        <f>$C$29*S104</f>
        <v>6.365711545771363</v>
      </c>
      <c r="T110" s="29">
        <f>$C$29*T104</f>
        <v>6.365711545771363</v>
      </c>
      <c r="U110" s="29">
        <f>$C$29*U104</f>
        <v>6.365711545771363</v>
      </c>
      <c r="V110" s="29">
        <f>$C$29*V104</f>
        <v>6.365711545771363</v>
      </c>
      <c r="W110" s="29">
        <f>$C$29*W104</f>
        <v>6.365711545771363</v>
      </c>
      <c r="X110" s="29">
        <f>$C$29*X104</f>
        <v>6.365711545771363</v>
      </c>
      <c r="Y110" s="29">
        <f>$C$29*Y104</f>
        <v>6.365711545771363</v>
      </c>
      <c r="Z110" s="29">
        <f>$C$29*Z104</f>
        <v>6.365711545771363</v>
      </c>
      <c r="AA110" s="29">
        <f>$C$29*AA104</f>
        <v>6.365711545771363</v>
      </c>
      <c r="AB110" s="29">
        <f>$C$29*AB104</f>
        <v>6.365711545771363</v>
      </c>
      <c r="AC110" s="29">
        <f>$C$29*AC104</f>
        <v>6.365711545771363</v>
      </c>
    </row>
    <row r="111" spans="1:29" x14ac:dyDescent="0.25">
      <c r="A111" s="33" t="s">
        <v>193</v>
      </c>
      <c r="B111" s="26" t="s">
        <v>86</v>
      </c>
      <c r="C111" s="57">
        <f>SUM(E111:AC111)</f>
        <v>22919.41338313112</v>
      </c>
      <c r="E111" s="37">
        <f>E96*E110/10</f>
        <v>930.0445630988361</v>
      </c>
      <c r="F111" s="37">
        <f>F96*F110/10</f>
        <v>928.9388941177034</v>
      </c>
      <c r="G111" s="37">
        <f>G96*G110/10</f>
        <v>927.8332251365707</v>
      </c>
      <c r="H111" s="37">
        <f>H96*H110/10</f>
        <v>926.7275561554383</v>
      </c>
      <c r="I111" s="37">
        <f>I96*I110/10</f>
        <v>925.6218871743056</v>
      </c>
      <c r="J111" s="37">
        <f>J96*J110/10</f>
        <v>924.516218193173</v>
      </c>
      <c r="K111" s="37">
        <f>K96*K110/10</f>
        <v>923.4105492120403</v>
      </c>
      <c r="L111" s="37">
        <f>L96*L110/10</f>
        <v>922.3048802309077</v>
      </c>
      <c r="M111" s="37">
        <f>M96*M110/10</f>
        <v>921.1992112497752</v>
      </c>
      <c r="N111" s="37">
        <f>N96*N110/10</f>
        <v>920.0935422686425</v>
      </c>
      <c r="O111" s="37">
        <f>O96*O110/10</f>
        <v>918.9878732875101</v>
      </c>
      <c r="P111" s="37">
        <f>P96*P110/10</f>
        <v>917.8822043063772</v>
      </c>
      <c r="Q111" s="37">
        <f>Q96*Q110/10</f>
        <v>916.7765353252447</v>
      </c>
      <c r="R111" s="37">
        <f>R96*R110/10</f>
        <v>915.670866344112</v>
      </c>
      <c r="S111" s="37">
        <f>S96*S110/10</f>
        <v>914.5651973629795</v>
      </c>
      <c r="T111" s="37">
        <f>T96*T110/10</f>
        <v>913.4595283818469</v>
      </c>
      <c r="U111" s="37">
        <f>U96*U110/10</f>
        <v>912.3538594007143</v>
      </c>
      <c r="V111" s="37">
        <f>V96*V110/10</f>
        <v>911.2481904195814</v>
      </c>
      <c r="W111" s="37">
        <f>W96*W110/10</f>
        <v>910.142521438449</v>
      </c>
      <c r="X111" s="37">
        <f>X96*X110/10</f>
        <v>909.0368524573163</v>
      </c>
      <c r="Y111" s="37">
        <f>Y96*Y110/10</f>
        <v>907.9311834761838</v>
      </c>
      <c r="Z111" s="37">
        <f>Z96*Z110/10</f>
        <v>906.8255144950512</v>
      </c>
      <c r="AA111" s="37">
        <f>AA96*AA110/10</f>
        <v>905.7198455139185</v>
      </c>
      <c r="AB111" s="37">
        <f>AB96*AB110/10</f>
        <v>904.6141765327859</v>
      </c>
      <c r="AC111" s="37">
        <f>AC96*AC110/10</f>
        <v>903.5085075516532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2673.5064249436537</v>
      </c>
      <c r="E114" s="37">
        <f>E99*$C$55*E110/10</f>
        <v>102.98768707908869</v>
      </c>
      <c r="F114" s="37">
        <f>F99*$C$55*F110/10</f>
        <v>103.31706790564348</v>
      </c>
      <c r="G114" s="37">
        <f>G99*$C$55*G110/10</f>
        <v>103.64644873219827</v>
      </c>
      <c r="H114" s="37">
        <f>H99*$C$55*H110/10</f>
        <v>103.97582955875305</v>
      </c>
      <c r="I114" s="37">
        <f>I99*$C$55*I110/10</f>
        <v>104.30521038530783</v>
      </c>
      <c r="J114" s="37">
        <f>J99*$C$55*J110/10</f>
        <v>104.63459121186263</v>
      </c>
      <c r="K114" s="37">
        <f>K99*$C$55*K110/10</f>
        <v>104.96397203841741</v>
      </c>
      <c r="L114" s="37">
        <f>L99*$C$55*L110/10</f>
        <v>105.29335286497219</v>
      </c>
      <c r="M114" s="37">
        <f>M99*$C$55*M110/10</f>
        <v>105.62273369152699</v>
      </c>
      <c r="N114" s="37">
        <f>N99*$C$55*N110/10</f>
        <v>105.95211451808177</v>
      </c>
      <c r="O114" s="37">
        <f>O99*$C$55*O110/10</f>
        <v>106.28149534463657</v>
      </c>
      <c r="P114" s="37">
        <f>P99*$C$55*P110/10</f>
        <v>106.61087617119135</v>
      </c>
      <c r="Q114" s="37">
        <f>Q99*$C$55*Q110/10</f>
        <v>106.94025699774613</v>
      </c>
      <c r="R114" s="37">
        <f>R99*$C$55*R110/10</f>
        <v>107.26963782430093</v>
      </c>
      <c r="S114" s="37">
        <f>S99*$C$55*S110/10</f>
        <v>107.59901865085571</v>
      </c>
      <c r="T114" s="37">
        <f>T99*$C$55*T110/10</f>
        <v>107.9283994774105</v>
      </c>
      <c r="U114" s="37">
        <f>U99*$C$55*U110/10</f>
        <v>108.25778030396529</v>
      </c>
      <c r="V114" s="37">
        <f>V99*$C$55*V110/10</f>
        <v>108.5871611305201</v>
      </c>
      <c r="W114" s="37">
        <f>W99*$C$55*W110/10</f>
        <v>108.91654195707488</v>
      </c>
      <c r="X114" s="37">
        <f>X99*$C$55*X110/10</f>
        <v>109.24592278362965</v>
      </c>
      <c r="Y114" s="37">
        <f>Y99*$C$55*Y110/10</f>
        <v>109.57530361018443</v>
      </c>
      <c r="Z114" s="37">
        <f>Z99*$C$55*Z110/10</f>
        <v>109.90468443673925</v>
      </c>
      <c r="AA114" s="37">
        <f>AA99*$C$55*AA110/10</f>
        <v>110.23406526329401</v>
      </c>
      <c r="AB114" s="37">
        <f>AB99*$C$55*AB110/10</f>
        <v>110.5634460898488</v>
      </c>
      <c r="AC114" s="37">
        <f>AC99*$C$55*AC110/10</f>
        <v>110.89282691640358</v>
      </c>
    </row>
    <row r="115" spans="1:29" x14ac:dyDescent="0.25">
      <c r="A115" s="61" t="s">
        <v>195</v>
      </c>
      <c r="B115" s="62" t="s">
        <v>86</v>
      </c>
      <c r="C115" s="63">
        <f>SUM(E115:AC115)</f>
        <v>20245.906958187465</v>
      </c>
      <c r="D115" s="64"/>
      <c r="E115" s="63">
        <f>E111+E112-E113-E114</f>
        <v>827.0568760197474</v>
      </c>
      <c r="F115" s="63">
        <f>F111+F112-F113-F114</f>
        <v>825.6218262120599</v>
      </c>
      <c r="G115" s="63">
        <f>G111+G112-G113-G114</f>
        <v>824.1867764043725</v>
      </c>
      <c r="H115" s="63">
        <f>H111+H112-H113-H114</f>
        <v>822.7517265966852</v>
      </c>
      <c r="I115" s="63">
        <f>I111+I112-I113-I114</f>
        <v>821.3166767889977</v>
      </c>
      <c r="J115" s="63">
        <f>J111+J112-J113-J114</f>
        <v>819.8816269813104</v>
      </c>
      <c r="K115" s="63">
        <f>K111+K112-K113-K114</f>
        <v>818.4465771736229</v>
      </c>
      <c r="L115" s="63">
        <f>L111+L112-L113-L114</f>
        <v>817.0115273659354</v>
      </c>
      <c r="M115" s="63">
        <f>M111+M112-M113-M114</f>
        <v>815.5764775582483</v>
      </c>
      <c r="N115" s="63">
        <f>N111+N112-N113-N114</f>
        <v>814.1414277505608</v>
      </c>
      <c r="O115" s="63">
        <f>O111+O112-O113-O114</f>
        <v>812.7063779428735</v>
      </c>
      <c r="P115" s="63">
        <f>P111+P112-P113-P114</f>
        <v>811.2713281351859</v>
      </c>
      <c r="Q115" s="63">
        <f>Q111+Q112-Q113-Q114</f>
        <v>809.8362783274986</v>
      </c>
      <c r="R115" s="63">
        <f>R111+R112-R113-R114</f>
        <v>808.4012285198111</v>
      </c>
      <c r="S115" s="63">
        <f>S111+S112-S113-S114</f>
        <v>806.9661787121238</v>
      </c>
      <c r="T115" s="63">
        <f>T111+T112-T113-T114</f>
        <v>805.5311289044364</v>
      </c>
      <c r="U115" s="63">
        <f>U111+U112-U113-U114</f>
        <v>804.096079096749</v>
      </c>
      <c r="V115" s="63">
        <f>V111+V112-V113-V114</f>
        <v>802.6610292890613</v>
      </c>
      <c r="W115" s="63">
        <f>W111+W112-W113-W114</f>
        <v>801.2259794813741</v>
      </c>
      <c r="X115" s="63">
        <f>X111+X112-X113-X114</f>
        <v>799.7909296736866</v>
      </c>
      <c r="Y115" s="63">
        <f>Y111+Y112-Y113-Y114</f>
        <v>798.3558798659994</v>
      </c>
      <c r="Z115" s="63">
        <f>Z111+Z112-Z113-Z114</f>
        <v>796.9208300583119</v>
      </c>
      <c r="AA115" s="63">
        <f>AA111+AA112-AA113-AA114</f>
        <v>795.4857802506244</v>
      </c>
      <c r="AB115" s="63">
        <f>AB111+AB112-AB113-AB114</f>
        <v>794.0507304429372</v>
      </c>
      <c r="AC115" s="63">
        <f>AC111+AC112-AC113-AC114</f>
        <v>792.6156806352496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788.6470526658027</v>
      </c>
      <c r="E118" s="37">
        <f>$C$32*$C$44/100*E105</f>
        <v>16.52409369514352</v>
      </c>
      <c r="F118" s="37">
        <f>$C$32*$C$44/100*F105</f>
        <v>17.350298379900696</v>
      </c>
      <c r="G118" s="37">
        <f>$C$32*$C$44/100*G105</f>
        <v>18.21781329889573</v>
      </c>
      <c r="H118" s="37">
        <f>$C$32*$C$44/100*H105</f>
        <v>19.12870396384052</v>
      </c>
      <c r="I118" s="37">
        <f>$C$32*$C$44/100*I105</f>
        <v>20.085139162032547</v>
      </c>
      <c r="J118" s="37">
        <f>$C$32*$C$44/100*J105</f>
        <v>21.089396120134175</v>
      </c>
      <c r="K118" s="37">
        <f>$C$32*$C$44/100*K105</f>
        <v>22.143865926140887</v>
      </c>
      <c r="L118" s="37">
        <f>$C$32*$C$44/100*L105</f>
        <v>23.25105922244793</v>
      </c>
      <c r="M118" s="37">
        <f>$C$32*$C$44/100*M105</f>
        <v>24.41361218357033</v>
      </c>
      <c r="N118" s="37">
        <f>$C$32*$C$44/100*N105</f>
        <v>25.634292792748845</v>
      </c>
      <c r="O118" s="37">
        <f>$C$32*$C$44/100*O105</f>
        <v>26.91600743238629</v>
      </c>
      <c r="P118" s="37">
        <f>$C$32*$C$44/100*P105</f>
        <v>28.261807804005603</v>
      </c>
      <c r="Q118" s="37">
        <f>$C$32*$C$44/100*Q105</f>
        <v>29.674898194205884</v>
      </c>
      <c r="R118" s="37">
        <f>$C$32*$C$44/100*R105</f>
        <v>31.15864310391618</v>
      </c>
      <c r="S118" s="37">
        <f>$C$32*$C$44/100*S105</f>
        <v>32.71657525911199</v>
      </c>
      <c r="T118" s="37">
        <f>$C$32*$C$44/100*T105</f>
        <v>34.352404022067596</v>
      </c>
      <c r="U118" s="37">
        <f>$C$32*$C$44/100*U105</f>
        <v>36.07002422317097</v>
      </c>
      <c r="V118" s="37">
        <f>$C$32*$C$44/100*V105</f>
        <v>37.87352543432952</v>
      </c>
      <c r="W118" s="37">
        <f>$C$32*$C$44/100*W105</f>
        <v>39.76720170604601</v>
      </c>
      <c r="X118" s="37">
        <f>$C$32*$C$44/100*X105</f>
        <v>41.755561791348306</v>
      </c>
      <c r="Y118" s="37">
        <f>$C$32*$C$44/100*Y105</f>
        <v>43.84333988091572</v>
      </c>
      <c r="Z118" s="37">
        <f>$C$32*$C$44/100*Z105</f>
        <v>46.035506874961506</v>
      </c>
      <c r="AA118" s="37">
        <f>$C$32*$C$44/100*AA105</f>
        <v>48.33728221870959</v>
      </c>
      <c r="AB118" s="37">
        <f>$C$32*$C$44/100*AB105</f>
        <v>50.75414632964507</v>
      </c>
      <c r="AC118" s="37">
        <f>$C$32*$C$44/100*AC105</f>
        <v>53.29185364612732</v>
      </c>
    </row>
    <row r="119" spans="1:29" x14ac:dyDescent="0.25">
      <c r="A119" s="33" t="s">
        <v>122</v>
      </c>
      <c r="B119" s="26" t="s">
        <v>86</v>
      </c>
      <c r="C119" s="57">
        <f>SUM(E119:AC119)</f>
        <v>1313.403891098094</v>
      </c>
      <c r="E119" s="37">
        <f>$C$33*$C$45/100*E105</f>
        <v>27.519038944874833</v>
      </c>
      <c r="F119" s="37">
        <f>$C$33*$C$45/100*F105</f>
        <v>28.894990892118575</v>
      </c>
      <c r="G119" s="37">
        <f>$C$33*$C$45/100*G105</f>
        <v>30.339740436724504</v>
      </c>
      <c r="H119" s="37">
        <f>$C$33*$C$45/100*H105</f>
        <v>31.85672745856073</v>
      </c>
      <c r="I119" s="37">
        <f>$C$33*$C$45/100*I105</f>
        <v>33.449563831488774</v>
      </c>
      <c r="J119" s="37">
        <f>$C$33*$C$45/100*J105</f>
        <v>35.122042023063216</v>
      </c>
      <c r="K119" s="37">
        <f>$C$33*$C$45/100*K105</f>
        <v>36.87814412421638</v>
      </c>
      <c r="L119" s="37">
        <f>$C$33*$C$45/100*L105</f>
        <v>38.72205133042719</v>
      </c>
      <c r="M119" s="37">
        <f>$C$33*$C$45/100*M105</f>
        <v>40.658153896948555</v>
      </c>
      <c r="N119" s="37">
        <f>$C$33*$C$45/100*N105</f>
        <v>42.691061591795986</v>
      </c>
      <c r="O119" s="37">
        <f>$C$33*$C$45/100*O105</f>
        <v>44.825614671385786</v>
      </c>
      <c r="P119" s="37">
        <f>$C$33*$C$45/100*P105</f>
        <v>47.066895404955076</v>
      </c>
      <c r="Q119" s="37">
        <f>$C$33*$C$45/100*Q105</f>
        <v>49.420240175202835</v>
      </c>
      <c r="R119" s="37">
        <f>$C$33*$C$45/100*R105</f>
        <v>51.891252183962976</v>
      </c>
      <c r="S119" s="37">
        <f>$C$33*$C$45/100*S105</f>
        <v>54.48581479316113</v>
      </c>
      <c r="T119" s="37">
        <f>$C$33*$C$45/100*T105</f>
        <v>57.21010553281919</v>
      </c>
      <c r="U119" s="37">
        <f>$C$33*$C$45/100*U105</f>
        <v>60.07061080946014</v>
      </c>
      <c r="V119" s="37">
        <f>$C$33*$C$45/100*V105</f>
        <v>63.07414134993316</v>
      </c>
      <c r="W119" s="37">
        <f>$C$33*$C$45/100*W105</f>
        <v>66.22784841742983</v>
      </c>
      <c r="X119" s="37">
        <f>$C$33*$C$45/100*X105</f>
        <v>69.53924083830131</v>
      </c>
      <c r="Y119" s="37">
        <f>$C$33*$C$45/100*Y105</f>
        <v>73.01620288021637</v>
      </c>
      <c r="Z119" s="37">
        <f>$C$33*$C$45/100*Z105</f>
        <v>76.6670130242272</v>
      </c>
      <c r="AA119" s="37">
        <f>$C$33*$C$45/100*AA105</f>
        <v>80.50036367543856</v>
      </c>
      <c r="AB119" s="37">
        <f>$C$33*$C$45/100*AB105</f>
        <v>84.5253818592105</v>
      </c>
      <c r="AC119" s="37">
        <f>$C$33*$C$45/100*AC105</f>
        <v>88.75165095217102</v>
      </c>
    </row>
    <row r="120" spans="1:29" x14ac:dyDescent="0.25">
      <c r="A120" s="33" t="s">
        <v>123</v>
      </c>
      <c r="B120" s="26" t="s">
        <v>86</v>
      </c>
      <c r="C120" s="57">
        <f>SUM(E120:AC120)</f>
        <v>665.0545177641167</v>
      </c>
      <c r="E120" s="37">
        <f>$C$35*$C$46/100*E105</f>
        <v>13.934526385112397</v>
      </c>
      <c r="F120" s="37">
        <f>$C$35*$C$46/100*F105</f>
        <v>14.631252704368018</v>
      </c>
      <c r="G120" s="37">
        <f>$C$35*$C$46/100*G105</f>
        <v>15.362815339586419</v>
      </c>
      <c r="H120" s="37">
        <f>$C$35*$C$46/100*H105</f>
        <v>16.13095610656574</v>
      </c>
      <c r="I120" s="37">
        <f>$C$35*$C$46/100*I105</f>
        <v>16.93750391189403</v>
      </c>
      <c r="J120" s="37">
        <f>$C$35*$C$46/100*J105</f>
        <v>17.784379107488732</v>
      </c>
      <c r="K120" s="37">
        <f>$C$35*$C$46/100*K105</f>
        <v>18.673598062863167</v>
      </c>
      <c r="L120" s="37">
        <f>$C$35*$C$46/100*L105</f>
        <v>19.60727796600633</v>
      </c>
      <c r="M120" s="37">
        <f>$C$35*$C$46/100*M105</f>
        <v>20.587641864306644</v>
      </c>
      <c r="N120" s="37">
        <f>$C$35*$C$46/100*N105</f>
        <v>21.617023957521976</v>
      </c>
      <c r="O120" s="37">
        <f>$C$35*$C$46/100*O105</f>
        <v>22.69787515539808</v>
      </c>
      <c r="P120" s="37">
        <f>$C$35*$C$46/100*P105</f>
        <v>23.832768913167982</v>
      </c>
      <c r="Q120" s="37">
        <f>$C$35*$C$46/100*Q105</f>
        <v>25.024407358826384</v>
      </c>
      <c r="R120" s="37">
        <f>$C$35*$C$46/100*R105</f>
        <v>26.275627726767702</v>
      </c>
      <c r="S120" s="37">
        <f>$C$35*$C$46/100*S105</f>
        <v>27.58940911310609</v>
      </c>
      <c r="T120" s="37">
        <f>$C$35*$C$46/100*T105</f>
        <v>28.9688795687614</v>
      </c>
      <c r="U120" s="37">
        <f>$C$35*$C$46/100*U105</f>
        <v>30.417323547199462</v>
      </c>
      <c r="V120" s="37">
        <f>$C$35*$C$46/100*V105</f>
        <v>31.93818972455944</v>
      </c>
      <c r="W120" s="37">
        <f>$C$35*$C$46/100*W105</f>
        <v>33.535099210787415</v>
      </c>
      <c r="X120" s="37">
        <f>$C$35*$C$46/100*X105</f>
        <v>35.211854171326785</v>
      </c>
      <c r="Y120" s="37">
        <f>$C$35*$C$46/100*Y105</f>
        <v>36.97244687989313</v>
      </c>
      <c r="Z120" s="37">
        <f>$C$35*$C$46/100*Z105</f>
        <v>38.82106922388778</v>
      </c>
      <c r="AA120" s="37">
        <f>$C$35*$C$46/100*AA105</f>
        <v>40.762122685082176</v>
      </c>
      <c r="AB120" s="37">
        <f>$C$35*$C$46/100*AB105</f>
        <v>42.80022881933628</v>
      </c>
      <c r="AC120" s="37">
        <f>$C$35*$C$46/100*AC105</f>
        <v>44.9402402603031</v>
      </c>
    </row>
    <row r="121" spans="1:29" x14ac:dyDescent="0.25">
      <c r="A121" s="33" t="s">
        <v>126</v>
      </c>
      <c r="B121" s="26" t="s">
        <v>86</v>
      </c>
      <c r="C121" s="57">
        <f>SUM(E121:AC121)</f>
        <v>377.5011115533247</v>
      </c>
      <c r="E121" s="37">
        <f>$C$82*$C$48</f>
        <v>15.10004446213299</v>
      </c>
      <c r="F121" s="37">
        <f>$C$82*$C$48</f>
        <v>15.10004446213299</v>
      </c>
      <c r="G121" s="37">
        <f>$C$82*$C$48</f>
        <v>15.10004446213299</v>
      </c>
      <c r="H121" s="37">
        <f>$C$82*$C$48</f>
        <v>15.10004446213299</v>
      </c>
      <c r="I121" s="37">
        <f>$C$82*$C$48</f>
        <v>15.10004446213299</v>
      </c>
      <c r="J121" s="37">
        <f>$C$82*$C$48</f>
        <v>15.10004446213299</v>
      </c>
      <c r="K121" s="37">
        <f>$C$82*$C$48</f>
        <v>15.10004446213299</v>
      </c>
      <c r="L121" s="37">
        <f>$C$82*$C$48</f>
        <v>15.10004446213299</v>
      </c>
      <c r="M121" s="37">
        <f>$C$82*$C$48</f>
        <v>15.10004446213299</v>
      </c>
      <c r="N121" s="37">
        <f>$C$82*$C$48</f>
        <v>15.10004446213299</v>
      </c>
      <c r="O121" s="37">
        <f>$C$82*$C$48</f>
        <v>15.10004446213299</v>
      </c>
      <c r="P121" s="37">
        <f>$C$82*$C$48</f>
        <v>15.10004446213299</v>
      </c>
      <c r="Q121" s="37">
        <f>$C$82*$C$48</f>
        <v>15.10004446213299</v>
      </c>
      <c r="R121" s="37">
        <f>$C$82*$C$48</f>
        <v>15.10004446213299</v>
      </c>
      <c r="S121" s="37">
        <f>$C$82*$C$48</f>
        <v>15.10004446213299</v>
      </c>
      <c r="T121" s="37">
        <f>$C$82*$C$48</f>
        <v>15.10004446213299</v>
      </c>
      <c r="U121" s="37">
        <f>$C$82*$C$48</f>
        <v>15.10004446213299</v>
      </c>
      <c r="V121" s="37">
        <f>$C$82*$C$48</f>
        <v>15.10004446213299</v>
      </c>
      <c r="W121" s="37">
        <f>$C$82*$C$48</f>
        <v>15.10004446213299</v>
      </c>
      <c r="X121" s="37">
        <f>$C$82*$C$48</f>
        <v>15.10004446213299</v>
      </c>
      <c r="Y121" s="37">
        <f>$C$82*$C$48</f>
        <v>15.10004446213299</v>
      </c>
      <c r="Z121" s="37">
        <f>$C$82*$C$48</f>
        <v>15.10004446213299</v>
      </c>
      <c r="AA121" s="37">
        <f>$C$82*$C$48</f>
        <v>15.10004446213299</v>
      </c>
      <c r="AB121" s="37">
        <f>$C$82*$C$48</f>
        <v>15.10004446213299</v>
      </c>
      <c r="AC121" s="37">
        <f>$C$82*$C$48</f>
        <v>15.10004446213299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3144.6065730813375</v>
      </c>
      <c r="D123" s="64"/>
      <c r="E123" s="63">
        <f>SUM(E118:E122)</f>
        <v>73.07770348726375</v>
      </c>
      <c r="F123" s="63">
        <f>SUM(F118:F122)</f>
        <v>75.97658643852027</v>
      </c>
      <c r="G123" s="63">
        <f>SUM(G118:G122)</f>
        <v>79.02041353733964</v>
      </c>
      <c r="H123" s="63">
        <f>SUM(H118:H122)</f>
        <v>82.21643199109997</v>
      </c>
      <c r="I123" s="63">
        <f>SUM(I118:I122)</f>
        <v>85.57225136754833</v>
      </c>
      <c r="J123" s="63">
        <f>SUM(J118:J122)</f>
        <v>89.0958617128191</v>
      </c>
      <c r="K123" s="63">
        <f>SUM(K118:K122)</f>
        <v>92.79565257535342</v>
      </c>
      <c r="L123" s="63">
        <f>SUM(L118:L122)</f>
        <v>96.68043298101443</v>
      </c>
      <c r="M123" s="63">
        <f>SUM(M118:M122)</f>
        <v>100.75945240695852</v>
      </c>
      <c r="N123" s="63">
        <f>SUM(N118:N122)</f>
        <v>105.04242280419979</v>
      </c>
      <c r="O123" s="63">
        <f>SUM(O118:O122)</f>
        <v>109.53954172130314</v>
      </c>
      <c r="P123" s="63">
        <f>SUM(P118:P122)</f>
        <v>114.26151658426164</v>
      </c>
      <c r="Q123" s="63">
        <f>SUM(Q118:Q122)</f>
        <v>119.21959019036808</v>
      </c>
      <c r="R123" s="63">
        <f>SUM(R118:R122)</f>
        <v>124.42556747677983</v>
      </c>
      <c r="S123" s="63">
        <f>SUM(S118:S122)</f>
        <v>129.8918436275122</v>
      </c>
      <c r="T123" s="63">
        <f>SUM(T118:T122)</f>
        <v>135.63143358578117</v>
      </c>
      <c r="U123" s="63">
        <f>SUM(U118:U122)</f>
        <v>141.65800304196355</v>
      </c>
      <c r="V123" s="63">
        <f>SUM(V118:V122)</f>
        <v>147.9859009709551</v>
      </c>
      <c r="W123" s="63">
        <f>SUM(W118:W122)</f>
        <v>154.63019379639624</v>
      </c>
      <c r="X123" s="63">
        <f>SUM(X118:X122)</f>
        <v>161.6067012631094</v>
      </c>
      <c r="Y123" s="63">
        <f>SUM(Y118:Y122)</f>
        <v>168.9320341031582</v>
      </c>
      <c r="Z123" s="63">
        <f>SUM(Z118:Z122)</f>
        <v>176.62363358520946</v>
      </c>
      <c r="AA123" s="63">
        <f>SUM(AA118:AA122)</f>
        <v>184.6998130413633</v>
      </c>
      <c r="AB123" s="63">
        <f>SUM(AB118:AB122)</f>
        <v>193.17980147032483</v>
      </c>
      <c r="AC123" s="63">
        <f>SUM(AC118:AC122)</f>
        <v>202.0837893207344</v>
      </c>
    </row>
    <row r="124" spans="1:29" x14ac:dyDescent="0.25">
      <c r="A124" s="61" t="s">
        <v>198</v>
      </c>
      <c r="B124" s="62" t="s">
        <v>86</v>
      </c>
      <c r="C124" s="63">
        <f>SUM(E124:AC124)</f>
        <v>17101.300385106126</v>
      </c>
      <c r="D124" s="64"/>
      <c r="E124" s="63">
        <f>E115-E123</f>
        <v>753.9791725324836</v>
      </c>
      <c r="F124" s="63">
        <f>F115-F123</f>
        <v>749.6452397735396</v>
      </c>
      <c r="G124" s="63">
        <f>G115-G123</f>
        <v>745.1663628670328</v>
      </c>
      <c r="H124" s="63">
        <f>H115-H123</f>
        <v>740.5352946055852</v>
      </c>
      <c r="I124" s="63">
        <f>I115-I123</f>
        <v>735.7444254214494</v>
      </c>
      <c r="J124" s="63">
        <f>J115-J123</f>
        <v>730.7857652684913</v>
      </c>
      <c r="K124" s="63">
        <f>K115-K123</f>
        <v>725.6509245982695</v>
      </c>
      <c r="L124" s="63">
        <f>L115-L123</f>
        <v>720.331094384921</v>
      </c>
      <c r="M124" s="63">
        <f>M115-M123</f>
        <v>714.8170251512897</v>
      </c>
      <c r="N124" s="63">
        <f>N115-N123</f>
        <v>709.099004946361</v>
      </c>
      <c r="O124" s="63">
        <f>O115-O123</f>
        <v>703.1668362215703</v>
      </c>
      <c r="P124" s="63">
        <f>P115-P123</f>
        <v>697.0098115509243</v>
      </c>
      <c r="Q124" s="63">
        <f>Q115-Q123</f>
        <v>690.6166881371305</v>
      </c>
      <c r="R124" s="63">
        <f>R115-R123</f>
        <v>683.9756610430312</v>
      </c>
      <c r="S124" s="63">
        <f>S115-S123</f>
        <v>677.0743350846116</v>
      </c>
      <c r="T124" s="63">
        <f>T115-T123</f>
        <v>669.8996953186552</v>
      </c>
      <c r="U124" s="63">
        <f>U115-U123</f>
        <v>662.4380760547855</v>
      </c>
      <c r="V124" s="63">
        <f>V115-V123</f>
        <v>654.6751283181062</v>
      </c>
      <c r="W124" s="63">
        <f>W115-W123</f>
        <v>646.5957856849778</v>
      </c>
      <c r="X124" s="63">
        <f>X115-X123</f>
        <v>638.1842284105772</v>
      </c>
      <c r="Y124" s="63">
        <f>Y115-Y123</f>
        <v>629.4238457628412</v>
      </c>
      <c r="Z124" s="63">
        <f>Z115-Z123</f>
        <v>620.2971964731025</v>
      </c>
      <c r="AA124" s="63">
        <f>AA115-AA123</f>
        <v>610.7859672092611</v>
      </c>
      <c r="AB124" s="63">
        <f>AB115-AB123</f>
        <v>600.8709289726123</v>
      </c>
      <c r="AC124" s="63">
        <f>AC115-AC123</f>
        <v>590.5318913145152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0.9116412599832869</v>
      </c>
      <c r="F125" s="32">
        <f>IF(F115&lt;&gt;0,F124/F115,"")</f>
        <v>0.9079765286885648</v>
      </c>
      <c r="G125" s="32">
        <f>IF(G115&lt;&gt;0,G124/G115,"")</f>
        <v>0.904123172320142</v>
      </c>
      <c r="H125" s="32">
        <f>IF(H115&lt;&gt;0,H124/H115,"")</f>
        <v>0.9000713953756275</v>
      </c>
      <c r="I125" s="32">
        <f>IF(I115&lt;&gt;0,I124/I115,"")</f>
        <v>0.8958108926971996</v>
      </c>
      <c r="J125" s="32">
        <f>IF(J115&lt;&gt;0,J124/J115,"")</f>
        <v>0.8913308229129885</v>
      </c>
      <c r="K125" s="32">
        <f>IF(K115&lt;&gt;0,K124/K115,"")</f>
        <v>0.8866197804921995</v>
      </c>
      <c r="L125" s="32">
        <f>IF(L115&lt;&gt;0,L124/L115,"")</f>
        <v>0.8816657663414929</v>
      </c>
      <c r="M125" s="32">
        <f>IF(M115&lt;&gt;0,M124/M115,"")</f>
        <v>0.8764561568663408</v>
      </c>
      <c r="N125" s="32">
        <f>IF(N115&lt;&gt;0,N124/N115,"")</f>
        <v>0.8709776714170808</v>
      </c>
      <c r="O125" s="32">
        <f>IF(O115&lt;&gt;0,O124/O115,"")</f>
        <v>0.8652163380351828</v>
      </c>
      <c r="P125" s="32">
        <f>IF(P115&lt;&gt;0,P124/P115,"")</f>
        <v>0.8591574574108187</v>
      </c>
      <c r="Q125" s="32">
        <f>IF(Q115&lt;&gt;0,Q124/Q115,"")</f>
        <v>0.8527855649581612</v>
      </c>
      <c r="R125" s="32">
        <f>IF(R115&lt;&gt;0,R124/R115,"")</f>
        <v>0.8460843909099396</v>
      </c>
      <c r="S125" s="32">
        <f>IF(S115&lt;&gt;0,S124/S115,"")</f>
        <v>0.8390368183276121</v>
      </c>
      <c r="T125" s="32">
        <f>IF(T115&lt;&gt;0,T124/T115,"")</f>
        <v>0.8316248389180851</v>
      </c>
      <c r="U125" s="32">
        <f>IF(U115&lt;&gt;0,U124/U115,"")</f>
        <v>0.8238295065421912</v>
      </c>
      <c r="V125" s="32">
        <f>IF(V115&lt;&gt;0,V124/V115,"")</f>
        <v>0.8156308882941157</v>
      </c>
      <c r="W125" s="32">
        <f>IF(W115&lt;&gt;0,W124/W115,"")</f>
        <v>0.8070080130246314</v>
      </c>
      <c r="X125" s="32">
        <f>IF(X115&lt;&gt;0,X124/X115,"")</f>
        <v>0.7979388171743275</v>
      </c>
      <c r="Y125" s="32">
        <f>IF(Y115&lt;&gt;0,Y124/Y115,"")</f>
        <v>0.7884000877760019</v>
      </c>
      <c r="Z125" s="32">
        <f>IF(Z115&lt;&gt;0,Z124/Z115,"")</f>
        <v>0.7783674024780033</v>
      </c>
      <c r="AA125" s="32">
        <f>IF(AA115&lt;&gt;0,AA124/AA115,"")</f>
        <v>0.7678150664325236</v>
      </c>
      <c r="AB125" s="32">
        <f>IF(AB115&lt;&gt;0,AB124/AB115,"")</f>
        <v>0.7567160458846687</v>
      </c>
      <c r="AC125" s="32">
        <f>IF(AC115&lt;&gt;0,AC124/AC115,"")</f>
        <v>0.745041898289506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668.8572664853953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27.869052770224794</v>
      </c>
      <c r="G128" s="37">
        <f>IF($C$57="annual",IF(G$5&gt;=2,$C$35*$C$58*$C$39*G106,0),IF(AND($C$57="oneTime",G$5=$C$59,$C$59&gt;1,$C$59&lt;=$C$87),$C$35*MIN(0.6,$C$58*(G$5-1))*$C$39*G106,0))</f>
        <v>27.869052770224794</v>
      </c>
      <c r="H128" s="37">
        <f>IF($C$57="annual",IF(H$5&gt;=2,$C$35*$C$58*$C$39*H106,0),IF(AND($C$57="oneTime",H$5=$C$59,$C$59&gt;1,$C$59&lt;=$C$87),$C$35*MIN(0.6,$C$58*(H$5-1))*$C$39*H106,0))</f>
        <v>27.869052770224794</v>
      </c>
      <c r="I128" s="37">
        <f>IF($C$57="annual",IF(I$5&gt;=2,$C$35*$C$58*$C$39*I106,0),IF(AND($C$57="oneTime",I$5=$C$59,$C$59&gt;1,$C$59&lt;=$C$87),$C$35*MIN(0.6,$C$58*(I$5-1))*$C$39*I106,0))</f>
        <v>27.869052770224794</v>
      </c>
      <c r="J128" s="37">
        <f>IF($C$57="annual",IF(J$5&gt;=2,$C$35*$C$58*$C$39*J106,0),IF(AND($C$57="oneTime",J$5=$C$59,$C$59&gt;1,$C$59&lt;=$C$87),$C$35*MIN(0.6,$C$58*(J$5-1))*$C$39*J106,0))</f>
        <v>27.869052770224794</v>
      </c>
      <c r="K128" s="37">
        <f>IF($C$57="annual",IF(K$5&gt;=2,$C$35*$C$58*$C$39*K106,0),IF(AND($C$57="oneTime",K$5=$C$59,$C$59&gt;1,$C$59&lt;=$C$87),$C$35*MIN(0.6,$C$58*(K$5-1))*$C$39*K106,0))</f>
        <v>27.869052770224794</v>
      </c>
      <c r="L128" s="37">
        <f>IF($C$57="annual",IF(L$5&gt;=2,$C$35*$C$58*$C$39*L106,0),IF(AND($C$57="oneTime",L$5=$C$59,$C$59&gt;1,$C$59&lt;=$C$87),$C$35*MIN(0.6,$C$58*(L$5-1))*$C$39*L106,0))</f>
        <v>27.869052770224794</v>
      </c>
      <c r="M128" s="37">
        <f>IF($C$57="annual",IF(M$5&gt;=2,$C$35*$C$58*$C$39*M106,0),IF(AND($C$57="oneTime",M$5=$C$59,$C$59&gt;1,$C$59&lt;=$C$87),$C$35*MIN(0.6,$C$58*(M$5-1))*$C$39*M106,0))</f>
        <v>27.869052770224794</v>
      </c>
      <c r="N128" s="37">
        <f>IF($C$57="annual",IF(N$5&gt;=2,$C$35*$C$58*$C$39*N106,0),IF(AND($C$57="oneTime",N$5=$C$59,$C$59&gt;1,$C$59&lt;=$C$87),$C$35*MIN(0.6,$C$58*(N$5-1))*$C$39*N106,0))</f>
        <v>27.869052770224794</v>
      </c>
      <c r="O128" s="37">
        <f>IF($C$57="annual",IF(O$5&gt;=2,$C$35*$C$58*$C$39*O106,0),IF(AND($C$57="oneTime",O$5=$C$59,$C$59&gt;1,$C$59&lt;=$C$87),$C$35*MIN(0.6,$C$58*(O$5-1))*$C$39*O106,0))</f>
        <v>27.869052770224794</v>
      </c>
      <c r="P128" s="37">
        <f>IF($C$57="annual",IF(P$5&gt;=2,$C$35*$C$58*$C$39*P106,0),IF(AND($C$57="oneTime",P$5=$C$59,$C$59&gt;1,$C$59&lt;=$C$87),$C$35*MIN(0.6,$C$58*(P$5-1))*$C$39*P106,0))</f>
        <v>27.869052770224794</v>
      </c>
      <c r="Q128" s="37">
        <f>IF($C$57="annual",IF(Q$5&gt;=2,$C$35*$C$58*$C$39*Q106,0),IF(AND($C$57="oneTime",Q$5=$C$59,$C$59&gt;1,$C$59&lt;=$C$87),$C$35*MIN(0.6,$C$58*(Q$5-1))*$C$39*Q106,0))</f>
        <v>27.869052770224794</v>
      </c>
      <c r="R128" s="37">
        <f>IF($C$57="annual",IF(R$5&gt;=2,$C$35*$C$58*$C$39*R106,0),IF(AND($C$57="oneTime",R$5=$C$59,$C$59&gt;1,$C$59&lt;=$C$87),$C$35*MIN(0.6,$C$58*(R$5-1))*$C$39*R106,0))</f>
        <v>27.869052770224794</v>
      </c>
      <c r="S128" s="37">
        <f>IF($C$57="annual",IF(S$5&gt;=2,$C$35*$C$58*$C$39*S106,0),IF(AND($C$57="oneTime",S$5=$C$59,$C$59&gt;1,$C$59&lt;=$C$87),$C$35*MIN(0.6,$C$58*(S$5-1))*$C$39*S106,0))</f>
        <v>27.869052770224794</v>
      </c>
      <c r="T128" s="37">
        <f>IF($C$57="annual",IF(T$5&gt;=2,$C$35*$C$58*$C$39*T106,0),IF(AND($C$57="oneTime",T$5=$C$59,$C$59&gt;1,$C$59&lt;=$C$87),$C$35*MIN(0.6,$C$58*(T$5-1))*$C$39*T106,0))</f>
        <v>27.869052770224794</v>
      </c>
      <c r="U128" s="37">
        <f>IF($C$57="annual",IF(U$5&gt;=2,$C$35*$C$58*$C$39*U106,0),IF(AND($C$57="oneTime",U$5=$C$59,$C$59&gt;1,$C$59&lt;=$C$87),$C$35*MIN(0.6,$C$58*(U$5-1))*$C$39*U106,0))</f>
        <v>27.869052770224794</v>
      </c>
      <c r="V128" s="37">
        <f>IF($C$57="annual",IF(V$5&gt;=2,$C$35*$C$58*$C$39*V106,0),IF(AND($C$57="oneTime",V$5=$C$59,$C$59&gt;1,$C$59&lt;=$C$87),$C$35*MIN(0.6,$C$58*(V$5-1))*$C$39*V106,0))</f>
        <v>27.869052770224794</v>
      </c>
      <c r="W128" s="37">
        <f>IF($C$57="annual",IF(W$5&gt;=2,$C$35*$C$58*$C$39*W106,0),IF(AND($C$57="oneTime",W$5=$C$59,$C$59&gt;1,$C$59&lt;=$C$87),$C$35*MIN(0.6,$C$58*(W$5-1))*$C$39*W106,0))</f>
        <v>27.869052770224794</v>
      </c>
      <c r="X128" s="37">
        <f>IF($C$57="annual",IF(X$5&gt;=2,$C$35*$C$58*$C$39*X106,0),IF(AND($C$57="oneTime",X$5=$C$59,$C$59&gt;1,$C$59&lt;=$C$87),$C$35*MIN(0.6,$C$58*(X$5-1))*$C$39*X106,0))</f>
        <v>27.869052770224794</v>
      </c>
      <c r="Y128" s="37">
        <f>IF($C$57="annual",IF(Y$5&gt;=2,$C$35*$C$58*$C$39*Y106,0),IF(AND($C$57="oneTime",Y$5=$C$59,$C$59&gt;1,$C$59&lt;=$C$87),$C$35*MIN(0.6,$C$58*(Y$5-1))*$C$39*Y106,0))</f>
        <v>27.869052770224794</v>
      </c>
      <c r="Z128" s="37">
        <f>IF($C$57="annual",IF(Z$5&gt;=2,$C$35*$C$58*$C$39*Z106,0),IF(AND($C$57="oneTime",Z$5=$C$59,$C$59&gt;1,$C$59&lt;=$C$87),$C$35*MIN(0.6,$C$58*(Z$5-1))*$C$39*Z106,0))</f>
        <v>27.869052770224794</v>
      </c>
      <c r="AA128" s="37">
        <f>IF($C$57="annual",IF(AA$5&gt;=2,$C$35*$C$58*$C$39*AA106,0),IF(AND($C$57="oneTime",AA$5=$C$59,$C$59&gt;1,$C$59&lt;=$C$87),$C$35*MIN(0.6,$C$58*(AA$5-1))*$C$39*AA106,0))</f>
        <v>27.869052770224794</v>
      </c>
      <c r="AB128" s="37">
        <f>IF($C$57="annual",IF(AB$5&gt;=2,$C$35*$C$58*$C$39*AB106,0),IF(AND($C$57="oneTime",AB$5=$C$59,$C$59&gt;1,$C$59&lt;=$C$87),$C$35*MIN(0.6,$C$58*(AB$5-1))*$C$39*AB106,0))</f>
        <v>27.869052770224794</v>
      </c>
      <c r="AC128" s="37">
        <f>IF($C$57="annual",IF(AC$5&gt;=2,$C$35*$C$58*$C$39*AC106,0),IF(AND($C$57="oneTime",AC$5=$C$59,$C$59&gt;1,$C$59&lt;=$C$87),$C$35*MIN(0.6,$C$58*(AC$5-1))*$C$39*AC106,0))</f>
        <v>27.869052770224794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4756.514005571891</v>
      </c>
      <c r="E131" s="37">
        <f>IF(E$5&lt;=$C$72,$C$92,0)</f>
        <v>190.26056022287568</v>
      </c>
      <c r="F131" s="37">
        <f>IF(F$5&lt;=$C$72,$C$92,0)</f>
        <v>190.26056022287568</v>
      </c>
      <c r="G131" s="37">
        <f>IF(G$5&lt;=$C$72,$C$92,0)</f>
        <v>190.26056022287568</v>
      </c>
      <c r="H131" s="37">
        <f>IF(H$5&lt;=$C$72,$C$92,0)</f>
        <v>190.26056022287568</v>
      </c>
      <c r="I131" s="37">
        <f>IF(I$5&lt;=$C$72,$C$92,0)</f>
        <v>190.26056022287568</v>
      </c>
      <c r="J131" s="37">
        <f>IF(J$5&lt;=$C$72,$C$92,0)</f>
        <v>190.26056022287568</v>
      </c>
      <c r="K131" s="37">
        <f>IF(K$5&lt;=$C$72,$C$92,0)</f>
        <v>190.26056022287568</v>
      </c>
      <c r="L131" s="37">
        <f>IF(L$5&lt;=$C$72,$C$92,0)</f>
        <v>190.26056022287568</v>
      </c>
      <c r="M131" s="37">
        <f>IF(M$5&lt;=$C$72,$C$92,0)</f>
        <v>190.26056022287568</v>
      </c>
      <c r="N131" s="37">
        <f>IF(N$5&lt;=$C$72,$C$92,0)</f>
        <v>190.26056022287568</v>
      </c>
      <c r="O131" s="37">
        <f>IF(O$5&lt;=$C$72,$C$92,0)</f>
        <v>190.26056022287568</v>
      </c>
      <c r="P131" s="37">
        <f>IF(P$5&lt;=$C$72,$C$92,0)</f>
        <v>190.26056022287568</v>
      </c>
      <c r="Q131" s="37">
        <f>IF(Q$5&lt;=$C$72,$C$92,0)</f>
        <v>190.26056022287568</v>
      </c>
      <c r="R131" s="37">
        <f>IF(R$5&lt;=$C$72,$C$92,0)</f>
        <v>190.26056022287568</v>
      </c>
      <c r="S131" s="37">
        <f>IF(S$5&lt;=$C$72,$C$92,0)</f>
        <v>190.26056022287568</v>
      </c>
      <c r="T131" s="37">
        <f>IF(T$5&lt;=$C$72,$C$92,0)</f>
        <v>190.26056022287568</v>
      </c>
      <c r="U131" s="37">
        <f>IF(U$5&lt;=$C$72,$C$92,0)</f>
        <v>190.26056022287568</v>
      </c>
      <c r="V131" s="37">
        <f>IF(V$5&lt;=$C$72,$C$92,0)</f>
        <v>190.26056022287568</v>
      </c>
      <c r="W131" s="37">
        <f>IF(W$5&lt;=$C$72,$C$92,0)</f>
        <v>190.26056022287568</v>
      </c>
      <c r="X131" s="37">
        <f>IF(X$5&lt;=$C$72,$C$92,0)</f>
        <v>190.26056022287568</v>
      </c>
      <c r="Y131" s="37">
        <f>IF(Y$5&lt;=$C$72,$C$92,0)</f>
        <v>190.26056022287568</v>
      </c>
      <c r="Z131" s="37">
        <f>IF(Z$5&lt;=$C$72,$C$92,0)</f>
        <v>190.26056022287568</v>
      </c>
      <c r="AA131" s="37">
        <f>IF(AA$5&lt;=$C$72,$C$92,0)</f>
        <v>190.26056022287568</v>
      </c>
      <c r="AB131" s="37">
        <f>IF(AB$5&lt;=$C$72,$C$92,0)</f>
        <v>190.26056022287568</v>
      </c>
      <c r="AC131" s="37">
        <f>IF(AC$5&lt;=$C$72,$C$92,0)</f>
        <v>190.26056022287568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1.1612105320926998</v>
      </c>
      <c r="G132" s="37">
        <f>G128/MAX(1,$C$87-G$5+1)</f>
        <v>1.2116979465315127</v>
      </c>
      <c r="H132" s="37">
        <f>H128/MAX(1,$C$87-H$5+1)</f>
        <v>1.2667751259193087</v>
      </c>
      <c r="I132" s="37">
        <f>I128/MAX(1,$C$87-I$5+1)</f>
        <v>1.3270977509630855</v>
      </c>
      <c r="J132" s="37">
        <f>J128/MAX(1,$C$87-J$5+1)</f>
        <v>1.3934526385112398</v>
      </c>
      <c r="K132" s="37">
        <f>K128/MAX(1,$C$87-K$5+1)</f>
        <v>1.4667922510644629</v>
      </c>
      <c r="L132" s="37">
        <f>L128/MAX(1,$C$87-L$5+1)</f>
        <v>1.548280709456933</v>
      </c>
      <c r="M132" s="37">
        <f>M128/MAX(1,$C$87-M$5+1)</f>
        <v>1.6393560453073408</v>
      </c>
      <c r="N132" s="37">
        <f>N128/MAX(1,$C$87-N$5+1)</f>
        <v>1.7418157981390496</v>
      </c>
      <c r="O132" s="37">
        <f>O128/MAX(1,$C$87-O$5+1)</f>
        <v>1.8579368513483197</v>
      </c>
      <c r="P132" s="37">
        <f>P128/MAX(1,$C$87-P$5+1)</f>
        <v>1.990646626444628</v>
      </c>
      <c r="Q132" s="37">
        <f>Q128/MAX(1,$C$87-Q$5+1)</f>
        <v>2.143773290017292</v>
      </c>
      <c r="R132" s="37">
        <f>R128/MAX(1,$C$87-R$5+1)</f>
        <v>2.3224210641853995</v>
      </c>
      <c r="S132" s="37">
        <f>S128/MAX(1,$C$87-S$5+1)</f>
        <v>2.5335502518386175</v>
      </c>
      <c r="T132" s="37">
        <f>T128/MAX(1,$C$87-T$5+1)</f>
        <v>2.7869052770224796</v>
      </c>
      <c r="U132" s="37">
        <f>U128/MAX(1,$C$87-U$5+1)</f>
        <v>3.096561418913866</v>
      </c>
      <c r="V132" s="37">
        <f>V128/MAX(1,$C$87-V$5+1)</f>
        <v>3.4836315962780993</v>
      </c>
      <c r="W132" s="37">
        <f>W128/MAX(1,$C$87-W$5+1)</f>
        <v>3.981293252889256</v>
      </c>
      <c r="X132" s="37">
        <f>X128/MAX(1,$C$87-X$5+1)</f>
        <v>4.644842128370799</v>
      </c>
      <c r="Y132" s="37">
        <f>Y128/MAX(1,$C$87-Y$5+1)</f>
        <v>5.573810554044959</v>
      </c>
      <c r="Z132" s="37">
        <f>Z128/MAX(1,$C$87-Z$5+1)</f>
        <v>6.9672631925561985</v>
      </c>
      <c r="AA132" s="37">
        <f>AA128/MAX(1,$C$87-AA$5+1)</f>
        <v>9.289684256741598</v>
      </c>
      <c r="AB132" s="37">
        <f>AB128/MAX(1,$C$87-AB$5+1)</f>
        <v>13.934526385112397</v>
      </c>
      <c r="AC132" s="37">
        <f>AC128/MAX(1,$C$87-AC$5+1)</f>
        <v>27.869052770224794</v>
      </c>
    </row>
    <row r="133" spans="1:29" x14ac:dyDescent="0.25">
      <c r="A133" s="33" t="s">
        <v>204</v>
      </c>
      <c r="B133" s="26" t="s">
        <v>86</v>
      </c>
      <c r="C133" s="57">
        <f>SUM(E133:AC133)</f>
        <v>668.857266485395</v>
      </c>
      <c r="E133" s="37">
        <f>E132</f>
        <v>0</v>
      </c>
      <c r="F133" s="37">
        <f>E133+F132</f>
        <v>1.1612105320926998</v>
      </c>
      <c r="G133" s="37">
        <f>F133+G132</f>
        <v>2.3729084786242125</v>
      </c>
      <c r="H133" s="37">
        <f>G133+H132</f>
        <v>3.6396836045435212</v>
      </c>
      <c r="I133" s="37">
        <f>H133+I132</f>
        <v>4.9667813555066065</v>
      </c>
      <c r="J133" s="37">
        <f>I133+J132</f>
        <v>6.360233994017847</v>
      </c>
      <c r="K133" s="37">
        <f>J133+K132</f>
        <v>7.82702624508231</v>
      </c>
      <c r="L133" s="37">
        <f>K133+L132</f>
        <v>9.375306954539242</v>
      </c>
      <c r="M133" s="37">
        <f>L133+M132</f>
        <v>11.014662999846584</v>
      </c>
      <c r="N133" s="37">
        <f>M133+N132</f>
        <v>12.756478797985633</v>
      </c>
      <c r="O133" s="37">
        <f>N133+O132</f>
        <v>14.614415649333953</v>
      </c>
      <c r="P133" s="37">
        <f>O133+P132</f>
        <v>16.605062275778582</v>
      </c>
      <c r="Q133" s="37">
        <f>P133+Q132</f>
        <v>18.748835565795876</v>
      </c>
      <c r="R133" s="37">
        <f>Q133+R132</f>
        <v>21.071256629981274</v>
      </c>
      <c r="S133" s="37">
        <f>R133+S132</f>
        <v>23.60480688181989</v>
      </c>
      <c r="T133" s="37">
        <f>S133+T132</f>
        <v>26.39171215884237</v>
      </c>
      <c r="U133" s="37">
        <f>T133+U132</f>
        <v>29.488273577756235</v>
      </c>
      <c r="V133" s="37">
        <f>U133+V132</f>
        <v>32.97190517403433</v>
      </c>
      <c r="W133" s="37">
        <f>V133+W132</f>
        <v>36.95319842692359</v>
      </c>
      <c r="X133" s="37">
        <f>W133+X132</f>
        <v>41.59804055529439</v>
      </c>
      <c r="Y133" s="37">
        <f>X133+Y132</f>
        <v>47.17185110933935</v>
      </c>
      <c r="Z133" s="37">
        <f>Y133+Z132</f>
        <v>54.139114301895546</v>
      </c>
      <c r="AA133" s="37">
        <f>Z133+AA132</f>
        <v>63.42879855863714</v>
      </c>
      <c r="AB133" s="37">
        <f>AA133+AB132</f>
        <v>77.36332494374953</v>
      </c>
      <c r="AC133" s="37">
        <f>AB133+AC132</f>
        <v>105.23237771397433</v>
      </c>
    </row>
    <row r="134" spans="1:29" x14ac:dyDescent="0.25">
      <c r="A134" s="61" t="s">
        <v>201</v>
      </c>
      <c r="B134" s="62" t="s">
        <v>86</v>
      </c>
      <c r="C134" s="63">
        <f>SUM(E134:AC134)</f>
        <v>5425.371272057288</v>
      </c>
      <c r="D134" s="64"/>
      <c r="E134" s="63">
        <f>E131+E133</f>
        <v>190.26056022287568</v>
      </c>
      <c r="F134" s="63">
        <f>F131+F133</f>
        <v>191.42177075496838</v>
      </c>
      <c r="G134" s="63">
        <f>G131+G133</f>
        <v>192.6334687014999</v>
      </c>
      <c r="H134" s="63">
        <f>H131+H133</f>
        <v>193.90024382741922</v>
      </c>
      <c r="I134" s="63">
        <f>I131+I133</f>
        <v>195.2273415783823</v>
      </c>
      <c r="J134" s="63">
        <f>J131+J133</f>
        <v>196.62079421689353</v>
      </c>
      <c r="K134" s="63">
        <f>K131+K133</f>
        <v>198.087586467958</v>
      </c>
      <c r="L134" s="63">
        <f>L131+L133</f>
        <v>199.63586717741492</v>
      </c>
      <c r="M134" s="63">
        <f>M131+M133</f>
        <v>201.27522322272227</v>
      </c>
      <c r="N134" s="63">
        <f>N131+N133</f>
        <v>203.01703902086132</v>
      </c>
      <c r="O134" s="63">
        <f>O131+O133</f>
        <v>204.87497587220963</v>
      </c>
      <c r="P134" s="63">
        <f>P131+P133</f>
        <v>206.86562249865426</v>
      </c>
      <c r="Q134" s="63">
        <f>Q131+Q133</f>
        <v>209.00939578867155</v>
      </c>
      <c r="R134" s="63">
        <f>R131+R133</f>
        <v>211.33181685285695</v>
      </c>
      <c r="S134" s="63">
        <f>S131+S133</f>
        <v>213.86536710469557</v>
      </c>
      <c r="T134" s="63">
        <f>T131+T133</f>
        <v>216.65227238171806</v>
      </c>
      <c r="U134" s="63">
        <f>U131+U133</f>
        <v>219.74883380063193</v>
      </c>
      <c r="V134" s="63">
        <f>V131+V133</f>
        <v>223.23246539691002</v>
      </c>
      <c r="W134" s="63">
        <f>W131+W133</f>
        <v>227.21375864979927</v>
      </c>
      <c r="X134" s="63">
        <f>X131+X133</f>
        <v>231.85860077817006</v>
      </c>
      <c r="Y134" s="63">
        <f>Y131+Y133</f>
        <v>237.43241133221503</v>
      </c>
      <c r="Z134" s="63">
        <f>Z131+Z133</f>
        <v>244.39967452477123</v>
      </c>
      <c r="AA134" s="63">
        <f>AA131+AA133</f>
        <v>253.68935878151282</v>
      </c>
      <c r="AB134" s="63">
        <f>AB131+AB133</f>
        <v>267.6238851666252</v>
      </c>
      <c r="AC134" s="63">
        <f>AC131+AC133</f>
        <v>295.49293793685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3699.5108932225826</v>
      </c>
      <c r="F137" s="37">
        <f>E140</f>
        <v>3452.8768336744106</v>
      </c>
      <c r="G137" s="37">
        <f>F140</f>
        <v>3206.2427741262386</v>
      </c>
      <c r="H137" s="37">
        <f>G140</f>
        <v>2959.6087145780666</v>
      </c>
      <c r="I137" s="37">
        <f>H140</f>
        <v>2712.9746550298946</v>
      </c>
      <c r="J137" s="37">
        <f>I140</f>
        <v>2466.3405954817226</v>
      </c>
      <c r="K137" s="37">
        <f>J140</f>
        <v>2219.7065359335506</v>
      </c>
      <c r="L137" s="37">
        <f>K140</f>
        <v>1973.0724763853784</v>
      </c>
      <c r="M137" s="37">
        <f>L140</f>
        <v>1726.4384168372062</v>
      </c>
      <c r="N137" s="37">
        <f>M140</f>
        <v>1479.804357289034</v>
      </c>
      <c r="O137" s="37">
        <f>N140</f>
        <v>1233.1702977408618</v>
      </c>
      <c r="P137" s="37">
        <f>O140</f>
        <v>986.5362381926896</v>
      </c>
      <c r="Q137" s="37">
        <f>P140</f>
        <v>739.9021786445173</v>
      </c>
      <c r="R137" s="37">
        <f>Q140</f>
        <v>493.2681190963452</v>
      </c>
      <c r="S137" s="37">
        <f>R140</f>
        <v>246.634059548173</v>
      </c>
      <c r="T137" s="37">
        <f>S140</f>
        <v>8.526512829121202e-13</v>
      </c>
      <c r="U137" s="37">
        <f>T140</f>
        <v>8.526512829121202e-13</v>
      </c>
      <c r="V137" s="37">
        <f>U140</f>
        <v>8.526512829121202e-13</v>
      </c>
      <c r="W137" s="37">
        <f>V140</f>
        <v>8.526512829121202e-13</v>
      </c>
      <c r="X137" s="37">
        <f>W140</f>
        <v>8.526512829121202e-13</v>
      </c>
      <c r="Y137" s="37">
        <f>X140</f>
        <v>8.526512829121202e-13</v>
      </c>
      <c r="Z137" s="37">
        <f>Y140</f>
        <v>8.526512829121202e-13</v>
      </c>
      <c r="AA137" s="37">
        <f>Z140</f>
        <v>8.526512829121202e-13</v>
      </c>
      <c r="AB137" s="37">
        <f>AA140</f>
        <v>8.526512829121202e-13</v>
      </c>
      <c r="AC137" s="37">
        <f>AB140</f>
        <v>8.526512829121202e-13</v>
      </c>
    </row>
    <row r="138" spans="1:29" x14ac:dyDescent="0.25">
      <c r="A138" s="33" t="s">
        <v>206</v>
      </c>
      <c r="B138" s="26" t="s">
        <v>86</v>
      </c>
      <c r="C138" s="57">
        <f>SUM(E138:AC138)</f>
        <v>2663.6478431202604</v>
      </c>
      <c r="E138" s="37">
        <f>E137*$C$63</f>
        <v>332.95598039003244</v>
      </c>
      <c r="F138" s="37">
        <f>F137*$C$63</f>
        <v>310.7589150306969</v>
      </c>
      <c r="G138" s="37">
        <f>G137*$C$63</f>
        <v>288.5618496713615</v>
      </c>
      <c r="H138" s="37">
        <f>H137*$C$63</f>
        <v>266.36478431202596</v>
      </c>
      <c r="I138" s="37">
        <f>I137*$C$63</f>
        <v>244.1677189526905</v>
      </c>
      <c r="J138" s="37">
        <f>J137*$C$63</f>
        <v>221.97065359335502</v>
      </c>
      <c r="K138" s="37">
        <f>K137*$C$63</f>
        <v>199.77358823401954</v>
      </c>
      <c r="L138" s="37">
        <f>L137*$C$63</f>
        <v>177.57652287468406</v>
      </c>
      <c r="M138" s="37">
        <f>M137*$C$63</f>
        <v>155.37945751534855</v>
      </c>
      <c r="N138" s="37">
        <f>N137*$C$63</f>
        <v>133.18239215601307</v>
      </c>
      <c r="O138" s="37">
        <f>O137*$C$63</f>
        <v>110.98532679667755</v>
      </c>
      <c r="P138" s="37">
        <f>P137*$C$63</f>
        <v>88.78826143734206</v>
      </c>
      <c r="Q138" s="37">
        <f>Q137*$C$63</f>
        <v>66.59119607800656</v>
      </c>
      <c r="R138" s="37">
        <f>R137*$C$63</f>
        <v>44.394130718671065</v>
      </c>
      <c r="S138" s="37">
        <f>S137*$C$63</f>
        <v>22.19706535933557</v>
      </c>
      <c r="T138" s="37">
        <f>T137*$C$63</f>
        <v>7.673861546209081e-14</v>
      </c>
      <c r="U138" s="37">
        <f>U137*$C$63</f>
        <v>7.673861546209081e-14</v>
      </c>
      <c r="V138" s="37">
        <f>V137*$C$63</f>
        <v>7.673861546209081e-14</v>
      </c>
      <c r="W138" s="37">
        <f>W137*$C$63</f>
        <v>7.673861546209081e-14</v>
      </c>
      <c r="X138" s="37">
        <f>X137*$C$63</f>
        <v>7.673861546209081e-14</v>
      </c>
      <c r="Y138" s="37">
        <f>Y137*$C$63</f>
        <v>7.673861546209081e-14</v>
      </c>
      <c r="Z138" s="37">
        <f>Z137*$C$63</f>
        <v>7.673861546209081e-14</v>
      </c>
      <c r="AA138" s="37">
        <f>AA137*$C$63</f>
        <v>7.673861546209081e-14</v>
      </c>
      <c r="AB138" s="37">
        <f>AB137*$C$63</f>
        <v>7.673861546209081e-14</v>
      </c>
      <c r="AC138" s="37">
        <f>AC137*$C$63</f>
        <v>7.673861546209081e-14</v>
      </c>
    </row>
    <row r="139" spans="1:29" x14ac:dyDescent="0.25">
      <c r="A139" s="33" t="s">
        <v>207</v>
      </c>
      <c r="B139" s="26" t="s">
        <v>86</v>
      </c>
      <c r="C139" s="57">
        <f>SUM(E139:AC139)</f>
        <v>3699.5108932225817</v>
      </c>
      <c r="E139" s="37">
        <f>IF(AND(E$5&lt;=$C$88,E137&gt;1E-9),IF($C$65="annuity",MIN(E137,$C$89-E138),MIN(E137,$C$90)),0)</f>
        <v>246.63405954817216</v>
      </c>
      <c r="F139" s="37">
        <f>IF(AND(F$5&lt;=$C$88,F137&gt;1E-9),IF($C$65="annuity",MIN(F137,$C$89-F138),MIN(F137,$C$90)),0)</f>
        <v>246.63405954817216</v>
      </c>
      <c r="G139" s="37">
        <f>IF(AND(G$5&lt;=$C$88,G137&gt;1E-9),IF($C$65="annuity",MIN(G137,$C$89-G138),MIN(G137,$C$90)),0)</f>
        <v>246.63405954817216</v>
      </c>
      <c r="H139" s="37">
        <f>IF(AND(H$5&lt;=$C$88,H137&gt;1E-9),IF($C$65="annuity",MIN(H137,$C$89-H138),MIN(H137,$C$90)),0)</f>
        <v>246.63405954817216</v>
      </c>
      <c r="I139" s="37">
        <f>IF(AND(I$5&lt;=$C$88,I137&gt;1E-9),IF($C$65="annuity",MIN(I137,$C$89-I138),MIN(I137,$C$90)),0)</f>
        <v>246.63405954817216</v>
      </c>
      <c r="J139" s="37">
        <f>IF(AND(J$5&lt;=$C$88,J137&gt;1E-9),IF($C$65="annuity",MIN(J137,$C$89-J138),MIN(J137,$C$90)),0)</f>
        <v>246.63405954817216</v>
      </c>
      <c r="K139" s="37">
        <f>IF(AND(K$5&lt;=$C$88,K137&gt;1E-9),IF($C$65="annuity",MIN(K137,$C$89-K138),MIN(K137,$C$90)),0)</f>
        <v>246.63405954817216</v>
      </c>
      <c r="L139" s="37">
        <f>IF(AND(L$5&lt;=$C$88,L137&gt;1E-9),IF($C$65="annuity",MIN(L137,$C$89-L138),MIN(L137,$C$90)),0)</f>
        <v>246.63405954817216</v>
      </c>
      <c r="M139" s="37">
        <f>IF(AND(M$5&lt;=$C$88,M137&gt;1E-9),IF($C$65="annuity",MIN(M137,$C$89-M138),MIN(M137,$C$90)),0)</f>
        <v>246.63405954817216</v>
      </c>
      <c r="N139" s="37">
        <f>IF(AND(N$5&lt;=$C$88,N137&gt;1E-9),IF($C$65="annuity",MIN(N137,$C$89-N138),MIN(N137,$C$90)),0)</f>
        <v>246.63405954817216</v>
      </c>
      <c r="O139" s="37">
        <f>IF(AND(O$5&lt;=$C$88,O137&gt;1E-9),IF($C$65="annuity",MIN(O137,$C$89-O138),MIN(O137,$C$90)),0)</f>
        <v>246.63405954817216</v>
      </c>
      <c r="P139" s="37">
        <f>IF(AND(P$5&lt;=$C$88,P137&gt;1E-9),IF($C$65="annuity",MIN(P137,$C$89-P138),MIN(P137,$C$90)),0)</f>
        <v>246.63405954817216</v>
      </c>
      <c r="Q139" s="37">
        <f>IF(AND(Q$5&lt;=$C$88,Q137&gt;1E-9),IF($C$65="annuity",MIN(Q137,$C$89-Q138),MIN(Q137,$C$90)),0)</f>
        <v>246.63405954817216</v>
      </c>
      <c r="R139" s="37">
        <f>IF(AND(R$5&lt;=$C$88,R137&gt;1E-9),IF($C$65="annuity",MIN(R137,$C$89-R138),MIN(R137,$C$90)),0)</f>
        <v>246.63405954817216</v>
      </c>
      <c r="S139" s="37">
        <f>IF(AND(S$5&lt;=$C$88,S137&gt;1E-9),IF($C$65="annuity",MIN(S137,$C$89-S138),MIN(S137,$C$90)),0)</f>
        <v>246.63405954817216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3452.8768336744106</v>
      </c>
      <c r="F140" s="37">
        <f>F137-F139</f>
        <v>3206.2427741262386</v>
      </c>
      <c r="G140" s="37">
        <f>G137-G139</f>
        <v>2959.6087145780666</v>
      </c>
      <c r="H140" s="37">
        <f>H137-H139</f>
        <v>2712.9746550298946</v>
      </c>
      <c r="I140" s="37">
        <f>I137-I139</f>
        <v>2466.3405954817226</v>
      </c>
      <c r="J140" s="37">
        <f>J137-J139</f>
        <v>2219.7065359335506</v>
      </c>
      <c r="K140" s="37">
        <f>K137-K139</f>
        <v>1973.0724763853784</v>
      </c>
      <c r="L140" s="37">
        <f>L137-L139</f>
        <v>1726.4384168372062</v>
      </c>
      <c r="M140" s="37">
        <f>M137-M139</f>
        <v>1479.804357289034</v>
      </c>
      <c r="N140" s="37">
        <f>N137-N139</f>
        <v>1233.1702977408618</v>
      </c>
      <c r="O140" s="37">
        <f>O137-O139</f>
        <v>986.5362381926896</v>
      </c>
      <c r="P140" s="37">
        <f>P137-P139</f>
        <v>739.9021786445173</v>
      </c>
      <c r="Q140" s="37">
        <f>Q137-Q139</f>
        <v>493.2681190963452</v>
      </c>
      <c r="R140" s="37">
        <f>R137-R139</f>
        <v>246.634059548173</v>
      </c>
      <c r="S140" s="37">
        <f>S137-S139</f>
        <v>8.526512829121202e-13</v>
      </c>
      <c r="T140" s="37">
        <f>T137-T139</f>
        <v>8.526512829121202e-13</v>
      </c>
      <c r="U140" s="37">
        <f>U137-U139</f>
        <v>8.526512829121202e-13</v>
      </c>
      <c r="V140" s="37">
        <f>V137-V139</f>
        <v>8.526512829121202e-13</v>
      </c>
      <c r="W140" s="37">
        <f>W137-W139</f>
        <v>8.526512829121202e-13</v>
      </c>
      <c r="X140" s="37">
        <f>X137-X139</f>
        <v>8.526512829121202e-13</v>
      </c>
      <c r="Y140" s="37">
        <f>Y137-Y139</f>
        <v>8.526512829121202e-13</v>
      </c>
      <c r="Z140" s="37">
        <f>Z137-Z139</f>
        <v>8.526512829121202e-13</v>
      </c>
      <c r="AA140" s="37">
        <f>AA137-AA139</f>
        <v>8.526512829121202e-13</v>
      </c>
      <c r="AB140" s="37">
        <f>AB137-AB139</f>
        <v>8.526512829121202e-13</v>
      </c>
      <c r="AC140" s="37">
        <f>AC137-AC139</f>
        <v>8.526512829121202e-13</v>
      </c>
    </row>
    <row r="141" spans="1:29" x14ac:dyDescent="0.25">
      <c r="A141" s="61" t="s">
        <v>209</v>
      </c>
      <c r="B141" s="62" t="s">
        <v>86</v>
      </c>
      <c r="C141" s="63">
        <f>SUM(E141:AC141)</f>
        <v>6363.158736342843</v>
      </c>
      <c r="D141" s="64"/>
      <c r="E141" s="63">
        <f>E138+E139</f>
        <v>579.5900399382047</v>
      </c>
      <c r="F141" s="63">
        <f>F138+F139</f>
        <v>557.3929745788691</v>
      </c>
      <c r="G141" s="63">
        <f>G138+G139</f>
        <v>535.1959092195336</v>
      </c>
      <c r="H141" s="63">
        <f>H138+H139</f>
        <v>512.9988438601981</v>
      </c>
      <c r="I141" s="63">
        <f>I138+I139</f>
        <v>490.80177850086267</v>
      </c>
      <c r="J141" s="63">
        <f>J138+J139</f>
        <v>468.6047131415272</v>
      </c>
      <c r="K141" s="63">
        <f>K138+K139</f>
        <v>446.4076477821917</v>
      </c>
      <c r="L141" s="63">
        <f>L138+L139</f>
        <v>424.2105824228562</v>
      </c>
      <c r="M141" s="63">
        <f>M138+M139</f>
        <v>402.0135170635207</v>
      </c>
      <c r="N141" s="63">
        <f>N138+N139</f>
        <v>379.8164517041852</v>
      </c>
      <c r="O141" s="63">
        <f>O138+O139</f>
        <v>357.6193863448497</v>
      </c>
      <c r="P141" s="63">
        <f>P138+P139</f>
        <v>335.4223209855142</v>
      </c>
      <c r="Q141" s="63">
        <f>Q138+Q139</f>
        <v>313.22525562617875</v>
      </c>
      <c r="R141" s="63">
        <f>R138+R139</f>
        <v>291.02819026684324</v>
      </c>
      <c r="S141" s="63">
        <f>S138+S139</f>
        <v>268.83112490750773</v>
      </c>
      <c r="T141" s="63">
        <f>T138+T139</f>
        <v>7.673861546209081e-14</v>
      </c>
      <c r="U141" s="63">
        <f>U138+U139</f>
        <v>7.673861546209081e-14</v>
      </c>
      <c r="V141" s="63">
        <f>V138+V139</f>
        <v>7.673861546209081e-14</v>
      </c>
      <c r="W141" s="63">
        <f>W138+W139</f>
        <v>7.673861546209081e-14</v>
      </c>
      <c r="X141" s="63">
        <f>X138+X139</f>
        <v>7.673861546209081e-14</v>
      </c>
      <c r="Y141" s="63">
        <f>Y138+Y139</f>
        <v>7.673861546209081e-14</v>
      </c>
      <c r="Z141" s="63">
        <f>Z138+Z139</f>
        <v>7.673861546209081e-14</v>
      </c>
      <c r="AA141" s="63">
        <f>AA138+AA139</f>
        <v>7.673861546209081e-14</v>
      </c>
      <c r="AB141" s="63">
        <f>AB138+AB139</f>
        <v>7.673861546209081e-14</v>
      </c>
      <c r="AC141" s="63">
        <f>AC138+AC139</f>
        <v>7.673861546209081e-14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5285.015561746547</v>
      </c>
      <c r="F144" s="37">
        <f>E147</f>
        <v>3171.009337047928</v>
      </c>
      <c r="G144" s="37">
        <f>F147</f>
        <v>1919.3270338908915</v>
      </c>
      <c r="H144" s="37">
        <f>G147</f>
        <v>1168.3176519966696</v>
      </c>
      <c r="I144" s="37">
        <f>H147</f>
        <v>717.7120228601366</v>
      </c>
      <c r="J144" s="37">
        <f>I147</f>
        <v>447.3486453782168</v>
      </c>
      <c r="K144" s="37">
        <f>J147</f>
        <v>285.130618889065</v>
      </c>
      <c r="L144" s="37">
        <f>K147</f>
        <v>187.79980299557388</v>
      </c>
      <c r="M144" s="37">
        <f>L147</f>
        <v>129.40131345947918</v>
      </c>
      <c r="N144" s="37">
        <f>M147</f>
        <v>94.36221973782239</v>
      </c>
      <c r="O144" s="37">
        <f>N147</f>
        <v>73.33876350482831</v>
      </c>
      <c r="P144" s="37">
        <f>O147</f>
        <v>60.72468976503186</v>
      </c>
      <c r="Q144" s="37">
        <f>P147</f>
        <v>53.15624552115399</v>
      </c>
      <c r="R144" s="37">
        <f>Q147</f>
        <v>48.61517897482727</v>
      </c>
      <c r="S144" s="37">
        <f>R147</f>
        <v>45.89053904703124</v>
      </c>
      <c r="T144" s="37">
        <f>S147</f>
        <v>44.25575509035362</v>
      </c>
      <c r="U144" s="37">
        <f>T147</f>
        <v>43.274884716347046</v>
      </c>
      <c r="V144" s="37">
        <f>U147</f>
        <v>42.6863624919431</v>
      </c>
      <c r="W144" s="37">
        <f>V147</f>
        <v>42.33324915730074</v>
      </c>
      <c r="X144" s="37">
        <f>W147</f>
        <v>42.121381156515326</v>
      </c>
      <c r="Y144" s="37">
        <f>X147</f>
        <v>41.99426035604407</v>
      </c>
      <c r="Z144" s="37">
        <f>Y147</f>
        <v>41.91798787576131</v>
      </c>
      <c r="AA144" s="37">
        <f>Z147</f>
        <v>41.872224387591665</v>
      </c>
      <c r="AB144" s="37">
        <f>AA147</f>
        <v>41.844766294689876</v>
      </c>
      <c r="AC144" s="37">
        <f>AB147</f>
        <v>41.8282914389488</v>
      </c>
    </row>
    <row r="145" spans="1:29" x14ac:dyDescent="0.25">
      <c r="A145" s="33" t="s">
        <v>211</v>
      </c>
      <c r="B145" s="26" t="s">
        <v>86</v>
      </c>
      <c r="C145" s="57">
        <f>SUM(E145:AC145)</f>
        <v>668.8572664853953</v>
      </c>
      <c r="E145" s="37">
        <f>E128</f>
        <v>0</v>
      </c>
      <c r="F145" s="37">
        <f>F128</f>
        <v>27.869052770224794</v>
      </c>
      <c r="G145" s="37">
        <f>G128</f>
        <v>27.869052770224794</v>
      </c>
      <c r="H145" s="37">
        <f>H128</f>
        <v>27.869052770224794</v>
      </c>
      <c r="I145" s="37">
        <f>I128</f>
        <v>27.869052770224794</v>
      </c>
      <c r="J145" s="37">
        <f>J128</f>
        <v>27.869052770224794</v>
      </c>
      <c r="K145" s="37">
        <f>K128</f>
        <v>27.869052770224794</v>
      </c>
      <c r="L145" s="37">
        <f>L128</f>
        <v>27.869052770224794</v>
      </c>
      <c r="M145" s="37">
        <f>M128</f>
        <v>27.869052770224794</v>
      </c>
      <c r="N145" s="37">
        <f>N128</f>
        <v>27.869052770224794</v>
      </c>
      <c r="O145" s="37">
        <f>O128</f>
        <v>27.869052770224794</v>
      </c>
      <c r="P145" s="37">
        <f>P128</f>
        <v>27.869052770224794</v>
      </c>
      <c r="Q145" s="37">
        <f>Q128</f>
        <v>27.869052770224794</v>
      </c>
      <c r="R145" s="37">
        <f>R128</f>
        <v>27.869052770224794</v>
      </c>
      <c r="S145" s="37">
        <f>S128</f>
        <v>27.869052770224794</v>
      </c>
      <c r="T145" s="37">
        <f>T128</f>
        <v>27.869052770224794</v>
      </c>
      <c r="U145" s="37">
        <f>U128</f>
        <v>27.869052770224794</v>
      </c>
      <c r="V145" s="37">
        <f>V128</f>
        <v>27.869052770224794</v>
      </c>
      <c r="W145" s="37">
        <f>W128</f>
        <v>27.869052770224794</v>
      </c>
      <c r="X145" s="37">
        <f>X128</f>
        <v>27.869052770224794</v>
      </c>
      <c r="Y145" s="37">
        <f>Y128</f>
        <v>27.869052770224794</v>
      </c>
      <c r="Z145" s="37">
        <f>Z128</f>
        <v>27.869052770224794</v>
      </c>
      <c r="AA145" s="37">
        <f>AA128</f>
        <v>27.869052770224794</v>
      </c>
      <c r="AB145" s="37">
        <f>AB128</f>
        <v>27.869052770224794</v>
      </c>
      <c r="AC145" s="37">
        <f>AC128</f>
        <v>27.869052770224794</v>
      </c>
    </row>
    <row r="146" spans="1:29" x14ac:dyDescent="0.25">
      <c r="A146" s="61" t="s">
        <v>163</v>
      </c>
      <c r="B146" s="62" t="s">
        <v>86</v>
      </c>
      <c r="C146" s="63">
        <f>SUM(E146:AC146)</f>
        <v>5912.054421706436</v>
      </c>
      <c r="D146" s="64"/>
      <c r="E146" s="63">
        <f>IF($C$70="wdv",(E144+E145)*$C$71,E134)</f>
        <v>2114.006224698619</v>
      </c>
      <c r="F146" s="63">
        <f>IF($C$70="wdv",(F144+F145)*$C$71,F134)</f>
        <v>1279.5513559272613</v>
      </c>
      <c r="G146" s="63">
        <f>IF($C$70="wdv",(G144+G145)*$C$71,G134)</f>
        <v>778.8784346644466</v>
      </c>
      <c r="H146" s="63">
        <f>IF($C$70="wdv",(H144+H145)*$C$71,H134)</f>
        <v>478.4746819067577</v>
      </c>
      <c r="I146" s="63">
        <f>IF($C$70="wdv",(I144+I145)*$C$71,I134)</f>
        <v>298.2324302521446</v>
      </c>
      <c r="J146" s="63">
        <f>IF($C$70="wdv",(J144+J145)*$C$71,J134)</f>
        <v>190.08707925937665</v>
      </c>
      <c r="K146" s="63">
        <f>IF($C$70="wdv",(K144+K145)*$C$71,K134)</f>
        <v>125.19986866371592</v>
      </c>
      <c r="L146" s="63">
        <f>IF($C$70="wdv",(L144+L145)*$C$71,L134)</f>
        <v>86.26754230631947</v>
      </c>
      <c r="M146" s="63">
        <f>IF($C$70="wdv",(M144+M145)*$C$71,M134)</f>
        <v>62.90814649188159</v>
      </c>
      <c r="N146" s="63">
        <f>IF($C$70="wdv",(N144+N145)*$C$71,N134)</f>
        <v>48.892509003218876</v>
      </c>
      <c r="O146" s="63">
        <f>IF($C$70="wdv",(O144+O145)*$C$71,O134)</f>
        <v>40.48312651002124</v>
      </c>
      <c r="P146" s="63">
        <f>IF($C$70="wdv",(P144+P145)*$C$71,P134)</f>
        <v>35.43749701410266</v>
      </c>
      <c r="Q146" s="63">
        <f>IF($C$70="wdv",(Q144+Q145)*$C$71,Q134)</f>
        <v>32.410119316551516</v>
      </c>
      <c r="R146" s="63">
        <f>IF($C$70="wdv",(R144+R145)*$C$71,R134)</f>
        <v>30.59369269802083</v>
      </c>
      <c r="S146" s="63">
        <f>IF($C$70="wdv",(S144+S145)*$C$71,S134)</f>
        <v>29.503836726902417</v>
      </c>
      <c r="T146" s="63">
        <f>IF($C$70="wdv",(T144+T145)*$C$71,T134)</f>
        <v>28.84992314423137</v>
      </c>
      <c r="U146" s="63">
        <f>IF($C$70="wdv",(U144+U145)*$C$71,U134)</f>
        <v>28.45757499462874</v>
      </c>
      <c r="V146" s="63">
        <f>IF($C$70="wdv",(V144+V145)*$C$71,V134)</f>
        <v>28.22216610486716</v>
      </c>
      <c r="W146" s="63">
        <f>IF($C$70="wdv",(W144+W145)*$C$71,W134)</f>
        <v>28.080920771010216</v>
      </c>
      <c r="X146" s="63">
        <f>IF($C$70="wdv",(X144+X145)*$C$71,X134)</f>
        <v>27.99617357069605</v>
      </c>
      <c r="Y146" s="63">
        <f>IF($C$70="wdv",(Y144+Y145)*$C$71,Y134)</f>
        <v>27.945325250507548</v>
      </c>
      <c r="Z146" s="63">
        <f>IF($C$70="wdv",(Z144+Z145)*$C$71,Z134)</f>
        <v>27.914816258394445</v>
      </c>
      <c r="AA146" s="63">
        <f>IF($C$70="wdv",(AA144+AA145)*$C$71,AA134)</f>
        <v>27.896510863126583</v>
      </c>
      <c r="AB146" s="63">
        <f>IF($C$70="wdv",(AB144+AB145)*$C$71,AB134)</f>
        <v>27.88552762596587</v>
      </c>
      <c r="AC146" s="63">
        <f>IF($C$70="wdv",(AC144+AC145)*$C$71,AC134)</f>
        <v>27.878937683669438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3171.009337047928</v>
      </c>
      <c r="F147" s="37">
        <f>F144+F145-IF($C$70="wdv",F146,0)</f>
        <v>1919.3270338908915</v>
      </c>
      <c r="G147" s="37">
        <f>G144+G145-IF($C$70="wdv",G146,0)</f>
        <v>1168.3176519966696</v>
      </c>
      <c r="H147" s="37">
        <f>H144+H145-IF($C$70="wdv",H146,0)</f>
        <v>717.7120228601366</v>
      </c>
      <c r="I147" s="37">
        <f>I144+I145-IF($C$70="wdv",I146,0)</f>
        <v>447.3486453782168</v>
      </c>
      <c r="J147" s="37">
        <f>J144+J145-IF($C$70="wdv",J146,0)</f>
        <v>285.130618889065</v>
      </c>
      <c r="K147" s="37">
        <f>K144+K145-IF($C$70="wdv",K146,0)</f>
        <v>187.79980299557388</v>
      </c>
      <c r="L147" s="37">
        <f>L144+L145-IF($C$70="wdv",L146,0)</f>
        <v>129.40131345947918</v>
      </c>
      <c r="M147" s="37">
        <f>M144+M145-IF($C$70="wdv",M146,0)</f>
        <v>94.36221973782239</v>
      </c>
      <c r="N147" s="37">
        <f>N144+N145-IF($C$70="wdv",N146,0)</f>
        <v>73.33876350482831</v>
      </c>
      <c r="O147" s="37">
        <f>O144+O145-IF($C$70="wdv",O146,0)</f>
        <v>60.72468976503186</v>
      </c>
      <c r="P147" s="37">
        <f>P144+P145-IF($C$70="wdv",P146,0)</f>
        <v>53.15624552115399</v>
      </c>
      <c r="Q147" s="37">
        <f>Q144+Q145-IF($C$70="wdv",Q146,0)</f>
        <v>48.61517897482727</v>
      </c>
      <c r="R147" s="37">
        <f>R144+R145-IF($C$70="wdv",R146,0)</f>
        <v>45.89053904703124</v>
      </c>
      <c r="S147" s="37">
        <f>S144+S145-IF($C$70="wdv",S146,0)</f>
        <v>44.25575509035362</v>
      </c>
      <c r="T147" s="37">
        <f>T144+T145-IF($C$70="wdv",T146,0)</f>
        <v>43.274884716347046</v>
      </c>
      <c r="U147" s="37">
        <f>U144+U145-IF($C$70="wdv",U146,0)</f>
        <v>42.6863624919431</v>
      </c>
      <c r="V147" s="37">
        <f>V144+V145-IF($C$70="wdv",V146,0)</f>
        <v>42.33324915730074</v>
      </c>
      <c r="W147" s="37">
        <f>W144+W145-IF($C$70="wdv",W146,0)</f>
        <v>42.121381156515326</v>
      </c>
      <c r="X147" s="37">
        <f>X144+X145-IF($C$70="wdv",X146,0)</f>
        <v>41.99426035604407</v>
      </c>
      <c r="Y147" s="37">
        <f>Y144+Y145-IF($C$70="wdv",Y146,0)</f>
        <v>41.91798787576131</v>
      </c>
      <c r="Z147" s="37">
        <f>Z144+Z145-IF($C$70="wdv",Z146,0)</f>
        <v>41.872224387591665</v>
      </c>
      <c r="AA147" s="37">
        <f>AA144+AA145-IF($C$70="wdv",AA146,0)</f>
        <v>41.844766294689876</v>
      </c>
      <c r="AB147" s="37">
        <f>AB144+AB145-IF($C$70="wdv",AB146,0)</f>
        <v>41.8282914389488</v>
      </c>
      <c r="AC147" s="37">
        <f>AC144+AC145-IF($C$70="wdv",AC146,0)</f>
        <v>41.81840652550416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17101.300385106126</v>
      </c>
      <c r="E150" s="37">
        <f>E124</f>
        <v>753.9791725324836</v>
      </c>
      <c r="F150" s="37">
        <f>F124</f>
        <v>749.6452397735396</v>
      </c>
      <c r="G150" s="37">
        <f>G124</f>
        <v>745.1663628670328</v>
      </c>
      <c r="H150" s="37">
        <f>H124</f>
        <v>740.5352946055852</v>
      </c>
      <c r="I150" s="37">
        <f>I124</f>
        <v>735.7444254214494</v>
      </c>
      <c r="J150" s="37">
        <f>J124</f>
        <v>730.7857652684913</v>
      </c>
      <c r="K150" s="37">
        <f>K124</f>
        <v>725.6509245982695</v>
      </c>
      <c r="L150" s="37">
        <f>L124</f>
        <v>720.331094384921</v>
      </c>
      <c r="M150" s="37">
        <f>M124</f>
        <v>714.8170251512897</v>
      </c>
      <c r="N150" s="37">
        <f>N124</f>
        <v>709.099004946361</v>
      </c>
      <c r="O150" s="37">
        <f>O124</f>
        <v>703.1668362215703</v>
      </c>
      <c r="P150" s="37">
        <f>P124</f>
        <v>697.0098115509243</v>
      </c>
      <c r="Q150" s="37">
        <f>Q124</f>
        <v>690.6166881371305</v>
      </c>
      <c r="R150" s="37">
        <f>R124</f>
        <v>683.9756610430312</v>
      </c>
      <c r="S150" s="37">
        <f>S124</f>
        <v>677.0743350846116</v>
      </c>
      <c r="T150" s="37">
        <f>T124</f>
        <v>669.8996953186552</v>
      </c>
      <c r="U150" s="37">
        <f>U124</f>
        <v>662.4380760547855</v>
      </c>
      <c r="V150" s="37">
        <f>V124</f>
        <v>654.6751283181062</v>
      </c>
      <c r="W150" s="37">
        <f>W124</f>
        <v>646.5957856849778</v>
      </c>
      <c r="X150" s="37">
        <f>X124</f>
        <v>638.1842284105772</v>
      </c>
      <c r="Y150" s="37">
        <f>Y124</f>
        <v>629.4238457628412</v>
      </c>
      <c r="Z150" s="37">
        <f>Z124</f>
        <v>620.2971964731025</v>
      </c>
      <c r="AA150" s="37">
        <f>AA124</f>
        <v>610.7859672092611</v>
      </c>
      <c r="AB150" s="37">
        <f>AB124</f>
        <v>600.8709289726123</v>
      </c>
      <c r="AC150" s="37">
        <f>AC124</f>
        <v>590.5318913145152</v>
      </c>
    </row>
    <row r="151" spans="1:29" x14ac:dyDescent="0.25">
      <c r="A151" s="33" t="s">
        <v>214</v>
      </c>
      <c r="B151" s="26" t="s">
        <v>86</v>
      </c>
      <c r="C151" s="57">
        <f>SUM(E151:AC151)</f>
        <v>5425.371272057288</v>
      </c>
      <c r="E151" s="37">
        <f>E134</f>
        <v>190.26056022287568</v>
      </c>
      <c r="F151" s="37">
        <f>F134</f>
        <v>191.42177075496838</v>
      </c>
      <c r="G151" s="37">
        <f>G134</f>
        <v>192.6334687014999</v>
      </c>
      <c r="H151" s="37">
        <f>H134</f>
        <v>193.90024382741922</v>
      </c>
      <c r="I151" s="37">
        <f>I134</f>
        <v>195.2273415783823</v>
      </c>
      <c r="J151" s="37">
        <f>J134</f>
        <v>196.62079421689353</v>
      </c>
      <c r="K151" s="37">
        <f>K134</f>
        <v>198.087586467958</v>
      </c>
      <c r="L151" s="37">
        <f>L134</f>
        <v>199.63586717741492</v>
      </c>
      <c r="M151" s="37">
        <f>M134</f>
        <v>201.27522322272227</v>
      </c>
      <c r="N151" s="37">
        <f>N134</f>
        <v>203.01703902086132</v>
      </c>
      <c r="O151" s="37">
        <f>O134</f>
        <v>204.87497587220963</v>
      </c>
      <c r="P151" s="37">
        <f>P134</f>
        <v>206.86562249865426</v>
      </c>
      <c r="Q151" s="37">
        <f>Q134</f>
        <v>209.00939578867155</v>
      </c>
      <c r="R151" s="37">
        <f>R134</f>
        <v>211.33181685285695</v>
      </c>
      <c r="S151" s="37">
        <f>S134</f>
        <v>213.86536710469557</v>
      </c>
      <c r="T151" s="37">
        <f>T134</f>
        <v>216.65227238171806</v>
      </c>
      <c r="U151" s="37">
        <f>U134</f>
        <v>219.74883380063193</v>
      </c>
      <c r="V151" s="37">
        <f>V134</f>
        <v>223.23246539691002</v>
      </c>
      <c r="W151" s="37">
        <f>W134</f>
        <v>227.21375864979927</v>
      </c>
      <c r="X151" s="37">
        <f>X134</f>
        <v>231.85860077817006</v>
      </c>
      <c r="Y151" s="37">
        <f>Y134</f>
        <v>237.43241133221503</v>
      </c>
      <c r="Z151" s="37">
        <f>Z134</f>
        <v>244.39967452477123</v>
      </c>
      <c r="AA151" s="37">
        <f>AA134</f>
        <v>253.68935878151282</v>
      </c>
      <c r="AB151" s="37">
        <f>AB134</f>
        <v>267.6238851666252</v>
      </c>
      <c r="AC151" s="37">
        <f>AC134</f>
        <v>295.49293793685</v>
      </c>
    </row>
    <row r="152" spans="1:29" x14ac:dyDescent="0.25">
      <c r="A152" s="33" t="s">
        <v>215</v>
      </c>
      <c r="B152" s="26" t="s">
        <v>86</v>
      </c>
      <c r="C152" s="57">
        <f>SUM(E152:AC152)</f>
        <v>2663.6478431202604</v>
      </c>
      <c r="E152" s="37">
        <f>E138</f>
        <v>332.95598039003244</v>
      </c>
      <c r="F152" s="37">
        <f>F138</f>
        <v>310.7589150306969</v>
      </c>
      <c r="G152" s="37">
        <f>G138</f>
        <v>288.5618496713615</v>
      </c>
      <c r="H152" s="37">
        <f>H138</f>
        <v>266.36478431202596</v>
      </c>
      <c r="I152" s="37">
        <f>I138</f>
        <v>244.1677189526905</v>
      </c>
      <c r="J152" s="37">
        <f>J138</f>
        <v>221.97065359335502</v>
      </c>
      <c r="K152" s="37">
        <f>K138</f>
        <v>199.77358823401954</v>
      </c>
      <c r="L152" s="37">
        <f>L138</f>
        <v>177.57652287468406</v>
      </c>
      <c r="M152" s="37">
        <f>M138</f>
        <v>155.37945751534855</v>
      </c>
      <c r="N152" s="37">
        <f>N138</f>
        <v>133.18239215601307</v>
      </c>
      <c r="O152" s="37">
        <f>O138</f>
        <v>110.98532679667755</v>
      </c>
      <c r="P152" s="37">
        <f>P138</f>
        <v>88.78826143734206</v>
      </c>
      <c r="Q152" s="37">
        <f>Q138</f>
        <v>66.59119607800656</v>
      </c>
      <c r="R152" s="37">
        <f>R138</f>
        <v>44.394130718671065</v>
      </c>
      <c r="S152" s="37">
        <f>S138</f>
        <v>22.19706535933557</v>
      </c>
      <c r="T152" s="37">
        <f>T138</f>
        <v>7.673861546209081e-14</v>
      </c>
      <c r="U152" s="37">
        <f>U138</f>
        <v>7.673861546209081e-14</v>
      </c>
      <c r="V152" s="37">
        <f>V138</f>
        <v>7.673861546209081e-14</v>
      </c>
      <c r="W152" s="37">
        <f>W138</f>
        <v>7.673861546209081e-14</v>
      </c>
      <c r="X152" s="37">
        <f>X138</f>
        <v>7.673861546209081e-14</v>
      </c>
      <c r="Y152" s="37">
        <f>Y138</f>
        <v>7.673861546209081e-14</v>
      </c>
      <c r="Z152" s="37">
        <f>Z138</f>
        <v>7.673861546209081e-14</v>
      </c>
      <c r="AA152" s="37">
        <f>AA138</f>
        <v>7.673861546209081e-14</v>
      </c>
      <c r="AB152" s="37">
        <f>AB138</f>
        <v>7.673861546209081e-14</v>
      </c>
      <c r="AC152" s="37">
        <f>AC138</f>
        <v>7.673861546209081e-14</v>
      </c>
    </row>
    <row r="153" spans="1:29" x14ac:dyDescent="0.25">
      <c r="A153" s="61" t="s">
        <v>216</v>
      </c>
      <c r="B153" s="62" t="s">
        <v>86</v>
      </c>
      <c r="C153" s="63">
        <f>SUM(E153:AC153)</f>
        <v>9012.281269928577</v>
      </c>
      <c r="D153" s="64"/>
      <c r="E153" s="63">
        <f>E150-E151-E152</f>
        <v>230.76263191957548</v>
      </c>
      <c r="F153" s="63">
        <f>F150-F151-F152</f>
        <v>247.4645539878743</v>
      </c>
      <c r="G153" s="63">
        <f>G150-G151-G152</f>
        <v>263.9710444941715</v>
      </c>
      <c r="H153" s="63">
        <f>H150-H151-H152</f>
        <v>280.2702664661401</v>
      </c>
      <c r="I153" s="63">
        <f>I150-I151-I152</f>
        <v>296.3493648903766</v>
      </c>
      <c r="J153" s="63">
        <f>J150-J151-J152</f>
        <v>312.19431745824284</v>
      </c>
      <c r="K153" s="63">
        <f>K150-K151-K152</f>
        <v>327.789749896292</v>
      </c>
      <c r="L153" s="63">
        <f>L150-L151-L152</f>
        <v>343.11870433282206</v>
      </c>
      <c r="M153" s="63">
        <f>M150-M151-M152</f>
        <v>358.1623444132189</v>
      </c>
      <c r="N153" s="63">
        <f>N150-N151-N152</f>
        <v>372.8995737694866</v>
      </c>
      <c r="O153" s="63">
        <f>O150-O151-O152</f>
        <v>387.3065335526831</v>
      </c>
      <c r="P153" s="63">
        <f>P150-P151-P152</f>
        <v>401.35592761492796</v>
      </c>
      <c r="Q153" s="63">
        <f>Q150-Q151-Q152</f>
        <v>415.0160962704524</v>
      </c>
      <c r="R153" s="63">
        <f>R150-R151-R152</f>
        <v>428.2497134715032</v>
      </c>
      <c r="S153" s="63">
        <f>S150-S151-S152</f>
        <v>441.01190262058043</v>
      </c>
      <c r="T153" s="63">
        <f>T150-T151-T152</f>
        <v>453.2474229369371</v>
      </c>
      <c r="U153" s="63">
        <f>U150-U151-U152</f>
        <v>442.6892422541535</v>
      </c>
      <c r="V153" s="63">
        <f>V150-V151-V152</f>
        <v>431.44266292119613</v>
      </c>
      <c r="W153" s="63">
        <f>W150-W151-W152</f>
        <v>419.3820270351785</v>
      </c>
      <c r="X153" s="63">
        <f>X150-X151-X152</f>
        <v>406.32562763240713</v>
      </c>
      <c r="Y153" s="63">
        <f>Y150-Y151-Y152</f>
        <v>391.99143443062616</v>
      </c>
      <c r="Z153" s="63">
        <f>Z150-Z151-Z152</f>
        <v>375.89752194833125</v>
      </c>
      <c r="AA153" s="63">
        <f>AA150-AA151-AA152</f>
        <v>357.0966084277482</v>
      </c>
      <c r="AB153" s="63">
        <f>AB150-AB151-AB152</f>
        <v>333.24704380598706</v>
      </c>
      <c r="AC153" s="63">
        <f>AC150-AC151-AC152</f>
        <v>295.0389533776651</v>
      </c>
    </row>
    <row r="154" spans="1:29" x14ac:dyDescent="0.25">
      <c r="A154" s="33" t="s">
        <v>217</v>
      </c>
      <c r="B154" s="26" t="s">
        <v>86</v>
      </c>
      <c r="E154" s="37">
        <f>E124-E138-E146</f>
        <v>-1692.983032556168</v>
      </c>
      <c r="F154" s="37">
        <f>F124-F138-F146</f>
        <v>-840.6650311844186</v>
      </c>
      <c r="G154" s="37">
        <f>G124-G138-G146</f>
        <v>-322.2739214687752</v>
      </c>
      <c r="H154" s="37">
        <f>H124-H138-H146</f>
        <v>-4.304171613198434</v>
      </c>
      <c r="I154" s="37">
        <f>I124-I138-I146</f>
        <v>193.34427621661428</v>
      </c>
      <c r="J154" s="37">
        <f>J124-J138-J146</f>
        <v>318.7280324157597</v>
      </c>
      <c r="K154" s="37">
        <f>K124-K138-K146</f>
        <v>400.677467700534</v>
      </c>
      <c r="L154" s="37">
        <f>L124-L138-L146</f>
        <v>456.4870292039175</v>
      </c>
      <c r="M154" s="37">
        <f>M124-M138-M146</f>
        <v>496.52942114405954</v>
      </c>
      <c r="N154" s="37">
        <f>N124-N138-N146</f>
        <v>527.0241037871291</v>
      </c>
      <c r="O154" s="37">
        <f>O124-O138-O146</f>
        <v>551.6983829148714</v>
      </c>
      <c r="P154" s="37">
        <f>P124-P138-P146</f>
        <v>572.7840530994796</v>
      </c>
      <c r="Q154" s="37">
        <f>Q124-Q138-Q146</f>
        <v>591.6153727425724</v>
      </c>
      <c r="R154" s="37">
        <f>R124-R138-R146</f>
        <v>608.9878376263393</v>
      </c>
      <c r="S154" s="37">
        <f>S124-S138-S146</f>
        <v>625.3734329983736</v>
      </c>
      <c r="T154" s="37">
        <f>T124-T138-T146</f>
        <v>641.0497721744237</v>
      </c>
      <c r="U154" s="37">
        <f>U124-U138-U146</f>
        <v>633.9805010601566</v>
      </c>
      <c r="V154" s="37">
        <f>V124-V138-V146</f>
        <v>626.452962213239</v>
      </c>
      <c r="W154" s="37">
        <f>W124-W138-W146</f>
        <v>618.5148649139675</v>
      </c>
      <c r="X154" s="37">
        <f>X124-X138-X146</f>
        <v>610.188054839881</v>
      </c>
      <c r="Y154" s="37">
        <f>Y124-Y138-Y146</f>
        <v>601.4785205123336</v>
      </c>
      <c r="Z154" s="37">
        <f>Z124-Z138-Z146</f>
        <v>592.382380214708</v>
      </c>
      <c r="AA154" s="37">
        <f>AA124-AA138-AA146</f>
        <v>582.8894563461345</v>
      </c>
      <c r="AB154" s="37">
        <f>AB124-AB138-AB146</f>
        <v>572.9854013466463</v>
      </c>
      <c r="AC154" s="37">
        <f>AC124-AC138-AC146</f>
        <v>562.6529536308457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1692.983032556168</v>
      </c>
      <c r="G155" s="37">
        <f>F158</f>
        <v>2533.6480637405866</v>
      </c>
      <c r="H155" s="37">
        <f>G158</f>
        <v>2855.921985209362</v>
      </c>
      <c r="I155" s="37">
        <f>H158</f>
        <v>2860.2261568225604</v>
      </c>
      <c r="J155" s="37">
        <f>I158</f>
        <v>2666.881880605946</v>
      </c>
      <c r="K155" s="37">
        <f>J158</f>
        <v>2348.1538481901866</v>
      </c>
      <c r="L155" s="37">
        <f>K158</f>
        <v>1947.4763804896527</v>
      </c>
      <c r="M155" s="37">
        <f>L158</f>
        <v>1490.9893512857352</v>
      </c>
      <c r="N155" s="37">
        <f>M158</f>
        <v>994.4599301416756</v>
      </c>
      <c r="O155" s="37">
        <f>N158</f>
        <v>467.4358263545465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2860.2261568225604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193.34427621661428</v>
      </c>
      <c r="J156" s="37">
        <f>IF(J154&gt;0,MIN(J155,J154),0)</f>
        <v>318.7280324157597</v>
      </c>
      <c r="K156" s="37">
        <f>IF(K154&gt;0,MIN(K155,K154),0)</f>
        <v>400.677467700534</v>
      </c>
      <c r="L156" s="37">
        <f>IF(L154&gt;0,MIN(L155,L154),0)</f>
        <v>456.4870292039175</v>
      </c>
      <c r="M156" s="37">
        <f>IF(M154&gt;0,MIN(M155,M154),0)</f>
        <v>496.52942114405954</v>
      </c>
      <c r="N156" s="37">
        <f>IF(N154&gt;0,MIN(N155,N154),0)</f>
        <v>527.0241037871291</v>
      </c>
      <c r="O156" s="37">
        <f>IF(O154&gt;0,MIN(O155,O154),0)</f>
        <v>467.4358263545465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8525.598120279426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84.26255656032492</v>
      </c>
      <c r="P157" s="37">
        <f>MAX(0,P154-P156)</f>
        <v>572.7840530994796</v>
      </c>
      <c r="Q157" s="37">
        <f>MAX(0,Q154-Q156)</f>
        <v>591.6153727425724</v>
      </c>
      <c r="R157" s="37">
        <f>MAX(0,R154-R156)</f>
        <v>608.9878376263393</v>
      </c>
      <c r="S157" s="37">
        <f>MAX(0,S154-S156)</f>
        <v>625.3734329983736</v>
      </c>
      <c r="T157" s="37">
        <f>MAX(0,T154-T156)</f>
        <v>641.0497721744237</v>
      </c>
      <c r="U157" s="37">
        <f>MAX(0,U154-U156)</f>
        <v>633.9805010601566</v>
      </c>
      <c r="V157" s="37">
        <f>MAX(0,V154-V156)</f>
        <v>626.452962213239</v>
      </c>
      <c r="W157" s="37">
        <f>MAX(0,W154-W156)</f>
        <v>618.5148649139675</v>
      </c>
      <c r="X157" s="37">
        <f>MAX(0,X154-X156)</f>
        <v>610.188054839881</v>
      </c>
      <c r="Y157" s="37">
        <f>MAX(0,Y154-Y156)</f>
        <v>601.4785205123336</v>
      </c>
      <c r="Z157" s="37">
        <f>MAX(0,Z154-Z156)</f>
        <v>592.382380214708</v>
      </c>
      <c r="AA157" s="37">
        <f>MAX(0,AA154-AA156)</f>
        <v>582.8894563461345</v>
      </c>
      <c r="AB157" s="37">
        <f>MAX(0,AB154-AB156)</f>
        <v>572.9854013466463</v>
      </c>
      <c r="AC157" s="37">
        <f>MAX(0,AC154-AC156)</f>
        <v>562.6529536308457</v>
      </c>
    </row>
    <row r="158" spans="1:29" x14ac:dyDescent="0.25">
      <c r="A158" s="33" t="s">
        <v>221</v>
      </c>
      <c r="B158" s="26" t="s">
        <v>86</v>
      </c>
      <c r="E158" s="37">
        <f>E155-E156+MAX(0,-E154)</f>
        <v>1692.983032556168</v>
      </c>
      <c r="F158" s="37">
        <f>F155-F156+MAX(0,-F154)</f>
        <v>2533.6480637405866</v>
      </c>
      <c r="G158" s="37">
        <f>G155-G156+MAX(0,-G154)</f>
        <v>2855.921985209362</v>
      </c>
      <c r="H158" s="37">
        <f>H155-H156+MAX(0,-H154)</f>
        <v>2860.2261568225604</v>
      </c>
      <c r="I158" s="37">
        <f>I155-I156+MAX(0,-I154)</f>
        <v>2666.881880605946</v>
      </c>
      <c r="J158" s="37">
        <f>J155-J156+MAX(0,-J154)</f>
        <v>2348.1538481901866</v>
      </c>
      <c r="K158" s="37">
        <f>K155-K156+MAX(0,-K154)</f>
        <v>1947.4763804896527</v>
      </c>
      <c r="L158" s="37">
        <f>L155-L156+MAX(0,-L154)</f>
        <v>1490.9893512857352</v>
      </c>
      <c r="M158" s="37">
        <f>M155-M156+MAX(0,-M154)</f>
        <v>994.4599301416756</v>
      </c>
      <c r="N158" s="37">
        <f>N155-N156+MAX(0,-N154)</f>
        <v>467.4358263545465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2145.893046874331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21.208885486233783</v>
      </c>
      <c r="P159" s="37">
        <f>P157*$C$69</f>
        <v>144.169746165139</v>
      </c>
      <c r="Q159" s="37">
        <f>Q157*$C$69</f>
        <v>148.90958931930547</v>
      </c>
      <c r="R159" s="37">
        <f>R157*$C$69</f>
        <v>153.2822387305496</v>
      </c>
      <c r="S159" s="37">
        <f>S157*$C$69</f>
        <v>157.4064930856906</v>
      </c>
      <c r="T159" s="37">
        <f>T157*$C$69</f>
        <v>161.35222765630243</v>
      </c>
      <c r="U159" s="37">
        <f>U157*$C$69</f>
        <v>159.57289211684142</v>
      </c>
      <c r="V159" s="37">
        <f>V157*$C$69</f>
        <v>157.67821058907222</v>
      </c>
      <c r="W159" s="37">
        <f>W157*$C$69</f>
        <v>155.6801914988456</v>
      </c>
      <c r="X159" s="37">
        <f>X157*$C$69</f>
        <v>153.58433340319803</v>
      </c>
      <c r="Y159" s="37">
        <f>Y157*$C$69</f>
        <v>151.39214361295436</v>
      </c>
      <c r="Z159" s="37">
        <f>Z157*$C$69</f>
        <v>149.10264510004197</v>
      </c>
      <c r="AA159" s="37">
        <f>AA157*$C$69</f>
        <v>146.71327616232205</v>
      </c>
      <c r="AB159" s="37">
        <f>AB157*$C$69</f>
        <v>144.22042551895086</v>
      </c>
      <c r="AC159" s="37">
        <f>AC157*$C$69</f>
        <v>141.61974842888384</v>
      </c>
    </row>
    <row r="160" spans="1:29" x14ac:dyDescent="0.25">
      <c r="A160" s="61" t="s">
        <v>223</v>
      </c>
      <c r="B160" s="62" t="s">
        <v>86</v>
      </c>
      <c r="C160" s="63">
        <f>SUM(E160:AC160)</f>
        <v>6866.388223054248</v>
      </c>
      <c r="D160" s="64"/>
      <c r="E160" s="63">
        <f>E153-E159</f>
        <v>230.76263191957548</v>
      </c>
      <c r="F160" s="63">
        <f>F153-F159</f>
        <v>247.4645539878743</v>
      </c>
      <c r="G160" s="63">
        <f>G153-G159</f>
        <v>263.9710444941715</v>
      </c>
      <c r="H160" s="63">
        <f>H153-H159</f>
        <v>280.2702664661401</v>
      </c>
      <c r="I160" s="63">
        <f>I153-I159</f>
        <v>296.3493648903766</v>
      </c>
      <c r="J160" s="63">
        <f>J153-J159</f>
        <v>312.19431745824284</v>
      </c>
      <c r="K160" s="63">
        <f>K153-K159</f>
        <v>327.789749896292</v>
      </c>
      <c r="L160" s="63">
        <f>L153-L159</f>
        <v>343.11870433282206</v>
      </c>
      <c r="M160" s="63">
        <f>M153-M159</f>
        <v>358.1623444132189</v>
      </c>
      <c r="N160" s="63">
        <f>N153-N159</f>
        <v>372.8995737694866</v>
      </c>
      <c r="O160" s="63">
        <f>O153-O159</f>
        <v>366.0976480664493</v>
      </c>
      <c r="P160" s="63">
        <f>P153-P159</f>
        <v>257.18618144978893</v>
      </c>
      <c r="Q160" s="63">
        <f>Q153-Q159</f>
        <v>266.1065069511469</v>
      </c>
      <c r="R160" s="63">
        <f>R153-R159</f>
        <v>274.96747474095355</v>
      </c>
      <c r="S160" s="63">
        <f>S153-S159</f>
        <v>283.6054095348898</v>
      </c>
      <c r="T160" s="63">
        <f>T153-T159</f>
        <v>291.89519528063465</v>
      </c>
      <c r="U160" s="63">
        <f>U153-U159</f>
        <v>283.1163501373121</v>
      </c>
      <c r="V160" s="63">
        <f>V153-V159</f>
        <v>273.76445233212394</v>
      </c>
      <c r="W160" s="63">
        <f>W153-W159</f>
        <v>263.7018355363329</v>
      </c>
      <c r="X160" s="63">
        <f>X153-X159</f>
        <v>252.7412942292091</v>
      </c>
      <c r="Y160" s="63">
        <f>Y153-Y159</f>
        <v>240.5992908176718</v>
      </c>
      <c r="Z160" s="63">
        <f>Z153-Z159</f>
        <v>226.79487684828928</v>
      </c>
      <c r="AA160" s="63">
        <f>AA153-AA159</f>
        <v>210.38333226542616</v>
      </c>
      <c r="AB160" s="63">
        <f>AB153-AB159</f>
        <v>189.0266182870362</v>
      </c>
      <c r="AC160" s="63">
        <f>AC153-AC159</f>
        <v>153.41920494878127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101.96591622161269</v>
      </c>
      <c r="F163" s="37">
        <f>F115*$C$74/365</f>
        <v>101.78899227271972</v>
      </c>
      <c r="G163" s="37">
        <f>G115*$C$74/365</f>
        <v>101.61206832382675</v>
      </c>
      <c r="H163" s="37">
        <f>H115*$C$74/365</f>
        <v>101.4351443749338</v>
      </c>
      <c r="I163" s="37">
        <f>I115*$C$74/365</f>
        <v>101.25822042604081</v>
      </c>
      <c r="J163" s="37">
        <f>J115*$C$74/365</f>
        <v>101.08129647714786</v>
      </c>
      <c r="K163" s="37">
        <f>K115*$C$74/365</f>
        <v>100.90437252825488</v>
      </c>
      <c r="L163" s="37">
        <f>L115*$C$74/365</f>
        <v>100.72744857936189</v>
      </c>
      <c r="M163" s="37">
        <f>M115*$C$74/365</f>
        <v>100.55052463046896</v>
      </c>
      <c r="N163" s="37">
        <f>N115*$C$74/365</f>
        <v>100.373600681576</v>
      </c>
      <c r="O163" s="37">
        <f>O115*$C$74/365</f>
        <v>100.19667673268304</v>
      </c>
      <c r="P163" s="37">
        <f>P115*$C$74/365</f>
        <v>100.01975278379003</v>
      </c>
      <c r="Q163" s="37">
        <f>Q115*$C$74/365</f>
        <v>99.84282883489708</v>
      </c>
      <c r="R163" s="37">
        <f>R115*$C$74/365</f>
        <v>99.6659048860041</v>
      </c>
      <c r="S163" s="37">
        <f>S115*$C$74/365</f>
        <v>99.48898093711115</v>
      </c>
      <c r="T163" s="37">
        <f>T115*$C$74/365</f>
        <v>99.31205698821819</v>
      </c>
      <c r="U163" s="37">
        <f>U115*$C$74/365</f>
        <v>99.13513303932521</v>
      </c>
      <c r="V163" s="37">
        <f>V115*$C$74/365</f>
        <v>98.9582090904322</v>
      </c>
      <c r="W163" s="37">
        <f>W115*$C$74/365</f>
        <v>98.78128514153927</v>
      </c>
      <c r="X163" s="37">
        <f>X115*$C$74/365</f>
        <v>98.6043611926463</v>
      </c>
      <c r="Y163" s="37">
        <f>Y115*$C$74/365</f>
        <v>98.42743724375335</v>
      </c>
      <c r="Z163" s="37">
        <f>Z115*$C$74/365</f>
        <v>98.25051329486038</v>
      </c>
      <c r="AA163" s="37">
        <f>AA115*$C$74/365</f>
        <v>98.07358934596739</v>
      </c>
      <c r="AB163" s="37">
        <f>AB115*$C$74/365</f>
        <v>97.89666539707443</v>
      </c>
      <c r="AC163" s="37">
        <f>AC115*$C$74/365</f>
        <v>97.71974144818147</v>
      </c>
    </row>
    <row r="164" spans="1:29" x14ac:dyDescent="0.25">
      <c r="A164" s="33" t="s">
        <v>226</v>
      </c>
      <c r="B164" s="26" t="s">
        <v>86</v>
      </c>
      <c r="C164" s="57">
        <f>SUM(E164:AC164)</f>
        <v>97.71974144818147</v>
      </c>
      <c r="E164" s="37">
        <f>E163</f>
        <v>101.96591622161269</v>
      </c>
      <c r="F164" s="37">
        <f>F163-E163</f>
        <v>-0.1769239488929628</v>
      </c>
      <c r="G164" s="37">
        <f>G163-F163</f>
        <v>-0.17692394889297702</v>
      </c>
      <c r="H164" s="37">
        <f>H163-G163</f>
        <v>-0.1769239488929486</v>
      </c>
      <c r="I164" s="37">
        <f>I163-H163</f>
        <v>-0.17692394889299123</v>
      </c>
      <c r="J164" s="37">
        <f>J163-I163</f>
        <v>-0.1769239488929486</v>
      </c>
      <c r="K164" s="37">
        <f>K163-J163</f>
        <v>-0.17692394889297702</v>
      </c>
      <c r="L164" s="37">
        <f>L163-K163</f>
        <v>-0.17692394889299123</v>
      </c>
      <c r="M164" s="37">
        <f>M163-L163</f>
        <v>-0.1769239488929344</v>
      </c>
      <c r="N164" s="37">
        <f>N163-M163</f>
        <v>-0.1769239488929628</v>
      </c>
      <c r="O164" s="37">
        <f>O163-N163</f>
        <v>-0.1769239488929486</v>
      </c>
      <c r="P164" s="37">
        <f>P163-O163</f>
        <v>-0.17692394889301966</v>
      </c>
      <c r="Q164" s="37">
        <f>Q163-P163</f>
        <v>-0.1769239488929486</v>
      </c>
      <c r="R164" s="37">
        <f>R163-Q163</f>
        <v>-0.17692394889297702</v>
      </c>
      <c r="S164" s="37">
        <f>S163-R163</f>
        <v>-0.1769239488929486</v>
      </c>
      <c r="T164" s="37">
        <f>T163-S163</f>
        <v>-0.1769239488929628</v>
      </c>
      <c r="U164" s="37">
        <f>U163-T163</f>
        <v>-0.17692394889297702</v>
      </c>
      <c r="V164" s="37">
        <f>V163-U163</f>
        <v>-0.17692394889300544</v>
      </c>
      <c r="W164" s="37">
        <f>W163-V163</f>
        <v>-0.1769239488929344</v>
      </c>
      <c r="X164" s="37">
        <f>X163-W163</f>
        <v>-0.17692394889297702</v>
      </c>
      <c r="Y164" s="37">
        <f>Y163-X163</f>
        <v>-0.1769239488929486</v>
      </c>
      <c r="Z164" s="37">
        <f>Z163-Y163</f>
        <v>-0.1769239488929628</v>
      </c>
      <c r="AA164" s="37">
        <f>AA163-Z163</f>
        <v>-0.17692394889299123</v>
      </c>
      <c r="AB164" s="37">
        <f>AB163-AA163</f>
        <v>-0.1769239488929628</v>
      </c>
      <c r="AC164" s="37">
        <f>AC163-AB163</f>
        <v>-0.1769239488929628</v>
      </c>
    </row>
    <row r="165" spans="1:29" x14ac:dyDescent="0.25">
      <c r="A165" s="61" t="s">
        <v>227</v>
      </c>
      <c r="B165" s="62" t="s">
        <v>86</v>
      </c>
      <c r="C165" s="63">
        <f>SUM(E165:AC165)</f>
        <v>14188.830330298219</v>
      </c>
      <c r="D165" s="64"/>
      <c r="E165" s="63">
        <f>E124-E159-E164-E128</f>
        <v>652.0132563108709</v>
      </c>
      <c r="F165" s="63">
        <f>F124-F159-F164-F128</f>
        <v>721.9531109522078</v>
      </c>
      <c r="G165" s="63">
        <f>G124-G159-G164-G128</f>
        <v>717.474234045701</v>
      </c>
      <c r="H165" s="63">
        <f>H124-H159-H164-H128</f>
        <v>712.8431657842534</v>
      </c>
      <c r="I165" s="63">
        <f>I124-I159-I164-I128</f>
        <v>708.0522966001175</v>
      </c>
      <c r="J165" s="63">
        <f>J124-J159-J164-J128</f>
        <v>703.0936364471595</v>
      </c>
      <c r="K165" s="63">
        <f>K124-K159-K164-K128</f>
        <v>697.9587957769377</v>
      </c>
      <c r="L165" s="63">
        <f>L124-L159-L164-L128</f>
        <v>692.6389655635892</v>
      </c>
      <c r="M165" s="63">
        <f>M124-M159-M164-M128</f>
        <v>687.1248963299579</v>
      </c>
      <c r="N165" s="63">
        <f>N124-N159-N164-N128</f>
        <v>681.4068761250292</v>
      </c>
      <c r="O165" s="63">
        <f>O124-O159-O164-O128</f>
        <v>654.2658219140046</v>
      </c>
      <c r="P165" s="63">
        <f>P124-P159-P164-P128</f>
        <v>525.1479365644534</v>
      </c>
      <c r="Q165" s="63">
        <f>Q124-Q159-Q164-Q128</f>
        <v>514.0149699964932</v>
      </c>
      <c r="R165" s="63">
        <f>R124-R159-R164-R128</f>
        <v>503.0012934911498</v>
      </c>
      <c r="S165" s="63">
        <f>S124-S159-S164-S128</f>
        <v>491.9757131775891</v>
      </c>
      <c r="T165" s="63">
        <f>T124-T159-T164-T128</f>
        <v>480.8553388410209</v>
      </c>
      <c r="U165" s="63">
        <f>U124-U159-U164-U128</f>
        <v>475.1730551166122</v>
      </c>
      <c r="V165" s="63">
        <f>V124-V159-V164-V128</f>
        <v>469.3047889077021</v>
      </c>
      <c r="W165" s="63">
        <f>W124-W159-W164-W128</f>
        <v>463.22346536480035</v>
      </c>
      <c r="X165" s="63">
        <f>X124-X159-X164-X128</f>
        <v>456.9077661860474</v>
      </c>
      <c r="Y165" s="63">
        <f>Y124-Y159-Y164-Y128</f>
        <v>450.33957332855505</v>
      </c>
      <c r="Z165" s="63">
        <f>Z124-Z159-Z164-Z128</f>
        <v>443.5024225517287</v>
      </c>
      <c r="AA165" s="63">
        <f>AA124-AA159-AA164-AA128</f>
        <v>436.38056222560726</v>
      </c>
      <c r="AB165" s="63">
        <f>AB124-AB159-AB164-AB128</f>
        <v>428.95837463232965</v>
      </c>
      <c r="AC165" s="63">
        <f>AC124-AC159-AC164-AC128</f>
        <v>421.2200140642995</v>
      </c>
    </row>
    <row r="166" spans="1:29" x14ac:dyDescent="0.25">
      <c r="A166" s="33" t="s">
        <v>228</v>
      </c>
      <c r="B166" s="26" t="s">
        <v>86</v>
      </c>
      <c r="C166" s="57">
        <f>SUM(E166:AC166)</f>
        <v>6363.158736342843</v>
      </c>
      <c r="E166" s="37">
        <f>E141</f>
        <v>579.5900399382047</v>
      </c>
      <c r="F166" s="37">
        <f>F141</f>
        <v>557.3929745788691</v>
      </c>
      <c r="G166" s="37">
        <f>G141</f>
        <v>535.1959092195336</v>
      </c>
      <c r="H166" s="37">
        <f>H141</f>
        <v>512.9988438601981</v>
      </c>
      <c r="I166" s="37">
        <f>I141</f>
        <v>490.80177850086267</v>
      </c>
      <c r="J166" s="37">
        <f>J141</f>
        <v>468.6047131415272</v>
      </c>
      <c r="K166" s="37">
        <f>K141</f>
        <v>446.4076477821917</v>
      </c>
      <c r="L166" s="37">
        <f>L141</f>
        <v>424.2105824228562</v>
      </c>
      <c r="M166" s="37">
        <f>M141</f>
        <v>402.0135170635207</v>
      </c>
      <c r="N166" s="37">
        <f>N141</f>
        <v>379.8164517041852</v>
      </c>
      <c r="O166" s="37">
        <f>O141</f>
        <v>357.6193863448497</v>
      </c>
      <c r="P166" s="37">
        <f>P141</f>
        <v>335.4223209855142</v>
      </c>
      <c r="Q166" s="37">
        <f>Q141</f>
        <v>313.22525562617875</v>
      </c>
      <c r="R166" s="37">
        <f>R141</f>
        <v>291.02819026684324</v>
      </c>
      <c r="S166" s="37">
        <f>S141</f>
        <v>268.83112490750773</v>
      </c>
      <c r="T166" s="37">
        <f>T141</f>
        <v>7.673861546209081e-14</v>
      </c>
      <c r="U166" s="37">
        <f>U141</f>
        <v>7.673861546209081e-14</v>
      </c>
      <c r="V166" s="37">
        <f>V141</f>
        <v>7.673861546209081e-14</v>
      </c>
      <c r="W166" s="37">
        <f>W141</f>
        <v>7.673861546209081e-14</v>
      </c>
      <c r="X166" s="37">
        <f>X141</f>
        <v>7.673861546209081e-14</v>
      </c>
      <c r="Y166" s="37">
        <f>Y141</f>
        <v>7.673861546209081e-14</v>
      </c>
      <c r="Z166" s="37">
        <f>Z141</f>
        <v>7.673861546209081e-14</v>
      </c>
      <c r="AA166" s="37">
        <f>AA141</f>
        <v>7.673861546209081e-14</v>
      </c>
      <c r="AB166" s="37">
        <f>AB141</f>
        <v>7.673861546209081e-14</v>
      </c>
      <c r="AC166" s="37">
        <f>AC141</f>
        <v>7.673861546209081e-14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1.1249559367521016</v>
      </c>
      <c r="F167" s="40">
        <f>IF(F141&gt;1E-9,F165/F141,"")</f>
        <v>1.2952318092951742</v>
      </c>
      <c r="G167" s="40">
        <f>IF(G141&gt;1E-9,G165/G141,"")</f>
        <v>1.3405824328739369</v>
      </c>
      <c r="H167" s="40">
        <f>IF(H141&gt;1E-9,H165/H141,"")</f>
        <v>1.389560959670538</v>
      </c>
      <c r="I167" s="40">
        <f>IF(I141&gt;1E-9,I165/I141,"")</f>
        <v>1.4426441133991796</v>
      </c>
      <c r="J167" s="40">
        <f>IF(J141&gt;1E-9,J165/J141,"")</f>
        <v>1.5003981324336624</v>
      </c>
      <c r="K167" s="40">
        <f>IF(K141&gt;1E-9,K165/K141,"")</f>
        <v>1.5635009822176729</v>
      </c>
      <c r="L167" s="40">
        <f>IF(L141&gt;1E-9,L165/L141,"")</f>
        <v>1.632771539096499</v>
      </c>
      <c r="M167" s="40">
        <f>IF(M141&gt;1E-9,M165/M141,"")</f>
        <v>1.709208439927625</v>
      </c>
      <c r="N167" s="40">
        <f>IF(N141&gt;1E-9,N165/N141,"")</f>
        <v>1.7940425515210001</v>
      </c>
      <c r="O167" s="40">
        <f>IF(O141&gt;1E-9,O165/O141,"")</f>
        <v>1.8295032285612753</v>
      </c>
      <c r="P167" s="40">
        <f>IF(P141&gt;1E-9,P165/P141,"")</f>
        <v>1.5656320516222677</v>
      </c>
      <c r="Q167" s="40">
        <f>IF(Q141&gt;1E-9,Q165/Q141,"")</f>
        <v>1.6410393503196579</v>
      </c>
      <c r="R167" s="40">
        <f>IF(R141&gt;1E-9,R165/R141,"")</f>
        <v>1.728359349071816</v>
      </c>
      <c r="S167" s="40">
        <f>IF(S141&gt;1E-9,S165/S141,"")</f>
        <v>1.8300548842581195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626.2212976228362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626.2212976228362</v>
      </c>
    </row>
    <row r="169" spans="1:29" x14ac:dyDescent="0.25">
      <c r="A169" s="33" t="s">
        <v>231</v>
      </c>
      <c r="B169" s="26" t="s">
        <v>86</v>
      </c>
      <c r="C169" s="57">
        <f>SUM(E169:AC169)</f>
        <v>8.526512829121202e-13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8.526512829121202e-13</v>
      </c>
    </row>
    <row r="170" spans="1:29" x14ac:dyDescent="0.25">
      <c r="A170" s="61" t="s">
        <v>232</v>
      </c>
      <c r="B170" s="62" t="s">
        <v>86</v>
      </c>
      <c r="C170" s="63">
        <f>SUM(E170:AC170)</f>
        <v>8451.892891578209</v>
      </c>
      <c r="D170" s="63">
        <f>-$C$86</f>
        <v>-1585.5046685239645</v>
      </c>
      <c r="E170" s="63">
        <f>E165-E141+E168-E169</f>
        <v>72.42321637266627</v>
      </c>
      <c r="F170" s="63">
        <f>F165-F141+F168-F169</f>
        <v>164.56013637333865</v>
      </c>
      <c r="G170" s="63">
        <f>G165-G141+G168-G169</f>
        <v>182.27832482616736</v>
      </c>
      <c r="H170" s="63">
        <f>H165-H141+H168-H169</f>
        <v>199.8443219240553</v>
      </c>
      <c r="I170" s="63">
        <f>I165-I141+I168-I169</f>
        <v>217.25051809925486</v>
      </c>
      <c r="J170" s="63">
        <f>J165-J141+J168-J169</f>
        <v>234.48892330563228</v>
      </c>
      <c r="K170" s="63">
        <f>K165-K141+K168-K169</f>
        <v>251.55114799474597</v>
      </c>
      <c r="L170" s="63">
        <f>L165-L141+L168-L169</f>
        <v>268.428383140733</v>
      </c>
      <c r="M170" s="63">
        <f>M165-M141+M168-M169</f>
        <v>285.1113792664372</v>
      </c>
      <c r="N170" s="63">
        <f>N165-N141+N168-N169</f>
        <v>301.59042442084393</v>
      </c>
      <c r="O170" s="63">
        <f>O165-O141+O168-O169</f>
        <v>296.6464355691549</v>
      </c>
      <c r="P170" s="63">
        <f>P165-P141+P168-P169</f>
        <v>189.7256155789392</v>
      </c>
      <c r="Q170" s="63">
        <f>Q165-Q141+Q168-Q169</f>
        <v>200.7897143703144</v>
      </c>
      <c r="R170" s="63">
        <f>R165-R141+R168-R169</f>
        <v>211.97310322430656</v>
      </c>
      <c r="S170" s="63">
        <f>S165-S141+S168-S169</f>
        <v>223.14458827008139</v>
      </c>
      <c r="T170" s="63">
        <f>T165-T141+T168-T169</f>
        <v>480.85533884102085</v>
      </c>
      <c r="U170" s="63">
        <f>U165-U141+U168-U169</f>
        <v>475.17305511661215</v>
      </c>
      <c r="V170" s="63">
        <f>V165-V141+V168-V169</f>
        <v>469.30478890770206</v>
      </c>
      <c r="W170" s="63">
        <f>W165-W141+W168-W169</f>
        <v>463.2234653648003</v>
      </c>
      <c r="X170" s="63">
        <f>X165-X141+X168-X169</f>
        <v>456.90776618604735</v>
      </c>
      <c r="Y170" s="63">
        <f>Y165-Y141+Y168-Y169</f>
        <v>450.339573328555</v>
      </c>
      <c r="Z170" s="63">
        <f>Z165-Z141+Z168-Z169</f>
        <v>443.50242255172867</v>
      </c>
      <c r="AA170" s="63">
        <f>AA165-AA141+AA168-AA169</f>
        <v>436.3805622256072</v>
      </c>
      <c r="AB170" s="63">
        <f>AB165-AB141+AB168-AB169</f>
        <v>428.9583746323296</v>
      </c>
      <c r="AC170" s="63">
        <f>AC165-AC141+AC168-AC169</f>
        <v>1047.4413116871347</v>
      </c>
    </row>
    <row r="171" spans="1:29" x14ac:dyDescent="0.25">
      <c r="A171" s="33" t="s">
        <v>233</v>
      </c>
      <c r="B171" s="26" t="s">
        <v>86</v>
      </c>
      <c r="D171" s="37">
        <f>D170</f>
        <v>-1585.5046685239645</v>
      </c>
      <c r="E171" s="37">
        <f>D171+E170</f>
        <v>-1513.0814521512982</v>
      </c>
      <c r="F171" s="37">
        <f>E171+F170</f>
        <v>-1348.5213157779594</v>
      </c>
      <c r="G171" s="37">
        <f>F171+G170</f>
        <v>-1166.242990951792</v>
      </c>
      <c r="H171" s="37">
        <f>G171+H170</f>
        <v>-966.3986690277368</v>
      </c>
      <c r="I171" s="37">
        <f>H171+I170</f>
        <v>-749.148150928482</v>
      </c>
      <c r="J171" s="37">
        <f>I171+J170</f>
        <v>-514.6592276228497</v>
      </c>
      <c r="K171" s="37">
        <f>J171+K170</f>
        <v>-263.1080796281037</v>
      </c>
      <c r="L171" s="37">
        <f>K171+L170</f>
        <v>5.320303512629266</v>
      </c>
      <c r="M171" s="37">
        <f>L171+M170</f>
        <v>290.4316827790665</v>
      </c>
      <c r="N171" s="37">
        <f>M171+N170</f>
        <v>592.0221071999104</v>
      </c>
      <c r="O171" s="37">
        <f>N171+O170</f>
        <v>888.6685427690652</v>
      </c>
      <c r="P171" s="37">
        <f>O171+P170</f>
        <v>1078.3941583480043</v>
      </c>
      <c r="Q171" s="37">
        <f>P171+Q170</f>
        <v>1279.1838727183188</v>
      </c>
      <c r="R171" s="37">
        <f>Q171+R170</f>
        <v>1491.1569759426252</v>
      </c>
      <c r="S171" s="37">
        <f>R171+S170</f>
        <v>1714.3015642127066</v>
      </c>
      <c r="T171" s="37">
        <f>S171+T170</f>
        <v>2195.1569030537275</v>
      </c>
      <c r="U171" s="37">
        <f>T171+U170</f>
        <v>2670.3299581703395</v>
      </c>
      <c r="V171" s="37">
        <f>U171+V170</f>
        <v>3139.6347470780415</v>
      </c>
      <c r="W171" s="37">
        <f>V171+W170</f>
        <v>3602.8582124428417</v>
      </c>
      <c r="X171" s="37">
        <f>W171+X170</f>
        <v>4059.765978628889</v>
      </c>
      <c r="Y171" s="37">
        <f>X171+Y170</f>
        <v>4510.105551957444</v>
      </c>
      <c r="Z171" s="37">
        <f>Y171+Z170</f>
        <v>4953.607974509173</v>
      </c>
      <c r="AA171" s="37">
        <f>Z171+AA170</f>
        <v>5389.98853673478</v>
      </c>
      <c r="AB171" s="37">
        <f>AA171+AB170</f>
        <v>5818.946911367109</v>
      </c>
      <c r="AC171" s="37">
        <f>AB171+AC170</f>
        <v>6866.388223054244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3300.5147159252174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65.96065621629488</v>
      </c>
      <c r="I173" s="37">
        <f>MAX(0,(I124-I146)*$C$69)</f>
        <v>110.121769184114</v>
      </c>
      <c r="J173" s="37">
        <f>MAX(0,(J124-J146)*$C$69)</f>
        <v>136.09385926849416</v>
      </c>
      <c r="K173" s="37">
        <f>MAX(0,(K124-K146)*$C$69)</f>
        <v>151.1335307787271</v>
      </c>
      <c r="L173" s="37">
        <f>MAX(0,(L124-L146)*$C$69)</f>
        <v>159.593796058184</v>
      </c>
      <c r="M173" s="37">
        <f>MAX(0,(M124-M146)*$C$69)</f>
        <v>164.085464758573</v>
      </c>
      <c r="N173" s="37">
        <f>MAX(0,(N124-N146)*$C$69)</f>
        <v>166.17397502888886</v>
      </c>
      <c r="O173" s="37">
        <f>MAX(0,(O124-O146)*$C$69)</f>
        <v>166.79748973439686</v>
      </c>
      <c r="P173" s="37">
        <f>MAX(0,(P124-P146)*$C$69)</f>
        <v>166.517751568918</v>
      </c>
      <c r="Q173" s="37">
        <f>MAX(0,(Q124-Q146)*$C$69)</f>
        <v>165.6705933721397</v>
      </c>
      <c r="R173" s="37">
        <f>MAX(0,(R124-R146)*$C$69)</f>
        <v>164.4562414324391</v>
      </c>
      <c r="S173" s="37">
        <f>MAX(0,(S124-S146)*$C$69)</f>
        <v>162.9934944366354</v>
      </c>
      <c r="T173" s="37">
        <f>MAX(0,(T124-T146)*$C$69)</f>
        <v>161.35222765630246</v>
      </c>
      <c r="U173" s="37">
        <f>MAX(0,(U124-U146)*$C$69)</f>
        <v>159.57289211684144</v>
      </c>
      <c r="V173" s="37">
        <f>MAX(0,(V124-V146)*$C$69)</f>
        <v>157.67821058907225</v>
      </c>
      <c r="W173" s="37">
        <f>MAX(0,(W124-W146)*$C$69)</f>
        <v>155.68019149884563</v>
      </c>
      <c r="X173" s="37">
        <f>MAX(0,(X124-X146)*$C$69)</f>
        <v>153.58433340319806</v>
      </c>
      <c r="Y173" s="37">
        <f>MAX(0,(Y124-Y146)*$C$69)</f>
        <v>151.39214361295438</v>
      </c>
      <c r="Z173" s="37">
        <f>MAX(0,(Z124-Z146)*$C$69)</f>
        <v>149.102645100042</v>
      </c>
      <c r="AA173" s="37">
        <f>MAX(0,(AA124-AA146)*$C$69)</f>
        <v>146.71327616232207</v>
      </c>
      <c r="AB173" s="37">
        <f>MAX(0,(AB124-AB146)*$C$69)</f>
        <v>144.2204255189509</v>
      </c>
      <c r="AC173" s="37">
        <f>MAX(0,(AC124-AC146)*$C$69)</f>
        <v>141.61974842888387</v>
      </c>
    </row>
    <row r="174" spans="1:29" x14ac:dyDescent="0.25">
      <c r="A174" s="61" t="s">
        <v>236</v>
      </c>
      <c r="B174" s="62" t="s">
        <v>86</v>
      </c>
      <c r="C174" s="63">
        <f>SUM(E174:AC174)</f>
        <v>13660.429958870165</v>
      </c>
      <c r="D174" s="63">
        <f>-$C$84</f>
        <v>-5285.015561746547</v>
      </c>
      <c r="E174" s="63">
        <f>E124-E173-E164-E128+E168</f>
        <v>652.0132563108709</v>
      </c>
      <c r="F174" s="63">
        <f>F124-F173-F164-F128+F168</f>
        <v>721.9531109522078</v>
      </c>
      <c r="G174" s="63">
        <f>G124-G173-G164-G128+G168</f>
        <v>717.474234045701</v>
      </c>
      <c r="H174" s="63">
        <f>H124-H173-H164-H128+H168</f>
        <v>646.8825095679586</v>
      </c>
      <c r="I174" s="63">
        <f>I124-I173-I164-I128+I168</f>
        <v>597.9305274160035</v>
      </c>
      <c r="J174" s="63">
        <f>J124-J173-J164-J128+J168</f>
        <v>566.9997771786653</v>
      </c>
      <c r="K174" s="63">
        <f>K124-K173-K164-K128+K168</f>
        <v>546.8252649982105</v>
      </c>
      <c r="L174" s="63">
        <f>L124-L173-L164-L128+L168</f>
        <v>533.0451695054052</v>
      </c>
      <c r="M174" s="63">
        <f>M124-M173-M164-M128+M168</f>
        <v>523.0394315713849</v>
      </c>
      <c r="N174" s="63">
        <f>N124-N173-N164-N128+N168</f>
        <v>515.2329010961403</v>
      </c>
      <c r="O174" s="63">
        <f>O124-O173-O164-O128+O168</f>
        <v>508.67721766584157</v>
      </c>
      <c r="P174" s="63">
        <f>P124-P173-P164-P128+P168</f>
        <v>502.7999311606744</v>
      </c>
      <c r="Q174" s="63">
        <f>Q124-Q173-Q164-Q128+Q168</f>
        <v>497.25396594365895</v>
      </c>
      <c r="R174" s="63">
        <f>R124-R173-R164-R128+R168</f>
        <v>491.82729078926025</v>
      </c>
      <c r="S174" s="63">
        <f>S124-S173-S164-S128+S168</f>
        <v>486.38871182664434</v>
      </c>
      <c r="T174" s="63">
        <f>T124-T173-T164-T128+T168</f>
        <v>480.85533884102085</v>
      </c>
      <c r="U174" s="63">
        <f>U124-U173-U164-U128+U168</f>
        <v>475.1730551166122</v>
      </c>
      <c r="V174" s="63">
        <f>V124-V173-V164-V128+V168</f>
        <v>469.3047889077021</v>
      </c>
      <c r="W174" s="63">
        <f>W124-W173-W164-W128+W168</f>
        <v>463.22346536480035</v>
      </c>
      <c r="X174" s="63">
        <f>X124-X173-X164-X128+X168</f>
        <v>456.90776618604735</v>
      </c>
      <c r="Y174" s="63">
        <f>Y124-Y173-Y164-Y128+Y168</f>
        <v>450.33957332855493</v>
      </c>
      <c r="Z174" s="63">
        <f>Z124-Z173-Z164-Z128+Z168</f>
        <v>443.5024225517287</v>
      </c>
      <c r="AA174" s="63">
        <f>AA124-AA173-AA164-AA128+AA168</f>
        <v>436.3805622256072</v>
      </c>
      <c r="AB174" s="63">
        <f>AB124-AB173-AB164-AB128+AB168</f>
        <v>428.9583746323296</v>
      </c>
      <c r="AC174" s="63">
        <f>AC124-AC173-AC164-AC128+AC168</f>
        <v>1047.4413116871356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3813.4638395667325</v>
      </c>
      <c r="E177" s="37">
        <f>E123+E128</f>
        <v>73.07770348726375</v>
      </c>
      <c r="F177" s="37">
        <f>F123+F128</f>
        <v>103.84563920874507</v>
      </c>
      <c r="G177" s="37">
        <f>G123+G128</f>
        <v>106.88946630756443</v>
      </c>
      <c r="H177" s="37">
        <f>H123+H128</f>
        <v>110.08548476132476</v>
      </c>
      <c r="I177" s="37">
        <f>I123+I128</f>
        <v>113.44130413777313</v>
      </c>
      <c r="J177" s="37">
        <f>J123+J128</f>
        <v>116.9649144830439</v>
      </c>
      <c r="K177" s="37">
        <f>K123+K128</f>
        <v>120.66470534557821</v>
      </c>
      <c r="L177" s="37">
        <f>L123+L128</f>
        <v>124.54948575123923</v>
      </c>
      <c r="M177" s="37">
        <f>M123+M128</f>
        <v>128.6285051771833</v>
      </c>
      <c r="N177" s="37">
        <f>N123+N128</f>
        <v>132.91147557442457</v>
      </c>
      <c r="O177" s="37">
        <f>O123+O128</f>
        <v>137.40859449152794</v>
      </c>
      <c r="P177" s="37">
        <f>P123+P128</f>
        <v>142.13056935448643</v>
      </c>
      <c r="Q177" s="37">
        <f>Q123+Q128</f>
        <v>147.08864296059286</v>
      </c>
      <c r="R177" s="37">
        <f>R123+R128</f>
        <v>152.29462024700462</v>
      </c>
      <c r="S177" s="37">
        <f>S123+S128</f>
        <v>157.76089639773699</v>
      </c>
      <c r="T177" s="37">
        <f>T123+T128</f>
        <v>163.50048635600595</v>
      </c>
      <c r="U177" s="37">
        <f>U123+U128</f>
        <v>169.52705581218834</v>
      </c>
      <c r="V177" s="37">
        <f>V123+V128</f>
        <v>175.85495374117988</v>
      </c>
      <c r="W177" s="37">
        <f>W123+W128</f>
        <v>182.49924656662103</v>
      </c>
      <c r="X177" s="37">
        <f>X123+X128</f>
        <v>189.47575403333417</v>
      </c>
      <c r="Y177" s="37">
        <f>Y123+Y128</f>
        <v>196.80108687338299</v>
      </c>
      <c r="Z177" s="37">
        <f>Z123+Z128</f>
        <v>204.49268635543424</v>
      </c>
      <c r="AA177" s="37">
        <f>AA123+AA128</f>
        <v>212.5688658115881</v>
      </c>
      <c r="AB177" s="37">
        <f>AB123+AB128</f>
        <v>221.04885424054962</v>
      </c>
      <c r="AC177" s="37">
        <f>AC123+AC128</f>
        <v>229.9528420909592</v>
      </c>
    </row>
    <row r="178" spans="1:29" x14ac:dyDescent="0.25">
      <c r="A178" s="33" t="s">
        <v>239</v>
      </c>
      <c r="B178" s="26" t="s">
        <v>86</v>
      </c>
      <c r="C178" s="57">
        <f>SUM(E178:AC178)</f>
        <v>1161.8350142427157</v>
      </c>
      <c r="E178" s="37">
        <f>E177*E107</f>
        <v>66.43427589751249</v>
      </c>
      <c r="F178" s="37">
        <f>F177*F107</f>
        <v>85.82284232127691</v>
      </c>
      <c r="G178" s="37">
        <f>G177*G107</f>
        <v>80.30763809734366</v>
      </c>
      <c r="H178" s="37">
        <f>H177*H107</f>
        <v>75.18986733237124</v>
      </c>
      <c r="I178" s="37">
        <f>I177*I107</f>
        <v>70.43812465478207</v>
      </c>
      <c r="J178" s="37">
        <f>J177*J107</f>
        <v>66.02364495664776</v>
      </c>
      <c r="K178" s="37">
        <f>K177*K107</f>
        <v>61.92007313199958</v>
      </c>
      <c r="L178" s="37">
        <f>L177*L107</f>
        <v>58.10325430428009</v>
      </c>
      <c r="M178" s="37">
        <f>M177*M107</f>
        <v>54.55104270045624</v>
      </c>
      <c r="N178" s="37">
        <f>N177*N107</f>
        <v>51.243127495896466</v>
      </c>
      <c r="O178" s="37">
        <f>O177*O107</f>
        <v>48.160874105592974</v>
      </c>
      <c r="P178" s="37">
        <f>P177*P107</f>
        <v>45.28717953505855</v>
      </c>
      <c r="Q178" s="37">
        <f>Q177*Q107</f>
        <v>42.60634052949125</v>
      </c>
      <c r="R178" s="37">
        <f>R177*R107</f>
        <v>40.10393337371181</v>
      </c>
      <c r="S178" s="37">
        <f>S177*S107</f>
        <v>37.76670429897052</v>
      </c>
      <c r="T178" s="37">
        <f>T177*T107</f>
        <v>35.58246954692654</v>
      </c>
      <c r="U178" s="37">
        <f>U177*U107</f>
        <v>33.540024226777106</v>
      </c>
      <c r="V178" s="37">
        <f>V177*V107</f>
        <v>31.629059179429348</v>
      </c>
      <c r="W178" s="37">
        <f>W177*W107</f>
        <v>29.840085133468783</v>
      </c>
      <c r="X178" s="37">
        <f>X177*X107</f>
        <v>28.16436350212502</v>
      </c>
      <c r="Y178" s="37">
        <f>Y177*Y107</f>
        <v>26.59384322904934</v>
      </c>
      <c r="Z178" s="37">
        <f>Z177*Z107</f>
        <v>25.121103144028922</v>
      </c>
      <c r="AA178" s="37">
        <f>AA177*AA107</f>
        <v>23.739299338250756</v>
      </c>
      <c r="AB178" s="37">
        <f>AB177*AB107</f>
        <v>22.442117112830648</v>
      </c>
      <c r="AC178" s="37">
        <f>AC177*AC107</f>
        <v>21.223727094437862</v>
      </c>
    </row>
    <row r="179" spans="1:29" x14ac:dyDescent="0.25">
      <c r="A179" s="33" t="s">
        <v>240</v>
      </c>
      <c r="B179" s="26" t="s">
        <v>182</v>
      </c>
      <c r="C179" s="58">
        <f>SUM(E179:AC179)</f>
        <v>13144.173824877706</v>
      </c>
      <c r="E179" s="59">
        <f>E96*E107</f>
        <v>1328.2019634147994</v>
      </c>
      <c r="F179" s="59">
        <f>F96*F107</f>
        <v>1206.0208647407749</v>
      </c>
      <c r="G179" s="59">
        <f>G96*G107</f>
        <v>1095.0776355495086</v>
      </c>
      <c r="H179" s="59">
        <f>H96*H107</f>
        <v>994.3387879902019</v>
      </c>
      <c r="I179" s="59">
        <f>I96*I107</f>
        <v>902.8658661396162</v>
      </c>
      <c r="J179" s="59">
        <f>J96*J107</f>
        <v>819.8067086916972</v>
      </c>
      <c r="K179" s="59">
        <f>K96*K107</f>
        <v>744.3875148612541</v>
      </c>
      <c r="L179" s="59">
        <f>L96*L107</f>
        <v>675.905639671952</v>
      </c>
      <c r="M179" s="59">
        <f>M96*M107</f>
        <v>613.723051584331</v>
      </c>
      <c r="N179" s="59">
        <f>N96*N107</f>
        <v>557.2603915814678</v>
      </c>
      <c r="O179" s="59">
        <f>O96*O107</f>
        <v>505.99157842553575</v>
      </c>
      <c r="P179" s="59">
        <f>P96*P107</f>
        <v>459.43890987992614</v>
      </c>
      <c r="Q179" s="59">
        <f>Q96*Q107</f>
        <v>417.16861430603467</v>
      </c>
      <c r="R179" s="59">
        <f>R96*R107</f>
        <v>378.7868112341737</v>
      </c>
      <c r="S179" s="59">
        <f>S96*S107</f>
        <v>343.9358433133449</v>
      </c>
      <c r="T179" s="59">
        <f>T96*T107</f>
        <v>312.290945500153</v>
      </c>
      <c r="U179" s="59">
        <f>U96*U107</f>
        <v>283.5572204851171</v>
      </c>
      <c r="V179" s="59">
        <f>V96*V107</f>
        <v>257.46689220421865</v>
      </c>
      <c r="W179" s="59">
        <f>W96*W107</f>
        <v>233.77681187120996</v>
      </c>
      <c r="X179" s="59">
        <f>X96*X107</f>
        <v>212.26619331606875</v>
      </c>
      <c r="Y179" s="59">
        <f>Y96*Y107</f>
        <v>192.73455654887712</v>
      </c>
      <c r="Z179" s="59">
        <f>Z96*Z107</f>
        <v>174.99986040616602</v>
      </c>
      <c r="AA179" s="59">
        <f>AA96*AA107</f>
        <v>158.8968068964365</v>
      </c>
      <c r="AB179" s="59">
        <f>AB96*AB107</f>
        <v>144.2753014594994</v>
      </c>
      <c r="AC179" s="59">
        <f>AC96*AC107</f>
        <v>130.99905480534062</v>
      </c>
    </row>
    <row r="180" spans="1:29" x14ac:dyDescent="0.25">
      <c r="A180" s="33" t="s">
        <v>241</v>
      </c>
      <c r="B180" s="26" t="s">
        <v>86</v>
      </c>
      <c r="C180" s="57">
        <f>SUM(E180:AC180)</f>
        <v>8367.201907664974</v>
      </c>
      <c r="E180" s="37">
        <f>E111*E107</f>
        <v>845.4950573625782</v>
      </c>
      <c r="F180" s="37">
        <f>F111*F107</f>
        <v>767.7180943121515</v>
      </c>
      <c r="G180" s="37">
        <f>G111*G107</f>
        <v>697.0948348133512</v>
      </c>
      <c r="H180" s="37">
        <f>H111*H107</f>
        <v>632.9673903117532</v>
      </c>
      <c r="I180" s="37">
        <f>I111*I107</f>
        <v>574.7383668367817</v>
      </c>
      <c r="J180" s="37">
        <f>J111*J107</f>
        <v>521.8653030819557</v>
      </c>
      <c r="K180" s="37">
        <f>K111*K107</f>
        <v>473.8556197880338</v>
      </c>
      <c r="L180" s="37">
        <f>L111*L107</f>
        <v>430.26203343117237</v>
      </c>
      <c r="M180" s="37">
        <f>M111*M107</f>
        <v>390.67839153764095</v>
      </c>
      <c r="N180" s="37">
        <f>N111*N107</f>
        <v>354.73589086912204</v>
      </c>
      <c r="O180" s="37">
        <f>O111*O107</f>
        <v>322.09964328465094</v>
      </c>
      <c r="P180" s="37">
        <f>P111*P107</f>
        <v>292.4655573199255</v>
      </c>
      <c r="Q180" s="37">
        <f>Q111*Q107</f>
        <v>265.55750646213653</v>
      </c>
      <c r="R180" s="37">
        <f>R111*R107</f>
        <v>241.1247577659297</v>
      </c>
      <c r="S180" s="37">
        <f>S111*S107</f>
        <v>218.939636878437</v>
      </c>
      <c r="T180" s="37">
        <f>T111*T107</f>
        <v>198.79540774101798</v>
      </c>
      <c r="U180" s="37">
        <f>U111*U107</f>
        <v>180.50434723289462</v>
      </c>
      <c r="V180" s="37">
        <f>V111*V107</f>
        <v>163.89599683582654</v>
      </c>
      <c r="W180" s="37">
        <f>W111*W107</f>
        <v>148.8155750462181</v>
      </c>
      <c r="X180" s="37">
        <f>X111*X107</f>
        <v>135.1225357569035</v>
      </c>
      <c r="Y180" s="37">
        <f>Y111*Y107</f>
        <v>122.68925918923108</v>
      </c>
      <c r="Z180" s="37">
        <f>Z111*Z107</f>
        <v>111.39986318959079</v>
      </c>
      <c r="AA180" s="37">
        <f>AA111*AA107</f>
        <v>101.14912382468485</v>
      </c>
      <c r="AB180" s="37">
        <f>AB111*AB107</f>
        <v>91.84149522703792</v>
      </c>
      <c r="AC180" s="37">
        <f>AC111*AC107</f>
        <v>83.39021956594924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0.09961927737960535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1.4210854715202004e-13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-14.171989576490887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1.1249559367521016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1.5591657174013682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4.904721028405333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6.3657115457713624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200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88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112</v>
      </c>
      <c r="E8" s="73" t="s">
        <v>104</v>
      </c>
    </row>
    <row r="9" spans="1:5" x14ac:dyDescent="0.25">
      <c r="A9" t="s">
        <v>38</v>
      </c>
      <c r="B9" t="s">
        <v>302</v>
      </c>
      <c r="C9" s="71">
        <v>4</v>
      </c>
      <c r="D9" t="s">
        <v>121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303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301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302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304</v>
      </c>
      <c r="C15" t="s">
        <v>305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306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307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308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309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310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301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302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311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312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312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312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312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312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312</v>
      </c>
    </row>
    <row r="39" spans="1:5" x14ac:dyDescent="0.25">
      <c r="A39" t="s">
        <v>44</v>
      </c>
      <c r="B39" t="s">
        <v>313</v>
      </c>
      <c r="C39" s="72">
        <v>0.1</v>
      </c>
      <c r="D39" t="s">
        <v>83</v>
      </c>
      <c r="E39" t="s">
        <v>312</v>
      </c>
    </row>
    <row r="40" spans="1:5" x14ac:dyDescent="0.25">
      <c r="A40" t="s">
        <v>314</v>
      </c>
      <c r="B40" t="s">
        <v>315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291</v>
      </c>
      <c r="C1" s="67" t="s">
        <v>317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413.102342378588</v>
      </c>
      <c r="C3" t="s">
        <v>32</v>
      </c>
    </row>
    <row r="4" spans="1:3" x14ac:dyDescent="0.25">
      <c r="A4" t="s">
        <v>33</v>
      </c>
      <c r="B4" s="11">
        <v>305.76709938749815</v>
      </c>
      <c r="C4" t="s">
        <v>32</v>
      </c>
    </row>
    <row r="5" spans="1:3" x14ac:dyDescent="0.25">
      <c r="A5" t="s">
        <v>34</v>
      </c>
      <c r="B5" s="11">
        <v>290.30263302317496</v>
      </c>
      <c r="C5" t="s">
        <v>8</v>
      </c>
    </row>
    <row r="6" spans="1:3" x14ac:dyDescent="0.25">
      <c r="A6" t="s">
        <v>35</v>
      </c>
      <c r="B6" s="11">
        <v>1161.2105320926999</v>
      </c>
      <c r="C6" t="s">
        <v>8</v>
      </c>
    </row>
    <row r="8" spans="1:3" s="67" customFormat="1" x14ac:dyDescent="0.25">
      <c r="A8" s="67" t="s">
        <v>301</v>
      </c>
      <c r="B8" s="67" t="s">
        <v>318</v>
      </c>
      <c r="C8" s="67" t="s">
        <v>317</v>
      </c>
    </row>
    <row r="9" spans="1:3" x14ac:dyDescent="0.25">
      <c r="A9" t="s">
        <v>38</v>
      </c>
      <c r="B9" s="8">
        <v>1735.0298379900696</v>
      </c>
      <c r="C9" t="s">
        <v>8</v>
      </c>
    </row>
    <row r="10" spans="1:3" x14ac:dyDescent="0.25">
      <c r="A10" t="s">
        <v>40</v>
      </c>
      <c r="B10" s="8">
        <v>2086.860453319675</v>
      </c>
      <c r="C10" t="s">
        <v>8</v>
      </c>
    </row>
    <row r="11" spans="1:3" x14ac:dyDescent="0.25">
      <c r="A11" t="s">
        <v>42</v>
      </c>
      <c r="B11" s="8">
        <v>1463.1252704368017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319</v>
      </c>
      <c r="B13" s="8">
        <v>5285.015561746547</v>
      </c>
      <c r="C13" t="s">
        <v>320</v>
      </c>
    </row>
    <row r="14" spans="1:3" x14ac:dyDescent="0.25">
      <c r="A14" t="s">
        <v>94</v>
      </c>
      <c r="B14" s="8">
        <v>3699.5108932225826</v>
      </c>
      <c r="C14" t="s">
        <v>321</v>
      </c>
    </row>
    <row r="15" spans="1:3" x14ac:dyDescent="0.25">
      <c r="A15" t="s">
        <v>95</v>
      </c>
      <c r="B15" s="8">
        <v>1585.5046685239645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36004.47996792456</v>
      </c>
      <c r="D4" s="74">
        <v>1461.0221597562793</v>
      </c>
      <c r="E4" s="74">
        <v>1459.2852463363379</v>
      </c>
      <c r="F4" s="74">
        <v>1457.5483329163965</v>
      </c>
      <c r="G4" s="74">
        <v>1455.8114194964553</v>
      </c>
      <c r="H4" s="74">
        <v>1454.074506076514</v>
      </c>
      <c r="I4" s="74">
        <v>1452.3375926565723</v>
      </c>
      <c r="J4" s="74">
        <v>1450.6006792366309</v>
      </c>
      <c r="K4" s="74">
        <v>1448.8637658166895</v>
      </c>
      <c r="L4" s="74">
        <v>1447.1268523967483</v>
      </c>
      <c r="M4" s="74">
        <v>1445.389938976807</v>
      </c>
      <c r="N4" s="74">
        <v>1443.6530255568655</v>
      </c>
      <c r="O4" s="74">
        <v>1441.9161121369239</v>
      </c>
      <c r="P4" s="74">
        <v>1440.1791987169827</v>
      </c>
      <c r="Q4" s="74">
        <v>1438.4422852970413</v>
      </c>
      <c r="R4" s="74">
        <v>1436.7053718770999</v>
      </c>
      <c r="S4" s="74">
        <v>1434.9684584571585</v>
      </c>
      <c r="T4" s="74">
        <v>1433.231545037217</v>
      </c>
      <c r="U4" s="74">
        <v>1431.4946316172754</v>
      </c>
      <c r="V4" s="74">
        <v>1429.7577181973343</v>
      </c>
      <c r="W4" s="74">
        <v>1428.0208047773929</v>
      </c>
      <c r="X4" s="74">
        <v>1426.2838913574517</v>
      </c>
      <c r="Y4" s="74">
        <v>1424.54697793751</v>
      </c>
      <c r="Z4" s="74">
        <v>1422.8100645175687</v>
      </c>
      <c r="AA4" s="74">
        <v>1421.0731510976273</v>
      </c>
      <c r="AB4" s="74">
        <v>1419.3362376776859</v>
      </c>
    </row>
    <row r="5" spans="1:28" x14ac:dyDescent="0.25">
      <c r="A5" t="s">
        <v>184</v>
      </c>
      <c r="B5" t="s">
        <v>8</v>
      </c>
      <c r="D5" s="72">
        <v>0.8339167578517576</v>
      </c>
      <c r="E5" s="72">
        <v>0.8329253689134348</v>
      </c>
      <c r="F5" s="72">
        <v>0.8319339799751121</v>
      </c>
      <c r="G5" s="72">
        <v>0.8309425910367895</v>
      </c>
      <c r="H5" s="72">
        <v>0.8299512020984667</v>
      </c>
      <c r="I5" s="72">
        <v>0.828959813160144</v>
      </c>
      <c r="J5" s="72">
        <v>0.8279684242218213</v>
      </c>
      <c r="K5" s="72">
        <v>0.8269770352834985</v>
      </c>
      <c r="L5" s="72">
        <v>0.8259856463451759</v>
      </c>
      <c r="M5" s="72">
        <v>0.8249942574068532</v>
      </c>
      <c r="N5" s="72">
        <v>0.8240028684685304</v>
      </c>
      <c r="O5" s="72">
        <v>0.8230114795302077</v>
      </c>
      <c r="P5" s="72">
        <v>0.8220200905918851</v>
      </c>
      <c r="Q5" s="72">
        <v>0.8210287016535623</v>
      </c>
      <c r="R5" s="72">
        <v>0.8200373127152396</v>
      </c>
      <c r="S5" s="72">
        <v>0.8190459237769169</v>
      </c>
      <c r="T5" s="72">
        <v>0.8180545348385941</v>
      </c>
      <c r="U5" s="72">
        <v>0.8170631459002714</v>
      </c>
      <c r="V5" s="72">
        <v>0.8160717569619488</v>
      </c>
      <c r="W5" s="72">
        <v>0.815080368023626</v>
      </c>
      <c r="X5" s="72">
        <v>0.8140889790853034</v>
      </c>
      <c r="Y5" s="72">
        <v>0.8130975901469806</v>
      </c>
      <c r="Z5" s="72">
        <v>0.8121062012086578</v>
      </c>
      <c r="AA5" s="72">
        <v>0.8111148122703352</v>
      </c>
      <c r="AB5" s="72">
        <v>0.8101234233320125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6.365711545771363</v>
      </c>
      <c r="E7" s="75">
        <v>6.365711545771363</v>
      </c>
      <c r="F7" s="75">
        <v>6.365711545771363</v>
      </c>
      <c r="G7" s="75">
        <v>6.365711545771363</v>
      </c>
      <c r="H7" s="75">
        <v>6.365711545771363</v>
      </c>
      <c r="I7" s="75">
        <v>6.365711545771363</v>
      </c>
      <c r="J7" s="75">
        <v>6.365711545771363</v>
      </c>
      <c r="K7" s="75">
        <v>6.365711545771363</v>
      </c>
      <c r="L7" s="75">
        <v>6.365711545771363</v>
      </c>
      <c r="M7" s="75">
        <v>6.365711545771363</v>
      </c>
      <c r="N7" s="75">
        <v>6.365711545771363</v>
      </c>
      <c r="O7" s="75">
        <v>6.365711545771363</v>
      </c>
      <c r="P7" s="75">
        <v>6.365711545771363</v>
      </c>
      <c r="Q7" s="75">
        <v>6.365711545771363</v>
      </c>
      <c r="R7" s="75">
        <v>6.365711545771363</v>
      </c>
      <c r="S7" s="75">
        <v>6.365711545771363</v>
      </c>
      <c r="T7" s="75">
        <v>6.365711545771363</v>
      </c>
      <c r="U7" s="75">
        <v>6.365711545771363</v>
      </c>
      <c r="V7" s="75">
        <v>6.365711545771363</v>
      </c>
      <c r="W7" s="75">
        <v>6.365711545771363</v>
      </c>
      <c r="X7" s="75">
        <v>6.365711545771363</v>
      </c>
      <c r="Y7" s="75">
        <v>6.365711545771363</v>
      </c>
      <c r="Z7" s="75">
        <v>6.365711545771363</v>
      </c>
      <c r="AA7" s="75">
        <v>6.365711545771363</v>
      </c>
      <c r="AB7" s="75">
        <v>6.365711545771363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22919.413383131123</v>
      </c>
      <c r="D9" s="76">
        <v>930.0445630988362</v>
      </c>
      <c r="E9" s="76">
        <v>928.9388941177035</v>
      </c>
      <c r="F9" s="76">
        <v>927.8332251365708</v>
      </c>
      <c r="G9" s="76">
        <v>926.7275561554384</v>
      </c>
      <c r="H9" s="76">
        <v>925.6218871743057</v>
      </c>
      <c r="I9" s="76">
        <v>924.5162181931731</v>
      </c>
      <c r="J9" s="76">
        <v>923.4105492120405</v>
      </c>
      <c r="K9" s="76">
        <v>922.3048802309078</v>
      </c>
      <c r="L9" s="76">
        <v>921.1992112497753</v>
      </c>
      <c r="M9" s="76">
        <v>920.0935422686426</v>
      </c>
      <c r="N9" s="76">
        <v>918.98787328751</v>
      </c>
      <c r="O9" s="76">
        <v>917.8822043063773</v>
      </c>
      <c r="P9" s="76">
        <v>916.7765353252448</v>
      </c>
      <c r="Q9" s="76">
        <v>915.6708663441123</v>
      </c>
      <c r="R9" s="76">
        <v>914.5651973629796</v>
      </c>
      <c r="S9" s="76">
        <v>913.4595283818469</v>
      </c>
      <c r="T9" s="76">
        <v>912.3538594007142</v>
      </c>
      <c r="U9" s="76">
        <v>911.2481904195815</v>
      </c>
      <c r="V9" s="76">
        <v>910.1425214384491</v>
      </c>
      <c r="W9" s="76">
        <v>909.0368524573164</v>
      </c>
      <c r="X9" s="76">
        <v>907.931183476184</v>
      </c>
      <c r="Y9" s="76">
        <v>906.8255144950512</v>
      </c>
      <c r="Z9" s="76">
        <v>905.7198455139185</v>
      </c>
      <c r="AA9" s="76">
        <v>904.614176532786</v>
      </c>
      <c r="AB9" s="76">
        <v>903.5085075516533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2673.5064249436537</v>
      </c>
      <c r="D11" s="76">
        <v>102.98768707908869</v>
      </c>
      <c r="E11" s="76">
        <v>103.31706790564348</v>
      </c>
      <c r="F11" s="76">
        <v>103.64644873219825</v>
      </c>
      <c r="G11" s="76">
        <v>103.97582955875305</v>
      </c>
      <c r="H11" s="76">
        <v>104.30521038530784</v>
      </c>
      <c r="I11" s="76">
        <v>104.63459121186263</v>
      </c>
      <c r="J11" s="76">
        <v>104.96397203841742</v>
      </c>
      <c r="K11" s="76">
        <v>105.2933528649722</v>
      </c>
      <c r="L11" s="76">
        <v>105.622733691527</v>
      </c>
      <c r="M11" s="76">
        <v>105.95211451808177</v>
      </c>
      <c r="N11" s="76">
        <v>106.28149534463657</v>
      </c>
      <c r="O11" s="76">
        <v>106.61087617119135</v>
      </c>
      <c r="P11" s="76">
        <v>106.94025699774615</v>
      </c>
      <c r="Q11" s="76">
        <v>107.26963782430091</v>
      </c>
      <c r="R11" s="76">
        <v>107.59901865085574</v>
      </c>
      <c r="S11" s="76">
        <v>107.92839947741051</v>
      </c>
      <c r="T11" s="76">
        <v>108.2577803039653</v>
      </c>
      <c r="U11" s="76">
        <v>108.5871611305201</v>
      </c>
      <c r="V11" s="76">
        <v>108.91654195707487</v>
      </c>
      <c r="W11" s="76">
        <v>109.24592278362967</v>
      </c>
      <c r="X11" s="76">
        <v>109.57530361018445</v>
      </c>
      <c r="Y11" s="76">
        <v>109.90468443673925</v>
      </c>
      <c r="Z11" s="76">
        <v>110.23406526329401</v>
      </c>
      <c r="AA11" s="76">
        <v>110.56344608984881</v>
      </c>
      <c r="AB11" s="76">
        <v>110.89282691640358</v>
      </c>
    </row>
    <row r="12" spans="1:28" s="14" customFormat="1" x14ac:dyDescent="0.25">
      <c r="A12" s="14" t="s">
        <v>195</v>
      </c>
      <c r="B12" s="14" t="s">
        <v>8</v>
      </c>
      <c r="C12" s="77">
        <v>20245.906958187465</v>
      </c>
      <c r="D12" s="77">
        <v>827.0568760197475</v>
      </c>
      <c r="E12" s="77">
        <v>825.62182621206</v>
      </c>
      <c r="F12" s="77">
        <v>824.1867764043726</v>
      </c>
      <c r="G12" s="77">
        <v>822.7517265966853</v>
      </c>
      <c r="H12" s="77">
        <v>821.3166767889978</v>
      </c>
      <c r="I12" s="77">
        <v>819.8816269813105</v>
      </c>
      <c r="J12" s="77">
        <v>818.446577173623</v>
      </c>
      <c r="K12" s="77">
        <v>817.0115273659355</v>
      </c>
      <c r="L12" s="77">
        <v>815.5764775582484</v>
      </c>
      <c r="M12" s="77">
        <v>814.1414277505609</v>
      </c>
      <c r="N12" s="77">
        <v>812.7063779428734</v>
      </c>
      <c r="O12" s="77">
        <v>811.271328135186</v>
      </c>
      <c r="P12" s="77">
        <v>809.8362783274987</v>
      </c>
      <c r="Q12" s="77">
        <v>808.4012285198113</v>
      </c>
      <c r="R12" s="77">
        <v>806.9661787121238</v>
      </c>
      <c r="S12" s="77">
        <v>805.5311289044364</v>
      </c>
      <c r="T12" s="77">
        <v>804.0960790967489</v>
      </c>
      <c r="U12" s="77">
        <v>802.6610292890614</v>
      </c>
      <c r="V12" s="77">
        <v>801.2259794813742</v>
      </c>
      <c r="W12" s="77">
        <v>799.7909296736867</v>
      </c>
      <c r="X12" s="77">
        <v>798.3558798659994</v>
      </c>
      <c r="Y12" s="77">
        <v>796.9208300583119</v>
      </c>
      <c r="Z12" s="77">
        <v>795.4857802506244</v>
      </c>
      <c r="AA12" s="77">
        <v>794.0507304429373</v>
      </c>
      <c r="AB12" s="77">
        <v>792.6156806352498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2767.1054615280127</v>
      </c>
      <c r="D14" s="76">
        <v>57.97765902513075</v>
      </c>
      <c r="E14" s="76">
        <v>60.87654197638729</v>
      </c>
      <c r="F14" s="76">
        <v>63.92036907520665</v>
      </c>
      <c r="G14" s="76">
        <v>67.116387528967</v>
      </c>
      <c r="H14" s="76">
        <v>70.47220690541535</v>
      </c>
      <c r="I14" s="76">
        <v>73.99581725068612</v>
      </c>
      <c r="J14" s="76">
        <v>77.69560811322043</v>
      </c>
      <c r="K14" s="76">
        <v>81.58038851888145</v>
      </c>
      <c r="L14" s="76">
        <v>85.65940794482552</v>
      </c>
      <c r="M14" s="76">
        <v>89.9423783420668</v>
      </c>
      <c r="N14" s="76">
        <v>94.43949725917014</v>
      </c>
      <c r="O14" s="76">
        <v>99.16147212212866</v>
      </c>
      <c r="P14" s="76">
        <v>104.1195457282351</v>
      </c>
      <c r="Q14" s="76">
        <v>109.32552301464686</v>
      </c>
      <c r="R14" s="76">
        <v>114.7917991653792</v>
      </c>
      <c r="S14" s="76">
        <v>120.53138912364818</v>
      </c>
      <c r="T14" s="76">
        <v>126.55795857983057</v>
      </c>
      <c r="U14" s="76">
        <v>132.88585650882212</v>
      </c>
      <c r="V14" s="76">
        <v>139.53014933426323</v>
      </c>
      <c r="W14" s="76">
        <v>146.5066568009764</v>
      </c>
      <c r="X14" s="76">
        <v>153.83198964102522</v>
      </c>
      <c r="Y14" s="76">
        <v>161.5235891230765</v>
      </c>
      <c r="Z14" s="76">
        <v>169.59976857923033</v>
      </c>
      <c r="AA14" s="76">
        <v>178.07975700819185</v>
      </c>
      <c r="AB14" s="76">
        <v>186.98374485860143</v>
      </c>
    </row>
    <row r="15" spans="1:28" x14ac:dyDescent="0.25">
      <c r="A15" t="s">
        <v>126</v>
      </c>
      <c r="B15" t="s">
        <v>8</v>
      </c>
      <c r="C15" s="76">
        <v>377.5011115533247</v>
      </c>
      <c r="D15" s="76">
        <v>15.10004446213299</v>
      </c>
      <c r="E15" s="76">
        <v>15.10004446213299</v>
      </c>
      <c r="F15" s="76">
        <v>15.10004446213299</v>
      </c>
      <c r="G15" s="76">
        <v>15.10004446213299</v>
      </c>
      <c r="H15" s="76">
        <v>15.10004446213299</v>
      </c>
      <c r="I15" s="76">
        <v>15.10004446213299</v>
      </c>
      <c r="J15" s="76">
        <v>15.10004446213299</v>
      </c>
      <c r="K15" s="76">
        <v>15.10004446213299</v>
      </c>
      <c r="L15" s="76">
        <v>15.10004446213299</v>
      </c>
      <c r="M15" s="76">
        <v>15.10004446213299</v>
      </c>
      <c r="N15" s="76">
        <v>15.10004446213299</v>
      </c>
      <c r="O15" s="76">
        <v>15.10004446213299</v>
      </c>
      <c r="P15" s="76">
        <v>15.10004446213299</v>
      </c>
      <c r="Q15" s="76">
        <v>15.10004446213299</v>
      </c>
      <c r="R15" s="76">
        <v>15.10004446213299</v>
      </c>
      <c r="S15" s="76">
        <v>15.10004446213299</v>
      </c>
      <c r="T15" s="76">
        <v>15.10004446213299</v>
      </c>
      <c r="U15" s="76">
        <v>15.10004446213299</v>
      </c>
      <c r="V15" s="76">
        <v>15.10004446213299</v>
      </c>
      <c r="W15" s="76">
        <v>15.10004446213299</v>
      </c>
      <c r="X15" s="76">
        <v>15.10004446213299</v>
      </c>
      <c r="Y15" s="76">
        <v>15.10004446213299</v>
      </c>
      <c r="Z15" s="76">
        <v>15.10004446213299</v>
      </c>
      <c r="AA15" s="76">
        <v>15.10004446213299</v>
      </c>
      <c r="AB15" s="76">
        <v>15.10004446213299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3144.6065730813375</v>
      </c>
      <c r="D17" s="77">
        <v>73.07770348726373</v>
      </c>
      <c r="E17" s="77">
        <v>75.97658643852027</v>
      </c>
      <c r="F17" s="77">
        <v>79.02041353733964</v>
      </c>
      <c r="G17" s="77">
        <v>82.21643199109998</v>
      </c>
      <c r="H17" s="77">
        <v>85.57225136754833</v>
      </c>
      <c r="I17" s="77">
        <v>89.0958617128191</v>
      </c>
      <c r="J17" s="77">
        <v>92.79565257535342</v>
      </c>
      <c r="K17" s="77">
        <v>96.68043298101443</v>
      </c>
      <c r="L17" s="77">
        <v>100.7594524069585</v>
      </c>
      <c r="M17" s="77">
        <v>105.04242280419979</v>
      </c>
      <c r="N17" s="77">
        <v>109.53954172130312</v>
      </c>
      <c r="O17" s="77">
        <v>114.26151658426164</v>
      </c>
      <c r="P17" s="77">
        <v>119.21959019036808</v>
      </c>
      <c r="Q17" s="77">
        <v>124.42556747677985</v>
      </c>
      <c r="R17" s="77">
        <v>129.8918436275122</v>
      </c>
      <c r="S17" s="77">
        <v>135.63143358578117</v>
      </c>
      <c r="T17" s="77">
        <v>141.65800304196355</v>
      </c>
      <c r="U17" s="77">
        <v>147.9859009709551</v>
      </c>
      <c r="V17" s="77">
        <v>154.6301937963962</v>
      </c>
      <c r="W17" s="77">
        <v>161.6067012631094</v>
      </c>
      <c r="X17" s="77">
        <v>168.9320341031582</v>
      </c>
      <c r="Y17" s="77">
        <v>176.6236335852095</v>
      </c>
      <c r="Z17" s="77">
        <v>184.6998130413633</v>
      </c>
      <c r="AA17" s="77">
        <v>193.17980147032483</v>
      </c>
      <c r="AB17" s="77">
        <v>202.0837893207344</v>
      </c>
    </row>
    <row r="18" spans="1:1" s="5" customFormat="1" x14ac:dyDescent="0.25">
      <c r="A18" s="5" t="s">
        <v>349</v>
      </c>
    </row>
    <row r="19" spans="1:28" x14ac:dyDescent="0.25">
      <c r="A19" t="s">
        <v>143</v>
      </c>
      <c r="B19" t="s">
        <v>8</v>
      </c>
      <c r="C19" s="76">
        <v>668.8572664853953</v>
      </c>
      <c r="D19" s="76">
        <v>0</v>
      </c>
      <c r="E19" s="76">
        <v>27.869052770224794</v>
      </c>
      <c r="F19" s="76">
        <v>27.869052770224794</v>
      </c>
      <c r="G19" s="76">
        <v>27.869052770224794</v>
      </c>
      <c r="H19" s="76">
        <v>27.869052770224794</v>
      </c>
      <c r="I19" s="76">
        <v>27.869052770224794</v>
      </c>
      <c r="J19" s="76">
        <v>27.869052770224794</v>
      </c>
      <c r="K19" s="76">
        <v>27.869052770224794</v>
      </c>
      <c r="L19" s="76">
        <v>27.869052770224794</v>
      </c>
      <c r="M19" s="76">
        <v>27.869052770224794</v>
      </c>
      <c r="N19" s="76">
        <v>27.869052770224794</v>
      </c>
      <c r="O19" s="76">
        <v>27.869052770224794</v>
      </c>
      <c r="P19" s="76">
        <v>27.869052770224794</v>
      </c>
      <c r="Q19" s="76">
        <v>27.869052770224794</v>
      </c>
      <c r="R19" s="76">
        <v>27.869052770224794</v>
      </c>
      <c r="S19" s="76">
        <v>27.869052770224794</v>
      </c>
      <c r="T19" s="76">
        <v>27.869052770224794</v>
      </c>
      <c r="U19" s="76">
        <v>27.869052770224794</v>
      </c>
      <c r="V19" s="76">
        <v>27.869052770224794</v>
      </c>
      <c r="W19" s="76">
        <v>27.869052770224794</v>
      </c>
      <c r="X19" s="76">
        <v>27.869052770224794</v>
      </c>
      <c r="Y19" s="76">
        <v>27.869052770224794</v>
      </c>
      <c r="Z19" s="76">
        <v>27.869052770224794</v>
      </c>
      <c r="AA19" s="76">
        <v>27.869052770224794</v>
      </c>
      <c r="AB19" s="76">
        <v>27.869052770224794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36004.47996792456</v>
      </c>
      <c r="D4" s="74">
        <v>1461.0221597562793</v>
      </c>
      <c r="E4" s="74">
        <v>1459.2852463363379</v>
      </c>
      <c r="F4" s="74">
        <v>1457.5483329163965</v>
      </c>
      <c r="G4" s="74">
        <v>1455.8114194964553</v>
      </c>
      <c r="H4" s="74">
        <v>1454.074506076514</v>
      </c>
      <c r="I4" s="74">
        <v>1452.3375926565723</v>
      </c>
      <c r="J4" s="74">
        <v>1450.6006792366309</v>
      </c>
      <c r="K4" s="74">
        <v>1448.8637658166895</v>
      </c>
      <c r="L4" s="74">
        <v>1447.1268523967483</v>
      </c>
      <c r="M4" s="74">
        <v>1445.389938976807</v>
      </c>
      <c r="N4" s="74">
        <v>1443.6530255568655</v>
      </c>
      <c r="O4" s="74">
        <v>1441.9161121369239</v>
      </c>
      <c r="P4" s="74">
        <v>1440.1791987169827</v>
      </c>
      <c r="Q4" s="74">
        <v>1438.4422852970413</v>
      </c>
      <c r="R4" s="74">
        <v>1436.7053718770999</v>
      </c>
      <c r="S4" s="74">
        <v>1434.9684584571585</v>
      </c>
      <c r="T4" s="74">
        <v>1433.231545037217</v>
      </c>
      <c r="U4" s="74">
        <v>1431.4946316172754</v>
      </c>
      <c r="V4" s="74">
        <v>1429.7577181973343</v>
      </c>
      <c r="W4" s="74">
        <v>1428.0208047773929</v>
      </c>
      <c r="X4" s="74">
        <v>1426.2838913574517</v>
      </c>
      <c r="Y4" s="74">
        <v>1424.54697793751</v>
      </c>
      <c r="Z4" s="74">
        <v>1422.8100645175687</v>
      </c>
      <c r="AA4" s="74">
        <v>1421.0731510976273</v>
      </c>
      <c r="AB4" s="74">
        <v>1419.3362376776859</v>
      </c>
    </row>
    <row r="5" spans="1:28" x14ac:dyDescent="0.25">
      <c r="A5" t="s">
        <v>184</v>
      </c>
      <c r="B5" t="s">
        <v>8</v>
      </c>
      <c r="D5" s="72">
        <v>0.8339167578517576</v>
      </c>
      <c r="E5" s="72">
        <v>0.8329253689134348</v>
      </c>
      <c r="F5" s="72">
        <v>0.8319339799751121</v>
      </c>
      <c r="G5" s="72">
        <v>0.8309425910367895</v>
      </c>
      <c r="H5" s="72">
        <v>0.8299512020984667</v>
      </c>
      <c r="I5" s="72">
        <v>0.828959813160144</v>
      </c>
      <c r="J5" s="72">
        <v>0.8279684242218213</v>
      </c>
      <c r="K5" s="72">
        <v>0.8269770352834985</v>
      </c>
      <c r="L5" s="72">
        <v>0.8259856463451759</v>
      </c>
      <c r="M5" s="72">
        <v>0.8249942574068532</v>
      </c>
      <c r="N5" s="72">
        <v>0.8240028684685304</v>
      </c>
      <c r="O5" s="72">
        <v>0.8230114795302077</v>
      </c>
      <c r="P5" s="72">
        <v>0.8220200905918851</v>
      </c>
      <c r="Q5" s="72">
        <v>0.8210287016535623</v>
      </c>
      <c r="R5" s="72">
        <v>0.8200373127152396</v>
      </c>
      <c r="S5" s="72">
        <v>0.8190459237769169</v>
      </c>
      <c r="T5" s="72">
        <v>0.8180545348385941</v>
      </c>
      <c r="U5" s="72">
        <v>0.8170631459002714</v>
      </c>
      <c r="V5" s="72">
        <v>0.8160717569619488</v>
      </c>
      <c r="W5" s="72">
        <v>0.815080368023626</v>
      </c>
      <c r="X5" s="72">
        <v>0.8140889790853034</v>
      </c>
      <c r="Y5" s="72">
        <v>0.8130975901469806</v>
      </c>
      <c r="Z5" s="72">
        <v>0.8121062012086578</v>
      </c>
      <c r="AA5" s="72">
        <v>0.8111148122703352</v>
      </c>
      <c r="AB5" s="72">
        <v>0.8101234233320125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6.365711545771363</v>
      </c>
      <c r="E7" s="75">
        <v>6.365711545771363</v>
      </c>
      <c r="F7" s="75">
        <v>6.365711545771363</v>
      </c>
      <c r="G7" s="75">
        <v>6.365711545771363</v>
      </c>
      <c r="H7" s="75">
        <v>6.365711545771363</v>
      </c>
      <c r="I7" s="75">
        <v>6.365711545771363</v>
      </c>
      <c r="J7" s="75">
        <v>6.365711545771363</v>
      </c>
      <c r="K7" s="75">
        <v>6.365711545771363</v>
      </c>
      <c r="L7" s="75">
        <v>6.365711545771363</v>
      </c>
      <c r="M7" s="75">
        <v>6.365711545771363</v>
      </c>
      <c r="N7" s="75">
        <v>6.365711545771363</v>
      </c>
      <c r="O7" s="75">
        <v>6.365711545771363</v>
      </c>
      <c r="P7" s="75">
        <v>6.365711545771363</v>
      </c>
      <c r="Q7" s="75">
        <v>6.365711545771363</v>
      </c>
      <c r="R7" s="75">
        <v>6.365711545771363</v>
      </c>
      <c r="S7" s="75">
        <v>6.365711545771363</v>
      </c>
      <c r="T7" s="75">
        <v>6.365711545771363</v>
      </c>
      <c r="U7" s="75">
        <v>6.365711545771363</v>
      </c>
      <c r="V7" s="75">
        <v>6.365711545771363</v>
      </c>
      <c r="W7" s="75">
        <v>6.365711545771363</v>
      </c>
      <c r="X7" s="75">
        <v>6.365711545771363</v>
      </c>
      <c r="Y7" s="75">
        <v>6.365711545771363</v>
      </c>
      <c r="Z7" s="75">
        <v>6.365711545771363</v>
      </c>
      <c r="AA7" s="75">
        <v>6.365711545771363</v>
      </c>
      <c r="AB7" s="75">
        <v>6.365711545771363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22919.413383131123</v>
      </c>
      <c r="D9" s="76">
        <v>930.0445630988362</v>
      </c>
      <c r="E9" s="76">
        <v>928.9388941177035</v>
      </c>
      <c r="F9" s="76">
        <v>927.8332251365708</v>
      </c>
      <c r="G9" s="76">
        <v>926.7275561554384</v>
      </c>
      <c r="H9" s="76">
        <v>925.6218871743057</v>
      </c>
      <c r="I9" s="76">
        <v>924.5162181931731</v>
      </c>
      <c r="J9" s="76">
        <v>923.4105492120405</v>
      </c>
      <c r="K9" s="76">
        <v>922.3048802309078</v>
      </c>
      <c r="L9" s="76">
        <v>921.1992112497753</v>
      </c>
      <c r="M9" s="76">
        <v>920.0935422686426</v>
      </c>
      <c r="N9" s="76">
        <v>918.98787328751</v>
      </c>
      <c r="O9" s="76">
        <v>917.8822043063773</v>
      </c>
      <c r="P9" s="76">
        <v>916.7765353252448</v>
      </c>
      <c r="Q9" s="76">
        <v>915.6708663441123</v>
      </c>
      <c r="R9" s="76">
        <v>914.5651973629796</v>
      </c>
      <c r="S9" s="76">
        <v>913.4595283818469</v>
      </c>
      <c r="T9" s="76">
        <v>912.3538594007142</v>
      </c>
      <c r="U9" s="76">
        <v>911.2481904195815</v>
      </c>
      <c r="V9" s="76">
        <v>910.1425214384491</v>
      </c>
      <c r="W9" s="76">
        <v>909.0368524573164</v>
      </c>
      <c r="X9" s="76">
        <v>907.931183476184</v>
      </c>
      <c r="Y9" s="76">
        <v>906.8255144950512</v>
      </c>
      <c r="Z9" s="76">
        <v>905.7198455139185</v>
      </c>
      <c r="AA9" s="76">
        <v>904.614176532786</v>
      </c>
      <c r="AB9" s="76">
        <v>903.5085075516533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2673.5064249436537</v>
      </c>
      <c r="D11" s="76">
        <v>102.98768707908869</v>
      </c>
      <c r="E11" s="76">
        <v>103.31706790564348</v>
      </c>
      <c r="F11" s="76">
        <v>103.64644873219825</v>
      </c>
      <c r="G11" s="76">
        <v>103.97582955875305</v>
      </c>
      <c r="H11" s="76">
        <v>104.30521038530784</v>
      </c>
      <c r="I11" s="76">
        <v>104.63459121186263</v>
      </c>
      <c r="J11" s="76">
        <v>104.96397203841742</v>
      </c>
      <c r="K11" s="76">
        <v>105.2933528649722</v>
      </c>
      <c r="L11" s="76">
        <v>105.622733691527</v>
      </c>
      <c r="M11" s="76">
        <v>105.95211451808177</v>
      </c>
      <c r="N11" s="76">
        <v>106.28149534463657</v>
      </c>
      <c r="O11" s="76">
        <v>106.61087617119135</v>
      </c>
      <c r="P11" s="76">
        <v>106.94025699774615</v>
      </c>
      <c r="Q11" s="76">
        <v>107.26963782430091</v>
      </c>
      <c r="R11" s="76">
        <v>107.59901865085574</v>
      </c>
      <c r="S11" s="76">
        <v>107.92839947741051</v>
      </c>
      <c r="T11" s="76">
        <v>108.2577803039653</v>
      </c>
      <c r="U11" s="76">
        <v>108.5871611305201</v>
      </c>
      <c r="V11" s="76">
        <v>108.91654195707487</v>
      </c>
      <c r="W11" s="76">
        <v>109.24592278362967</v>
      </c>
      <c r="X11" s="76">
        <v>109.57530361018445</v>
      </c>
      <c r="Y11" s="76">
        <v>109.90468443673925</v>
      </c>
      <c r="Z11" s="76">
        <v>110.23406526329401</v>
      </c>
      <c r="AA11" s="76">
        <v>110.56344608984881</v>
      </c>
      <c r="AB11" s="76">
        <v>110.89282691640358</v>
      </c>
    </row>
    <row r="12" spans="1:28" s="14" customFormat="1" x14ac:dyDescent="0.25">
      <c r="A12" s="14" t="s">
        <v>195</v>
      </c>
      <c r="B12" s="14" t="s">
        <v>8</v>
      </c>
      <c r="C12" s="77">
        <v>20245.906958187465</v>
      </c>
      <c r="D12" s="77">
        <v>827.0568760197475</v>
      </c>
      <c r="E12" s="77">
        <v>825.62182621206</v>
      </c>
      <c r="F12" s="77">
        <v>824.1867764043726</v>
      </c>
      <c r="G12" s="77">
        <v>822.7517265966853</v>
      </c>
      <c r="H12" s="77">
        <v>821.3166767889978</v>
      </c>
      <c r="I12" s="77">
        <v>819.8816269813105</v>
      </c>
      <c r="J12" s="77">
        <v>818.446577173623</v>
      </c>
      <c r="K12" s="77">
        <v>817.0115273659355</v>
      </c>
      <c r="L12" s="77">
        <v>815.5764775582484</v>
      </c>
      <c r="M12" s="77">
        <v>814.1414277505609</v>
      </c>
      <c r="N12" s="77">
        <v>812.7063779428734</v>
      </c>
      <c r="O12" s="77">
        <v>811.271328135186</v>
      </c>
      <c r="P12" s="77">
        <v>809.8362783274987</v>
      </c>
      <c r="Q12" s="77">
        <v>808.4012285198113</v>
      </c>
      <c r="R12" s="77">
        <v>806.9661787121238</v>
      </c>
      <c r="S12" s="77">
        <v>805.5311289044364</v>
      </c>
      <c r="T12" s="77">
        <v>804.0960790967489</v>
      </c>
      <c r="U12" s="77">
        <v>802.6610292890614</v>
      </c>
      <c r="V12" s="77">
        <v>801.2259794813742</v>
      </c>
      <c r="W12" s="77">
        <v>799.7909296736867</v>
      </c>
      <c r="X12" s="77">
        <v>798.3558798659994</v>
      </c>
      <c r="Y12" s="77">
        <v>796.9208300583119</v>
      </c>
      <c r="Z12" s="77">
        <v>795.4857802506244</v>
      </c>
      <c r="AA12" s="77">
        <v>794.0507304429373</v>
      </c>
      <c r="AB12" s="77">
        <v>792.6156806352498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2767.1054615280127</v>
      </c>
      <c r="D14" s="76">
        <v>57.97765902513075</v>
      </c>
      <c r="E14" s="76">
        <v>60.87654197638729</v>
      </c>
      <c r="F14" s="76">
        <v>63.92036907520665</v>
      </c>
      <c r="G14" s="76">
        <v>67.116387528967</v>
      </c>
      <c r="H14" s="76">
        <v>70.47220690541535</v>
      </c>
      <c r="I14" s="76">
        <v>73.99581725068612</v>
      </c>
      <c r="J14" s="76">
        <v>77.69560811322043</v>
      </c>
      <c r="K14" s="76">
        <v>81.58038851888145</v>
      </c>
      <c r="L14" s="76">
        <v>85.65940794482552</v>
      </c>
      <c r="M14" s="76">
        <v>89.9423783420668</v>
      </c>
      <c r="N14" s="76">
        <v>94.43949725917014</v>
      </c>
      <c r="O14" s="76">
        <v>99.16147212212866</v>
      </c>
      <c r="P14" s="76">
        <v>104.1195457282351</v>
      </c>
      <c r="Q14" s="76">
        <v>109.32552301464686</v>
      </c>
      <c r="R14" s="76">
        <v>114.7917991653792</v>
      </c>
      <c r="S14" s="76">
        <v>120.53138912364818</v>
      </c>
      <c r="T14" s="76">
        <v>126.55795857983057</v>
      </c>
      <c r="U14" s="76">
        <v>132.88585650882212</v>
      </c>
      <c r="V14" s="76">
        <v>139.53014933426323</v>
      </c>
      <c r="W14" s="76">
        <v>146.5066568009764</v>
      </c>
      <c r="X14" s="76">
        <v>153.83198964102522</v>
      </c>
      <c r="Y14" s="76">
        <v>161.5235891230765</v>
      </c>
      <c r="Z14" s="76">
        <v>169.59976857923033</v>
      </c>
      <c r="AA14" s="76">
        <v>178.07975700819185</v>
      </c>
      <c r="AB14" s="76">
        <v>186.98374485860143</v>
      </c>
    </row>
    <row r="15" spans="1:28" x14ac:dyDescent="0.25">
      <c r="A15" t="s">
        <v>126</v>
      </c>
      <c r="B15" t="s">
        <v>8</v>
      </c>
      <c r="C15" s="76">
        <v>377.5011115533247</v>
      </c>
      <c r="D15" s="76">
        <v>15.10004446213299</v>
      </c>
      <c r="E15" s="76">
        <v>15.10004446213299</v>
      </c>
      <c r="F15" s="76">
        <v>15.10004446213299</v>
      </c>
      <c r="G15" s="76">
        <v>15.10004446213299</v>
      </c>
      <c r="H15" s="76">
        <v>15.10004446213299</v>
      </c>
      <c r="I15" s="76">
        <v>15.10004446213299</v>
      </c>
      <c r="J15" s="76">
        <v>15.10004446213299</v>
      </c>
      <c r="K15" s="76">
        <v>15.10004446213299</v>
      </c>
      <c r="L15" s="76">
        <v>15.10004446213299</v>
      </c>
      <c r="M15" s="76">
        <v>15.10004446213299</v>
      </c>
      <c r="N15" s="76">
        <v>15.10004446213299</v>
      </c>
      <c r="O15" s="76">
        <v>15.10004446213299</v>
      </c>
      <c r="P15" s="76">
        <v>15.10004446213299</v>
      </c>
      <c r="Q15" s="76">
        <v>15.10004446213299</v>
      </c>
      <c r="R15" s="76">
        <v>15.10004446213299</v>
      </c>
      <c r="S15" s="76">
        <v>15.10004446213299</v>
      </c>
      <c r="T15" s="76">
        <v>15.10004446213299</v>
      </c>
      <c r="U15" s="76">
        <v>15.10004446213299</v>
      </c>
      <c r="V15" s="76">
        <v>15.10004446213299</v>
      </c>
      <c r="W15" s="76">
        <v>15.10004446213299</v>
      </c>
      <c r="X15" s="76">
        <v>15.10004446213299</v>
      </c>
      <c r="Y15" s="76">
        <v>15.10004446213299</v>
      </c>
      <c r="Z15" s="76">
        <v>15.10004446213299</v>
      </c>
      <c r="AA15" s="76">
        <v>15.10004446213299</v>
      </c>
      <c r="AB15" s="76">
        <v>15.10004446213299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3144.6065730813375</v>
      </c>
      <c r="D17" s="77">
        <v>73.07770348726373</v>
      </c>
      <c r="E17" s="77">
        <v>75.97658643852027</v>
      </c>
      <c r="F17" s="77">
        <v>79.02041353733964</v>
      </c>
      <c r="G17" s="77">
        <v>82.21643199109998</v>
      </c>
      <c r="H17" s="77">
        <v>85.57225136754833</v>
      </c>
      <c r="I17" s="77">
        <v>89.0958617128191</v>
      </c>
      <c r="J17" s="77">
        <v>92.79565257535342</v>
      </c>
      <c r="K17" s="77">
        <v>96.68043298101443</v>
      </c>
      <c r="L17" s="77">
        <v>100.7594524069585</v>
      </c>
      <c r="M17" s="77">
        <v>105.04242280419979</v>
      </c>
      <c r="N17" s="77">
        <v>109.53954172130312</v>
      </c>
      <c r="O17" s="77">
        <v>114.26151658426164</v>
      </c>
      <c r="P17" s="77">
        <v>119.21959019036808</v>
      </c>
      <c r="Q17" s="77">
        <v>124.42556747677985</v>
      </c>
      <c r="R17" s="77">
        <v>129.8918436275122</v>
      </c>
      <c r="S17" s="77">
        <v>135.63143358578117</v>
      </c>
      <c r="T17" s="77">
        <v>141.65800304196355</v>
      </c>
      <c r="U17" s="77">
        <v>147.9859009709551</v>
      </c>
      <c r="V17" s="77">
        <v>154.6301937963962</v>
      </c>
      <c r="W17" s="77">
        <v>161.6067012631094</v>
      </c>
      <c r="X17" s="77">
        <v>168.9320341031582</v>
      </c>
      <c r="Y17" s="77">
        <v>176.6236335852095</v>
      </c>
      <c r="Z17" s="77">
        <v>184.6998130413633</v>
      </c>
      <c r="AA17" s="77">
        <v>193.17980147032483</v>
      </c>
      <c r="AB17" s="77">
        <v>202.0837893207344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17101.30038510613</v>
      </c>
      <c r="D19" s="77">
        <v>753.9791725324837</v>
      </c>
      <c r="E19" s="77">
        <v>749.6452397735397</v>
      </c>
      <c r="F19" s="77">
        <v>745.166362867033</v>
      </c>
      <c r="G19" s="77">
        <v>740.5352946055854</v>
      </c>
      <c r="H19" s="77">
        <v>735.7444254214495</v>
      </c>
      <c r="I19" s="77">
        <v>730.7857652684914</v>
      </c>
      <c r="J19" s="77">
        <v>725.6509245982696</v>
      </c>
      <c r="K19" s="77">
        <v>720.3310943849211</v>
      </c>
      <c r="L19" s="77">
        <v>714.8170251512898</v>
      </c>
      <c r="M19" s="77">
        <v>709.0990049463611</v>
      </c>
      <c r="N19" s="77">
        <v>703.1668362215703</v>
      </c>
      <c r="O19" s="77">
        <v>697.0098115509243</v>
      </c>
      <c r="P19" s="77">
        <v>690.6166881371306</v>
      </c>
      <c r="Q19" s="77">
        <v>683.9756610430314</v>
      </c>
      <c r="R19" s="77">
        <v>677.0743350846116</v>
      </c>
      <c r="S19" s="77">
        <v>669.8996953186552</v>
      </c>
      <c r="T19" s="77">
        <v>662.4380760547854</v>
      </c>
      <c r="U19" s="77">
        <v>654.6751283181063</v>
      </c>
      <c r="V19" s="77">
        <v>646.595785684978</v>
      </c>
      <c r="W19" s="77">
        <v>638.1842284105774</v>
      </c>
      <c r="X19" s="77">
        <v>629.4238457628412</v>
      </c>
      <c r="Y19" s="77">
        <v>620.2971964731024</v>
      </c>
      <c r="Z19" s="77">
        <v>610.7859672092611</v>
      </c>
      <c r="AA19" s="77">
        <v>600.8709289726124</v>
      </c>
      <c r="AB19" s="77">
        <v>590.5318913145154</v>
      </c>
    </row>
    <row r="20" spans="1:28" x14ac:dyDescent="0.25">
      <c r="A20" t="s">
        <v>201</v>
      </c>
      <c r="B20" t="s">
        <v>8</v>
      </c>
      <c r="C20" s="76">
        <v>5425.371272057288</v>
      </c>
      <c r="D20" s="76">
        <v>190.26056022287568</v>
      </c>
      <c r="E20" s="76">
        <v>191.42177075496838</v>
      </c>
      <c r="F20" s="76">
        <v>192.6334687014999</v>
      </c>
      <c r="G20" s="76">
        <v>193.90024382741922</v>
      </c>
      <c r="H20" s="76">
        <v>195.2273415783823</v>
      </c>
      <c r="I20" s="76">
        <v>196.62079421689353</v>
      </c>
      <c r="J20" s="76">
        <v>198.087586467958</v>
      </c>
      <c r="K20" s="76">
        <v>199.63586717741492</v>
      </c>
      <c r="L20" s="76">
        <v>201.27522322272227</v>
      </c>
      <c r="M20" s="76">
        <v>203.01703902086132</v>
      </c>
      <c r="N20" s="76">
        <v>204.87497587220963</v>
      </c>
      <c r="O20" s="76">
        <v>206.86562249865426</v>
      </c>
      <c r="P20" s="76">
        <v>209.00939578867155</v>
      </c>
      <c r="Q20" s="76">
        <v>211.33181685285695</v>
      </c>
      <c r="R20" s="76">
        <v>213.86536710469557</v>
      </c>
      <c r="S20" s="76">
        <v>216.65227238171806</v>
      </c>
      <c r="T20" s="76">
        <v>219.74883380063193</v>
      </c>
      <c r="U20" s="76">
        <v>223.23246539691002</v>
      </c>
      <c r="V20" s="76">
        <v>227.21375864979927</v>
      </c>
      <c r="W20" s="76">
        <v>231.85860077817006</v>
      </c>
      <c r="X20" s="76">
        <v>237.43241133221503</v>
      </c>
      <c r="Y20" s="76">
        <v>244.39967452477123</v>
      </c>
      <c r="Z20" s="76">
        <v>253.68935878151282</v>
      </c>
      <c r="AA20" s="76">
        <v>267.6238851666252</v>
      </c>
      <c r="AB20" s="76">
        <v>295.49293793685</v>
      </c>
    </row>
    <row r="21" spans="1:28" x14ac:dyDescent="0.25">
      <c r="A21" t="s">
        <v>206</v>
      </c>
      <c r="B21" t="s">
        <v>8</v>
      </c>
      <c r="C21" s="76">
        <v>2663.6478431202604</v>
      </c>
      <c r="D21" s="76">
        <v>332.95598039003244</v>
      </c>
      <c r="E21" s="76">
        <v>310.7589150306969</v>
      </c>
      <c r="F21" s="76">
        <v>288.5618496713615</v>
      </c>
      <c r="G21" s="76">
        <v>266.36478431202596</v>
      </c>
      <c r="H21" s="76">
        <v>244.1677189526905</v>
      </c>
      <c r="I21" s="76">
        <v>221.97065359335502</v>
      </c>
      <c r="J21" s="76">
        <v>199.77358823401954</v>
      </c>
      <c r="K21" s="76">
        <v>177.57652287468406</v>
      </c>
      <c r="L21" s="76">
        <v>155.37945751534855</v>
      </c>
      <c r="M21" s="76">
        <v>133.18239215601307</v>
      </c>
      <c r="N21" s="76">
        <v>110.98532679667755</v>
      </c>
      <c r="O21" s="76">
        <v>88.78826143734206</v>
      </c>
      <c r="P21" s="76">
        <v>66.59119607800656</v>
      </c>
      <c r="Q21" s="76">
        <v>44.394130718671065</v>
      </c>
      <c r="R21" s="76">
        <v>22.19706535933557</v>
      </c>
      <c r="S21" s="76">
        <v>7.673861546209081e-14</v>
      </c>
      <c r="T21" s="76">
        <v>7.673861546209081e-14</v>
      </c>
      <c r="U21" s="76">
        <v>7.673861546209081e-14</v>
      </c>
      <c r="V21" s="76">
        <v>7.673861546209081e-14</v>
      </c>
      <c r="W21" s="76">
        <v>7.673861546209081e-14</v>
      </c>
      <c r="X21" s="76">
        <v>7.673861546209081e-14</v>
      </c>
      <c r="Y21" s="76">
        <v>7.673861546209081e-14</v>
      </c>
      <c r="Z21" s="76">
        <v>7.673861546209081e-14</v>
      </c>
      <c r="AA21" s="76">
        <v>7.673861546209081e-14</v>
      </c>
      <c r="AB21" s="76">
        <v>7.673861546209081e-14</v>
      </c>
    </row>
    <row r="22" spans="1:28" x14ac:dyDescent="0.25">
      <c r="A22" t="s">
        <v>216</v>
      </c>
      <c r="B22" t="s">
        <v>8</v>
      </c>
      <c r="C22" s="76">
        <v>9012.281269928579</v>
      </c>
      <c r="D22" s="76">
        <v>230.7626319195756</v>
      </c>
      <c r="E22" s="76">
        <v>247.4645539878744</v>
      </c>
      <c r="F22" s="76">
        <v>263.9710444941715</v>
      </c>
      <c r="G22" s="76">
        <v>280.2702664661402</v>
      </c>
      <c r="H22" s="76">
        <v>296.3493648903767</v>
      </c>
      <c r="I22" s="76">
        <v>312.19431745824295</v>
      </c>
      <c r="J22" s="76">
        <v>327.7897498962921</v>
      </c>
      <c r="K22" s="76">
        <v>343.11870433282206</v>
      </c>
      <c r="L22" s="76">
        <v>358.162344413219</v>
      </c>
      <c r="M22" s="76">
        <v>372.8995737694867</v>
      </c>
      <c r="N22" s="76">
        <v>387.3065335526831</v>
      </c>
      <c r="O22" s="76">
        <v>401.35592761492796</v>
      </c>
      <c r="P22" s="76">
        <v>415.0160962704525</v>
      </c>
      <c r="Q22" s="76">
        <v>428.2497134715034</v>
      </c>
      <c r="R22" s="76">
        <v>441.01190262058043</v>
      </c>
      <c r="S22" s="76">
        <v>453.2474229369371</v>
      </c>
      <c r="T22" s="76">
        <v>442.6892422541534</v>
      </c>
      <c r="U22" s="76">
        <v>431.44266292119624</v>
      </c>
      <c r="V22" s="76">
        <v>419.3820270351786</v>
      </c>
      <c r="W22" s="76">
        <v>406.32562763240725</v>
      </c>
      <c r="X22" s="76">
        <v>391.99143443062616</v>
      </c>
      <c r="Y22" s="76">
        <v>375.89752194833113</v>
      </c>
      <c r="Z22" s="76">
        <v>357.0966084277482</v>
      </c>
      <c r="AA22" s="76">
        <v>333.2470438059872</v>
      </c>
      <c r="AB22" s="76">
        <v>295.03895337766534</v>
      </c>
    </row>
    <row r="23" spans="1:28" x14ac:dyDescent="0.25">
      <c r="A23" t="s">
        <v>163</v>
      </c>
      <c r="B23" t="s">
        <v>8</v>
      </c>
      <c r="C23" s="76">
        <v>5912.054421706436</v>
      </c>
      <c r="D23" s="76">
        <v>2114.006224698619</v>
      </c>
      <c r="E23" s="76">
        <v>1279.5513559272613</v>
      </c>
      <c r="F23" s="76">
        <v>778.8784346644466</v>
      </c>
      <c r="G23" s="76">
        <v>478.4746819067577</v>
      </c>
      <c r="H23" s="76">
        <v>298.2324302521446</v>
      </c>
      <c r="I23" s="76">
        <v>190.08707925937665</v>
      </c>
      <c r="J23" s="76">
        <v>125.19986866371592</v>
      </c>
      <c r="K23" s="76">
        <v>86.26754230631947</v>
      </c>
      <c r="L23" s="76">
        <v>62.90814649188159</v>
      </c>
      <c r="M23" s="76">
        <v>48.892509003218876</v>
      </c>
      <c r="N23" s="76">
        <v>40.48312651002124</v>
      </c>
      <c r="O23" s="76">
        <v>35.43749701410266</v>
      </c>
      <c r="P23" s="76">
        <v>32.410119316551516</v>
      </c>
      <c r="Q23" s="76">
        <v>30.59369269802083</v>
      </c>
      <c r="R23" s="76">
        <v>29.503836726902417</v>
      </c>
      <c r="S23" s="76">
        <v>28.84992314423137</v>
      </c>
      <c r="T23" s="76">
        <v>28.45757499462874</v>
      </c>
      <c r="U23" s="76">
        <v>28.22216610486716</v>
      </c>
      <c r="V23" s="76">
        <v>28.080920771010216</v>
      </c>
      <c r="W23" s="76">
        <v>27.99617357069605</v>
      </c>
      <c r="X23" s="76">
        <v>27.945325250507548</v>
      </c>
      <c r="Y23" s="76">
        <v>27.914816258394445</v>
      </c>
      <c r="Z23" s="76">
        <v>27.896510863126583</v>
      </c>
      <c r="AA23" s="76">
        <v>27.88552762596587</v>
      </c>
      <c r="AB23" s="76">
        <v>27.878937683669438</v>
      </c>
    </row>
    <row r="24" spans="1:28" x14ac:dyDescent="0.25">
      <c r="A24" t="s">
        <v>222</v>
      </c>
      <c r="B24" t="s">
        <v>8</v>
      </c>
      <c r="C24" s="76">
        <v>2145.893046874332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21.20888548623427</v>
      </c>
      <c r="O24" s="76">
        <v>144.169746165139</v>
      </c>
      <c r="P24" s="76">
        <v>148.90958931930552</v>
      </c>
      <c r="Q24" s="76">
        <v>153.28223873054966</v>
      </c>
      <c r="R24" s="76">
        <v>157.4064930856906</v>
      </c>
      <c r="S24" s="76">
        <v>161.35222765630243</v>
      </c>
      <c r="T24" s="76">
        <v>159.5728921168414</v>
      </c>
      <c r="U24" s="76">
        <v>157.67821058907225</v>
      </c>
      <c r="V24" s="76">
        <v>155.68019149884563</v>
      </c>
      <c r="W24" s="76">
        <v>153.58433340319806</v>
      </c>
      <c r="X24" s="76">
        <v>151.39214361295436</v>
      </c>
      <c r="Y24" s="76">
        <v>149.10264510004194</v>
      </c>
      <c r="Z24" s="76">
        <v>146.71327616232205</v>
      </c>
      <c r="AA24" s="76">
        <v>144.2204255189509</v>
      </c>
      <c r="AB24" s="76">
        <v>141.6197484288839</v>
      </c>
    </row>
    <row r="25" spans="1:28" s="14" customFormat="1" x14ac:dyDescent="0.25">
      <c r="A25" s="14" t="s">
        <v>223</v>
      </c>
      <c r="B25" s="14" t="s">
        <v>8</v>
      </c>
      <c r="C25" s="77">
        <v>6866.388223054249</v>
      </c>
      <c r="D25" s="77">
        <v>230.7626319195756</v>
      </c>
      <c r="E25" s="77">
        <v>247.4645539878744</v>
      </c>
      <c r="F25" s="77">
        <v>263.9710444941715</v>
      </c>
      <c r="G25" s="77">
        <v>280.2702664661402</v>
      </c>
      <c r="H25" s="77">
        <v>296.3493648903767</v>
      </c>
      <c r="I25" s="77">
        <v>312.19431745824295</v>
      </c>
      <c r="J25" s="77">
        <v>327.7897498962921</v>
      </c>
      <c r="K25" s="77">
        <v>343.11870433282206</v>
      </c>
      <c r="L25" s="77">
        <v>358.162344413219</v>
      </c>
      <c r="M25" s="77">
        <v>372.8995737694867</v>
      </c>
      <c r="N25" s="77">
        <v>366.0976480664488</v>
      </c>
      <c r="O25" s="77">
        <v>257.18618144978893</v>
      </c>
      <c r="P25" s="77">
        <v>266.106506951147</v>
      </c>
      <c r="Q25" s="77">
        <v>274.9674747409538</v>
      </c>
      <c r="R25" s="77">
        <v>283.6054095348898</v>
      </c>
      <c r="S25" s="77">
        <v>291.89519528063465</v>
      </c>
      <c r="T25" s="77">
        <v>283.116350137312</v>
      </c>
      <c r="U25" s="77">
        <v>273.764452332124</v>
      </c>
      <c r="V25" s="77">
        <v>263.70183553633296</v>
      </c>
      <c r="W25" s="77">
        <v>252.7412942292092</v>
      </c>
      <c r="X25" s="77">
        <v>240.5992908176718</v>
      </c>
      <c r="Y25" s="77">
        <v>226.7948768482892</v>
      </c>
      <c r="Z25" s="77">
        <v>210.38333226542616</v>
      </c>
      <c r="AA25" s="77">
        <v>189.02661828703629</v>
      </c>
      <c r="AB25" s="77">
        <v>153.41920494878144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101.96591622161272</v>
      </c>
      <c r="E27" s="76">
        <v>101.78899227271972</v>
      </c>
      <c r="F27" s="76">
        <v>101.61206832382678</v>
      </c>
      <c r="G27" s="76">
        <v>101.43514437493381</v>
      </c>
      <c r="H27" s="76">
        <v>101.25822042604082</v>
      </c>
      <c r="I27" s="76">
        <v>101.08129647714787</v>
      </c>
      <c r="J27" s="76">
        <v>100.90437252825491</v>
      </c>
      <c r="K27" s="76">
        <v>100.72744857936192</v>
      </c>
      <c r="L27" s="76">
        <v>100.55052463046898</v>
      </c>
      <c r="M27" s="76">
        <v>100.373600681576</v>
      </c>
      <c r="N27" s="76">
        <v>100.19667673268302</v>
      </c>
      <c r="O27" s="76">
        <v>100.01975278379005</v>
      </c>
      <c r="P27" s="76">
        <v>99.84282883489709</v>
      </c>
      <c r="Q27" s="76">
        <v>99.66590488600413</v>
      </c>
      <c r="R27" s="76">
        <v>99.48898093711115</v>
      </c>
      <c r="S27" s="76">
        <v>99.31205698821819</v>
      </c>
      <c r="T27" s="76">
        <v>99.13513303932521</v>
      </c>
      <c r="U27" s="76">
        <v>98.95820909043222</v>
      </c>
      <c r="V27" s="76">
        <v>98.78128514153929</v>
      </c>
      <c r="W27" s="76">
        <v>98.6043611926463</v>
      </c>
      <c r="X27" s="76">
        <v>98.42743724375335</v>
      </c>
      <c r="Y27" s="76">
        <v>98.25051329486038</v>
      </c>
      <c r="Z27" s="76">
        <v>98.07358934596739</v>
      </c>
      <c r="AA27" s="76">
        <v>97.89666539707446</v>
      </c>
      <c r="AB27" s="76">
        <v>97.71974144818148</v>
      </c>
    </row>
    <row r="28" spans="1:28" x14ac:dyDescent="0.25">
      <c r="A28" t="s">
        <v>350</v>
      </c>
      <c r="B28" t="s">
        <v>8</v>
      </c>
      <c r="C28" s="76">
        <v>97.71974144818148</v>
      </c>
      <c r="D28" s="76">
        <v>101.96591622161272</v>
      </c>
      <c r="E28" s="76">
        <v>-0.17692394889299123</v>
      </c>
      <c r="F28" s="76">
        <v>-0.1769239488929486</v>
      </c>
      <c r="G28" s="76">
        <v>-0.1769239488929628</v>
      </c>
      <c r="H28" s="76">
        <v>-0.17692394889299123</v>
      </c>
      <c r="I28" s="76">
        <v>-0.1769239488929486</v>
      </c>
      <c r="J28" s="76">
        <v>-0.1769239488929628</v>
      </c>
      <c r="K28" s="76">
        <v>-0.17692394889299123</v>
      </c>
      <c r="L28" s="76">
        <v>-0.1769239488929344</v>
      </c>
      <c r="M28" s="76">
        <v>-0.17692394889299123</v>
      </c>
      <c r="N28" s="76">
        <v>-0.17692394889297702</v>
      </c>
      <c r="O28" s="76">
        <v>-0.1769239488929628</v>
      </c>
      <c r="P28" s="76">
        <v>-0.1769239488929628</v>
      </c>
      <c r="Q28" s="76">
        <v>-0.1769239488929628</v>
      </c>
      <c r="R28" s="76">
        <v>-0.17692394889297702</v>
      </c>
      <c r="S28" s="76">
        <v>-0.1769239488929628</v>
      </c>
      <c r="T28" s="76">
        <v>-0.17692394889297702</v>
      </c>
      <c r="U28" s="76">
        <v>-0.17692394889299123</v>
      </c>
      <c r="V28" s="76">
        <v>-0.1769239488929344</v>
      </c>
      <c r="W28" s="76">
        <v>-0.17692394889299123</v>
      </c>
      <c r="X28" s="76">
        <v>-0.1769239488929486</v>
      </c>
      <c r="Y28" s="76">
        <v>-0.1769239488929628</v>
      </c>
      <c r="Z28" s="76">
        <v>-0.17692394889299123</v>
      </c>
      <c r="AA28" s="76">
        <v>-0.1769239488929344</v>
      </c>
      <c r="AB28" s="76">
        <v>-0.17692394889297702</v>
      </c>
    </row>
    <row r="29" spans="1:28" x14ac:dyDescent="0.25">
      <c r="A29" t="s">
        <v>143</v>
      </c>
      <c r="B29" t="s">
        <v>8</v>
      </c>
      <c r="C29" s="76">
        <v>668.8572664853953</v>
      </c>
      <c r="D29" s="76">
        <v>0</v>
      </c>
      <c r="E29" s="76">
        <v>27.869052770224794</v>
      </c>
      <c r="F29" s="76">
        <v>27.869052770224794</v>
      </c>
      <c r="G29" s="76">
        <v>27.869052770224794</v>
      </c>
      <c r="H29" s="76">
        <v>27.869052770224794</v>
      </c>
      <c r="I29" s="76">
        <v>27.869052770224794</v>
      </c>
      <c r="J29" s="76">
        <v>27.869052770224794</v>
      </c>
      <c r="K29" s="76">
        <v>27.869052770224794</v>
      </c>
      <c r="L29" s="76">
        <v>27.869052770224794</v>
      </c>
      <c r="M29" s="76">
        <v>27.869052770224794</v>
      </c>
      <c r="N29" s="76">
        <v>27.869052770224794</v>
      </c>
      <c r="O29" s="76">
        <v>27.869052770224794</v>
      </c>
      <c r="P29" s="76">
        <v>27.869052770224794</v>
      </c>
      <c r="Q29" s="76">
        <v>27.869052770224794</v>
      </c>
      <c r="R29" s="76">
        <v>27.869052770224794</v>
      </c>
      <c r="S29" s="76">
        <v>27.869052770224794</v>
      </c>
      <c r="T29" s="76">
        <v>27.869052770224794</v>
      </c>
      <c r="U29" s="76">
        <v>27.869052770224794</v>
      </c>
      <c r="V29" s="76">
        <v>27.869052770224794</v>
      </c>
      <c r="W29" s="76">
        <v>27.869052770224794</v>
      </c>
      <c r="X29" s="76">
        <v>27.869052770224794</v>
      </c>
      <c r="Y29" s="76">
        <v>27.869052770224794</v>
      </c>
      <c r="Z29" s="76">
        <v>27.869052770224794</v>
      </c>
      <c r="AA29" s="76">
        <v>27.869052770224794</v>
      </c>
      <c r="AB29" s="76">
        <v>27.869052770224794</v>
      </c>
    </row>
    <row r="30" spans="1:28" s="14" customFormat="1" x14ac:dyDescent="0.25">
      <c r="A30" s="14" t="s">
        <v>351</v>
      </c>
      <c r="B30" s="14" t="s">
        <v>8</v>
      </c>
      <c r="C30" s="77">
        <v>14188.83033029822</v>
      </c>
      <c r="D30" s="77">
        <v>652.013256310871</v>
      </c>
      <c r="E30" s="77">
        <v>721.9531109522079</v>
      </c>
      <c r="F30" s="77">
        <v>717.4742340457011</v>
      </c>
      <c r="G30" s="77">
        <v>712.8431657842535</v>
      </c>
      <c r="H30" s="77">
        <v>708.0522966001176</v>
      </c>
      <c r="I30" s="77">
        <v>703.0936364471596</v>
      </c>
      <c r="J30" s="77">
        <v>697.9587957769378</v>
      </c>
      <c r="K30" s="77">
        <v>692.6389655635893</v>
      </c>
      <c r="L30" s="77">
        <v>687.124896329958</v>
      </c>
      <c r="M30" s="77">
        <v>681.4068761250293</v>
      </c>
      <c r="N30" s="77">
        <v>654.2658219140042</v>
      </c>
      <c r="O30" s="77">
        <v>525.1479365644534</v>
      </c>
      <c r="P30" s="77">
        <v>514.0149699964933</v>
      </c>
      <c r="Q30" s="77">
        <v>503.0012934911499</v>
      </c>
      <c r="R30" s="77">
        <v>491.9757131775891</v>
      </c>
      <c r="S30" s="77">
        <v>480.8553388410209</v>
      </c>
      <c r="T30" s="77">
        <v>475.17305511661215</v>
      </c>
      <c r="U30" s="77">
        <v>469.30478890770223</v>
      </c>
      <c r="V30" s="77">
        <v>463.22346536480046</v>
      </c>
      <c r="W30" s="77">
        <v>456.90776618604747</v>
      </c>
      <c r="X30" s="77">
        <v>450.33957332855505</v>
      </c>
      <c r="Y30" s="77">
        <v>443.5024225517286</v>
      </c>
      <c r="Z30" s="77">
        <v>436.38056222560726</v>
      </c>
      <c r="AA30" s="77">
        <v>428.95837463232965</v>
      </c>
      <c r="AB30" s="77">
        <v>421.2200140642997</v>
      </c>
    </row>
    <row r="31" spans="1:28" x14ac:dyDescent="0.25">
      <c r="A31" t="s">
        <v>209</v>
      </c>
      <c r="B31" t="s">
        <v>8</v>
      </c>
      <c r="C31" s="76">
        <v>6363.158736342843</v>
      </c>
      <c r="D31" s="76">
        <v>579.5900399382047</v>
      </c>
      <c r="E31" s="76">
        <v>557.3929745788691</v>
      </c>
      <c r="F31" s="76">
        <v>535.1959092195336</v>
      </c>
      <c r="G31" s="76">
        <v>512.9988438601981</v>
      </c>
      <c r="H31" s="76">
        <v>490.80177850086267</v>
      </c>
      <c r="I31" s="76">
        <v>468.6047131415272</v>
      </c>
      <c r="J31" s="76">
        <v>446.4076477821917</v>
      </c>
      <c r="K31" s="76">
        <v>424.2105824228562</v>
      </c>
      <c r="L31" s="76">
        <v>402.0135170635207</v>
      </c>
      <c r="M31" s="76">
        <v>379.8164517041852</v>
      </c>
      <c r="N31" s="76">
        <v>357.6193863448497</v>
      </c>
      <c r="O31" s="76">
        <v>335.4223209855142</v>
      </c>
      <c r="P31" s="76">
        <v>313.22525562617875</v>
      </c>
      <c r="Q31" s="76">
        <v>291.02819026684324</v>
      </c>
      <c r="R31" s="76">
        <v>268.83112490750773</v>
      </c>
      <c r="S31" s="76">
        <v>7.673861546209081e-14</v>
      </c>
      <c r="T31" s="76">
        <v>7.673861546209081e-14</v>
      </c>
      <c r="U31" s="76">
        <v>7.673861546209081e-14</v>
      </c>
      <c r="V31" s="76">
        <v>7.673861546209081e-14</v>
      </c>
      <c r="W31" s="76">
        <v>7.673861546209081e-14</v>
      </c>
      <c r="X31" s="76">
        <v>7.673861546209081e-14</v>
      </c>
      <c r="Y31" s="76">
        <v>7.673861546209081e-14</v>
      </c>
      <c r="Z31" s="76">
        <v>7.673861546209081e-14</v>
      </c>
      <c r="AA31" s="76">
        <v>7.673861546209081e-14</v>
      </c>
      <c r="AB31" s="76">
        <v>7.673861546209081e-14</v>
      </c>
    </row>
    <row r="32" spans="1:28" s="14" customFormat="1" x14ac:dyDescent="0.25">
      <c r="A32" s="14" t="s">
        <v>352</v>
      </c>
      <c r="B32" s="14" t="s">
        <v>8</v>
      </c>
      <c r="C32" s="77">
        <v>8451.89289157821</v>
      </c>
      <c r="D32" s="77">
        <v>72.42321637266639</v>
      </c>
      <c r="E32" s="77">
        <v>164.56013637333876</v>
      </c>
      <c r="F32" s="77">
        <v>182.27832482616748</v>
      </c>
      <c r="G32" s="77">
        <v>199.8443219240554</v>
      </c>
      <c r="H32" s="77">
        <v>217.25051809925498</v>
      </c>
      <c r="I32" s="77">
        <v>234.4889233056324</v>
      </c>
      <c r="J32" s="77">
        <v>251.5511479947461</v>
      </c>
      <c r="K32" s="77">
        <v>268.4283831407331</v>
      </c>
      <c r="L32" s="77">
        <v>285.1113792664373</v>
      </c>
      <c r="M32" s="77">
        <v>301.59042442084404</v>
      </c>
      <c r="N32" s="77">
        <v>296.64643556915445</v>
      </c>
      <c r="O32" s="77">
        <v>189.7256155789392</v>
      </c>
      <c r="P32" s="77">
        <v>200.78971437031453</v>
      </c>
      <c r="Q32" s="77">
        <v>211.97310322430667</v>
      </c>
      <c r="R32" s="77">
        <v>223.14458827008139</v>
      </c>
      <c r="S32" s="77">
        <v>480.85533884102085</v>
      </c>
      <c r="T32" s="77">
        <v>475.1730551166121</v>
      </c>
      <c r="U32" s="77">
        <v>469.3047889077022</v>
      </c>
      <c r="V32" s="77">
        <v>463.2234653648004</v>
      </c>
      <c r="W32" s="77">
        <v>456.9077661860474</v>
      </c>
      <c r="X32" s="77">
        <v>450.339573328555</v>
      </c>
      <c r="Y32" s="77">
        <v>443.50242255172856</v>
      </c>
      <c r="Z32" s="77">
        <v>436.3805622256072</v>
      </c>
      <c r="AA32" s="77">
        <v>428.9583746323296</v>
      </c>
      <c r="AB32" s="77">
        <v>1047.441311687135</v>
      </c>
    </row>
    <row r="33" spans="1:28" x14ac:dyDescent="0.25">
      <c r="A33" t="s">
        <v>233</v>
      </c>
      <c r="B33" t="s">
        <v>86</v>
      </c>
      <c r="D33" s="76">
        <v>-1513.081452151298</v>
      </c>
      <c r="E33" s="76">
        <v>-1348.5213157779592</v>
      </c>
      <c r="F33" s="76">
        <v>-1166.2429909517919</v>
      </c>
      <c r="G33" s="76">
        <v>-966.3986690277364</v>
      </c>
      <c r="H33" s="76">
        <v>-749.1481509284815</v>
      </c>
      <c r="I33" s="76">
        <v>-514.6592276228491</v>
      </c>
      <c r="J33" s="76">
        <v>-263.10807962810304</v>
      </c>
      <c r="K33" s="76">
        <v>5.320303512630062</v>
      </c>
      <c r="L33" s="76">
        <v>290.4316827790674</v>
      </c>
      <c r="M33" s="76">
        <v>592.0221071999115</v>
      </c>
      <c r="N33" s="76">
        <v>888.6685427690659</v>
      </c>
      <c r="O33" s="76">
        <v>1078.394158348005</v>
      </c>
      <c r="P33" s="76">
        <v>1279.1838727183194</v>
      </c>
      <c r="Q33" s="76">
        <v>1491.156975942626</v>
      </c>
      <c r="R33" s="76">
        <v>1714.3015642127075</v>
      </c>
      <c r="S33" s="76">
        <v>2195.1569030537285</v>
      </c>
      <c r="T33" s="76">
        <v>2670.3299581703404</v>
      </c>
      <c r="U33" s="76">
        <v>3139.6347470780424</v>
      </c>
      <c r="V33" s="76">
        <v>3602.858212442843</v>
      </c>
      <c r="W33" s="76">
        <v>4059.7659786288905</v>
      </c>
      <c r="X33" s="76">
        <v>4510.105551957446</v>
      </c>
      <c r="Y33" s="76">
        <v>4953.607974509174</v>
      </c>
      <c r="Z33" s="76">
        <v>5389.988536734781</v>
      </c>
      <c r="AA33" s="76">
        <v>5818.94691136711</v>
      </c>
      <c r="AB33" s="76">
        <v>6866.388223054246</v>
      </c>
    </row>
    <row r="34" spans="1:28" x14ac:dyDescent="0.25">
      <c r="A34" t="s">
        <v>353</v>
      </c>
      <c r="B34" t="s">
        <v>8</v>
      </c>
      <c r="C34" s="76">
        <v>13660.429958870167</v>
      </c>
      <c r="D34" s="76">
        <v>652.013256310871</v>
      </c>
      <c r="E34" s="76">
        <v>721.9531109522079</v>
      </c>
      <c r="F34" s="76">
        <v>717.4742340457011</v>
      </c>
      <c r="G34" s="76">
        <v>646.8825095679587</v>
      </c>
      <c r="H34" s="76">
        <v>597.9305274160037</v>
      </c>
      <c r="I34" s="76">
        <v>566.9997771786655</v>
      </c>
      <c r="J34" s="76">
        <v>546.8252649982106</v>
      </c>
      <c r="K34" s="76">
        <v>533.0451695054053</v>
      </c>
      <c r="L34" s="76">
        <v>523.039431571385</v>
      </c>
      <c r="M34" s="76">
        <v>515.2329010961404</v>
      </c>
      <c r="N34" s="76">
        <v>508.67721766584157</v>
      </c>
      <c r="O34" s="76">
        <v>502.7999311606744</v>
      </c>
      <c r="P34" s="76">
        <v>497.25396594365907</v>
      </c>
      <c r="Q34" s="76">
        <v>491.8272907892605</v>
      </c>
      <c r="R34" s="76">
        <v>486.38871182664434</v>
      </c>
      <c r="S34" s="76">
        <v>480.85533884102085</v>
      </c>
      <c r="T34" s="76">
        <v>475.1730551166121</v>
      </c>
      <c r="U34" s="76">
        <v>469.30478890770223</v>
      </c>
      <c r="V34" s="76">
        <v>463.2234653648004</v>
      </c>
      <c r="W34" s="76">
        <v>456.9077661860474</v>
      </c>
      <c r="X34" s="76">
        <v>450.33957332855493</v>
      </c>
      <c r="Y34" s="76">
        <v>443.5024225517286</v>
      </c>
      <c r="Z34" s="76">
        <v>436.3805622256072</v>
      </c>
      <c r="AA34" s="76">
        <v>428.9583746323296</v>
      </c>
      <c r="AB34" s="76">
        <v>1047.441311687136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3699.5108932225826</v>
      </c>
      <c r="E36" s="76">
        <v>3452.8768336744106</v>
      </c>
      <c r="F36" s="76">
        <v>3206.2427741262386</v>
      </c>
      <c r="G36" s="76">
        <v>2959.6087145780666</v>
      </c>
      <c r="H36" s="76">
        <v>2712.9746550298946</v>
      </c>
      <c r="I36" s="76">
        <v>2466.3405954817226</v>
      </c>
      <c r="J36" s="76">
        <v>2219.7065359335506</v>
      </c>
      <c r="K36" s="76">
        <v>1973.0724763853784</v>
      </c>
      <c r="L36" s="76">
        <v>1726.4384168372062</v>
      </c>
      <c r="M36" s="76">
        <v>1479.804357289034</v>
      </c>
      <c r="N36" s="76">
        <v>1233.1702977408618</v>
      </c>
      <c r="O36" s="76">
        <v>986.5362381926896</v>
      </c>
      <c r="P36" s="76">
        <v>739.9021786445173</v>
      </c>
      <c r="Q36" s="76">
        <v>493.2681190963452</v>
      </c>
      <c r="R36" s="76">
        <v>246.634059548173</v>
      </c>
      <c r="S36" s="76">
        <v>8.526512829121202e-13</v>
      </c>
      <c r="T36" s="76">
        <v>8.526512829121202e-13</v>
      </c>
      <c r="U36" s="76">
        <v>8.526512829121202e-13</v>
      </c>
      <c r="V36" s="76">
        <v>8.526512829121202e-13</v>
      </c>
      <c r="W36" s="76">
        <v>8.526512829121202e-13</v>
      </c>
      <c r="X36" s="76">
        <v>8.526512829121202e-13</v>
      </c>
      <c r="Y36" s="76">
        <v>8.526512829121202e-13</v>
      </c>
      <c r="Z36" s="76">
        <v>8.526512829121202e-13</v>
      </c>
      <c r="AA36" s="76">
        <v>8.526512829121202e-13</v>
      </c>
      <c r="AB36" s="76">
        <v>8.526512829121202e-13</v>
      </c>
    </row>
    <row r="37" spans="1:28" x14ac:dyDescent="0.25">
      <c r="A37" t="s">
        <v>206</v>
      </c>
      <c r="B37" t="s">
        <v>8</v>
      </c>
      <c r="C37" s="76">
        <v>2663.6478431202604</v>
      </c>
      <c r="D37" s="76">
        <v>332.95598039003244</v>
      </c>
      <c r="E37" s="76">
        <v>310.7589150306969</v>
      </c>
      <c r="F37" s="76">
        <v>288.5618496713615</v>
      </c>
      <c r="G37" s="76">
        <v>266.36478431202596</v>
      </c>
      <c r="H37" s="76">
        <v>244.1677189526905</v>
      </c>
      <c r="I37" s="76">
        <v>221.97065359335502</v>
      </c>
      <c r="J37" s="76">
        <v>199.77358823401954</v>
      </c>
      <c r="K37" s="76">
        <v>177.57652287468406</v>
      </c>
      <c r="L37" s="76">
        <v>155.37945751534855</v>
      </c>
      <c r="M37" s="76">
        <v>133.18239215601307</v>
      </c>
      <c r="N37" s="76">
        <v>110.98532679667755</v>
      </c>
      <c r="O37" s="76">
        <v>88.78826143734206</v>
      </c>
      <c r="P37" s="76">
        <v>66.59119607800656</v>
      </c>
      <c r="Q37" s="76">
        <v>44.394130718671065</v>
      </c>
      <c r="R37" s="76">
        <v>22.19706535933557</v>
      </c>
      <c r="S37" s="76">
        <v>7.673861546209081e-14</v>
      </c>
      <c r="T37" s="76">
        <v>7.673861546209081e-14</v>
      </c>
      <c r="U37" s="76">
        <v>7.673861546209081e-14</v>
      </c>
      <c r="V37" s="76">
        <v>7.673861546209081e-14</v>
      </c>
      <c r="W37" s="76">
        <v>7.673861546209081e-14</v>
      </c>
      <c r="X37" s="76">
        <v>7.673861546209081e-14</v>
      </c>
      <c r="Y37" s="76">
        <v>7.673861546209081e-14</v>
      </c>
      <c r="Z37" s="76">
        <v>7.673861546209081e-14</v>
      </c>
      <c r="AA37" s="76">
        <v>7.673861546209081e-14</v>
      </c>
      <c r="AB37" s="76">
        <v>7.673861546209081e-14</v>
      </c>
    </row>
    <row r="38" spans="1:28" x14ac:dyDescent="0.25">
      <c r="A38" t="s">
        <v>207</v>
      </c>
      <c r="B38" t="s">
        <v>8</v>
      </c>
      <c r="C38" s="76">
        <v>3699.5108932225817</v>
      </c>
      <c r="D38" s="76">
        <v>246.63405954817216</v>
      </c>
      <c r="E38" s="76">
        <v>246.63405954817216</v>
      </c>
      <c r="F38" s="76">
        <v>246.63405954817216</v>
      </c>
      <c r="G38" s="76">
        <v>246.63405954817216</v>
      </c>
      <c r="H38" s="76">
        <v>246.63405954817216</v>
      </c>
      <c r="I38" s="76">
        <v>246.63405954817216</v>
      </c>
      <c r="J38" s="76">
        <v>246.63405954817216</v>
      </c>
      <c r="K38" s="76">
        <v>246.63405954817216</v>
      </c>
      <c r="L38" s="76">
        <v>246.63405954817216</v>
      </c>
      <c r="M38" s="76">
        <v>246.63405954817216</v>
      </c>
      <c r="N38" s="76">
        <v>246.63405954817216</v>
      </c>
      <c r="O38" s="76">
        <v>246.63405954817216</v>
      </c>
      <c r="P38" s="76">
        <v>246.63405954817216</v>
      </c>
      <c r="Q38" s="76">
        <v>246.63405954817216</v>
      </c>
      <c r="R38" s="76">
        <v>246.63405954817216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3452.8768336744106</v>
      </c>
      <c r="E39" s="76">
        <v>3206.2427741262386</v>
      </c>
      <c r="F39" s="76">
        <v>2959.6087145780666</v>
      </c>
      <c r="G39" s="76">
        <v>2712.9746550298946</v>
      </c>
      <c r="H39" s="76">
        <v>2466.3405954817226</v>
      </c>
      <c r="I39" s="76">
        <v>2219.7065359335506</v>
      </c>
      <c r="J39" s="76">
        <v>1973.0724763853784</v>
      </c>
      <c r="K39" s="76">
        <v>1726.4384168372062</v>
      </c>
      <c r="L39" s="76">
        <v>1479.804357289034</v>
      </c>
      <c r="M39" s="76">
        <v>1233.1702977408618</v>
      </c>
      <c r="N39" s="76">
        <v>986.5362381926896</v>
      </c>
      <c r="O39" s="76">
        <v>739.9021786445173</v>
      </c>
      <c r="P39" s="76">
        <v>493.2681190963452</v>
      </c>
      <c r="Q39" s="76">
        <v>246.634059548173</v>
      </c>
      <c r="R39" s="76">
        <v>8.526512829121202e-13</v>
      </c>
      <c r="S39" s="76">
        <v>8.526512829121202e-13</v>
      </c>
      <c r="T39" s="76">
        <v>8.526512829121202e-13</v>
      </c>
      <c r="U39" s="76">
        <v>8.526512829121202e-13</v>
      </c>
      <c r="V39" s="76">
        <v>8.526512829121202e-13</v>
      </c>
      <c r="W39" s="76">
        <v>8.526512829121202e-13</v>
      </c>
      <c r="X39" s="76">
        <v>8.526512829121202e-13</v>
      </c>
      <c r="Y39" s="76">
        <v>8.526512829121202e-13</v>
      </c>
      <c r="Z39" s="76">
        <v>8.526512829121202e-13</v>
      </c>
      <c r="AA39" s="76">
        <v>8.526512829121202e-13</v>
      </c>
      <c r="AB39" s="76">
        <v>8.526512829121202e-13</v>
      </c>
    </row>
    <row r="40" spans="1:28" x14ac:dyDescent="0.25">
      <c r="A40" t="s">
        <v>229</v>
      </c>
      <c r="B40" t="s">
        <v>88</v>
      </c>
      <c r="D40" s="78">
        <v>1.1249559367521016</v>
      </c>
      <c r="E40" s="78">
        <v>1.2952318092951745</v>
      </c>
      <c r="F40" s="78">
        <v>1.340582432873937</v>
      </c>
      <c r="G40" s="78">
        <v>1.3895609596705383</v>
      </c>
      <c r="H40" s="78">
        <v>1.4426441133991799</v>
      </c>
      <c r="I40" s="78">
        <v>1.5003981324336626</v>
      </c>
      <c r="J40" s="78">
        <v>1.563500982217673</v>
      </c>
      <c r="K40" s="78">
        <v>1.6327715390964994</v>
      </c>
      <c r="L40" s="78">
        <v>1.7092084399276255</v>
      </c>
      <c r="M40" s="78">
        <v>1.7940425515210003</v>
      </c>
      <c r="N40" s="78">
        <v>1.829503228561274</v>
      </c>
      <c r="O40" s="78">
        <v>1.5656320516222677</v>
      </c>
      <c r="P40" s="78">
        <v>1.6410393503196583</v>
      </c>
      <c r="Q40" s="78">
        <v>1.7283593490718163</v>
      </c>
      <c r="R40" s="78">
        <v>1.8300548842581195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86</v>
      </c>
      <c r="C44" s="76">
        <v>-1585.5046685239645</v>
      </c>
      <c r="D44" s="76">
        <v>72.42321637266639</v>
      </c>
      <c r="E44" s="76">
        <v>164.56013637333876</v>
      </c>
      <c r="F44" s="76">
        <v>182.27832482616748</v>
      </c>
      <c r="G44" s="76">
        <v>199.8443219240554</v>
      </c>
      <c r="H44" s="76">
        <v>217.25051809925498</v>
      </c>
      <c r="I44" s="76">
        <v>234.4889233056324</v>
      </c>
      <c r="J44" s="76">
        <v>251.5511479947461</v>
      </c>
      <c r="K44" s="76">
        <v>268.4283831407331</v>
      </c>
      <c r="L44" s="76">
        <v>285.1113792664373</v>
      </c>
      <c r="M44" s="76">
        <v>301.59042442084404</v>
      </c>
      <c r="N44" s="76">
        <v>296.64643556915445</v>
      </c>
      <c r="O44" s="76">
        <v>189.7256155789392</v>
      </c>
      <c r="P44" s="76">
        <v>200.78971437031453</v>
      </c>
      <c r="Q44" s="76">
        <v>211.97310322430667</v>
      </c>
      <c r="R44" s="76">
        <v>223.14458827008139</v>
      </c>
      <c r="S44" s="76">
        <v>480.85533884102085</v>
      </c>
      <c r="T44" s="76">
        <v>475.1730551166121</v>
      </c>
      <c r="U44" s="76">
        <v>469.3047889077022</v>
      </c>
      <c r="V44" s="76">
        <v>463.2234653648004</v>
      </c>
      <c r="W44" s="76">
        <v>456.9077661860474</v>
      </c>
      <c r="X44" s="76">
        <v>450.339573328555</v>
      </c>
      <c r="Y44" s="76">
        <v>443.50242255172856</v>
      </c>
      <c r="Z44" s="76">
        <v>436.3805622256072</v>
      </c>
      <c r="AA44" s="76">
        <v>428.9583746323296</v>
      </c>
      <c r="AB44" s="76">
        <v>1047.441311687135</v>
      </c>
    </row>
    <row r="45" spans="1:28" x14ac:dyDescent="0.25">
      <c r="A45" t="s">
        <v>353</v>
      </c>
      <c r="B45" t="s">
        <v>86</v>
      </c>
      <c r="C45" s="76">
        <v>-5285.015561746547</v>
      </c>
      <c r="D45" s="76">
        <v>652.013256310871</v>
      </c>
      <c r="E45" s="76">
        <v>721.9531109522079</v>
      </c>
      <c r="F45" s="76">
        <v>717.4742340457011</v>
      </c>
      <c r="G45" s="76">
        <v>646.8825095679587</v>
      </c>
      <c r="H45" s="76">
        <v>597.9305274160037</v>
      </c>
      <c r="I45" s="76">
        <v>566.9997771786655</v>
      </c>
      <c r="J45" s="76">
        <v>546.8252649982106</v>
      </c>
      <c r="K45" s="76">
        <v>533.0451695054053</v>
      </c>
      <c r="L45" s="76">
        <v>523.039431571385</v>
      </c>
      <c r="M45" s="76">
        <v>515.2329010961404</v>
      </c>
      <c r="N45" s="76">
        <v>508.67721766584157</v>
      </c>
      <c r="O45" s="76">
        <v>502.7999311606744</v>
      </c>
      <c r="P45" s="76">
        <v>497.25396594365907</v>
      </c>
      <c r="Q45" s="76">
        <v>491.8272907892605</v>
      </c>
      <c r="R45" s="76">
        <v>486.38871182664434</v>
      </c>
      <c r="S45" s="76">
        <v>480.85533884102085</v>
      </c>
      <c r="T45" s="76">
        <v>475.1730551166121</v>
      </c>
      <c r="U45" s="76">
        <v>469.30478890770223</v>
      </c>
      <c r="V45" s="76">
        <v>463.2234653648004</v>
      </c>
      <c r="W45" s="76">
        <v>456.9077661860474</v>
      </c>
      <c r="X45" s="76">
        <v>450.33957332855493</v>
      </c>
      <c r="Y45" s="76">
        <v>443.5024225517286</v>
      </c>
      <c r="Z45" s="76">
        <v>436.3805622256072</v>
      </c>
      <c r="AA45" s="76">
        <v>428.9583746323296</v>
      </c>
      <c r="AB45" s="76">
        <v>1047.441311687136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0.099619277237216</v>
      </c>
      <c r="C47" t="s">
        <v>8</v>
      </c>
    </row>
    <row r="48" spans="1:3" x14ac:dyDescent="0.25">
      <c r="A48" t="s">
        <v>10</v>
      </c>
      <c r="B48" s="8">
        <v>5.968558980384842e-13</v>
      </c>
      <c r="C48" t="s">
        <v>8</v>
      </c>
    </row>
    <row r="49" spans="1:3" x14ac:dyDescent="0.25">
      <c r="A49" t="s">
        <v>11</v>
      </c>
      <c r="B49" s="9">
        <v>1.1249559367521016</v>
      </c>
      <c r="C49" t="s">
        <v>8</v>
      </c>
    </row>
    <row r="50" spans="1:3" x14ac:dyDescent="0.25">
      <c r="A50" t="s">
        <v>12</v>
      </c>
      <c r="B50" s="9">
        <v>1.5591657174013682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2026-10-24T12:45:21Z</dcterms:created>
  <dcterms:modified xsi:type="dcterms:W3CDTF">2026-10-24T12:45:21Z</dcterms:modified>
</cp:coreProperties>
</file>