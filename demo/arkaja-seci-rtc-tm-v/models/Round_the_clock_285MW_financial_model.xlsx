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Inputs" state="visible" r:id="rId6"/>
    <sheet sheetId="4" name="Plant and capex" state="visible" r:id="rId7"/>
    <sheet sheetId="5" name="Revenue and costs (values)" state="visible" r:id="rId8"/>
    <sheet sheetId="6" name="Financial model (values)" state="visible" r:id="rId9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>
        <r>
          <t>Escalates with O&amp;M</t>
        </r>
      </text>
    </comment>
    <comment ref="A69" authorId="0">
      <text>
        <r>
          <t>wdv: written-down value at the WDV rate; slm: the book depreciation</t>
        </r>
      </text>
    </comment>
    <comment ref="A86" authorId="0">
      <text>
        <r>
          <t>The PPA term the optimiser dispatched; one column per year</t>
        </r>
      </text>
    </comment>
    <comment ref="A115" authorId="0">
      <text>
        <r>
          <t>Delivered MU × tariff ₹/kWh ÷ 10 = ₹ crore</t>
        </r>
      </text>
    </comment>
    <comment ref="A121" authorId="0">
      <text>
        <r>
          <t>Size × ₹ lakh ÷ 100 = ₹ crore, escalated</t>
        </r>
      </text>
    </comment>
    <comment ref="A122" authorId="0">
      <text>
        <r>
          <t>Size × ₹ lakh ÷ 100 = ₹ crore, escalated</t>
        </r>
      </text>
    </comment>
    <comment ref="A123" authorId="0">
      <text>
        <r>
          <t>Size × ₹ lakh ÷ 100 = ₹ crore, escalated</t>
        </r>
      </text>
    </comment>
    <comment ref="A131" authorId="0">
      <text>
        <r>
          <t>annual: each year from year 2 replaces the year's fade (MWh × fade × the year's battery price); oneTime: the fade to that year (at most 60%), once</t>
        </r>
      </text>
    </comment>
    <comment ref="A135" authorId="0">
      <text>
        <r>
          <t>Augmentation is depreciated over the years left</t>
        </r>
      </text>
    </comment>
    <comment ref="A157" authorId="0">
      <text>
        <r>
          <t>EBITDA − interest − tax depreciation</t>
        </r>
      </text>
    </comment>
    <comment ref="A166" authorId="0">
      <text>
        <r>
          <t>Revenue × receivable days ÷ 365, held at the year end</t>
        </r>
      </text>
    </comment>
    <comment ref="A168" authorId="0">
      <text>
        <r>
          <t>EBITDA − tax − working capital − battery augmentation</t>
        </r>
      </text>
    </comment>
    <comment ref="A175" authorId="0">
      <text>
        <r>
          <t>The payback year is the first year marked here</t>
        </r>
      </text>
    </comment>
    <comment ref="A176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<sst xmlns="http://schemas.openxmlformats.org/spreadsheetml/2006/main" count="918" uniqueCount="308">
  <si>
    <t>Round the clock supply · financial model</t>
  </si>
  <si>
    <t>285 MW contracted · 2455 MU a year · 25 years</t>
  </si>
  <si>
    <t>Prepared 2026-10-24 by Demo · Round the clock (TenderOS)</t>
  </si>
  <si>
    <t>The key results below are linked to the Live model tab: change an input there (blue cells) and they follow.</t>
  </si>
  <si>
    <t>Key results</t>
  </si>
  <si>
    <t>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</si>
  <si>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</si>
  <si>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</si>
  <si>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</si>
  <si>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</si>
  <si>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</si>
  <si>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</si>
  <si>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</si>
  <si>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</si>
  <si>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</si>
  <si>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₹15.64 cr per contracted MW</t>
  </si>
  <si>
    <t>Debt (₹ cr)</t>
  </si>
  <si>
    <t>Equity (₹ cr)</t>
  </si>
  <si>
    <t>Levelised cost of supply (₹/kWh)</t>
  </si>
  <si>
    <t>at a 10.0% discount rate</t>
  </si>
  <si>
    <t>Year-1 supply (MU)</t>
  </si>
  <si>
    <t>67.0% of demand (target 85.0%)</t>
  </si>
  <si>
    <t>Lowest DFR over the term</t>
  </si>
  <si>
    <t>below the target in some years</t>
  </si>
  <si>
    <t>Revenue over 25 years (₹ cr)</t>
  </si>
  <si>
    <t>Plant</t>
  </si>
  <si>
    <t>Contracted capacity (MW)</t>
  </si>
  <si>
    <t>Annual energy (MU)</t>
  </si>
  <si>
    <t>load factor 98.3%</t>
  </si>
  <si>
    <t>Solar (MW)</t>
  </si>
  <si>
    <t>1833 MU generated at the 33 kV bus in year 1 with wind</t>
  </si>
  <si>
    <t>Wind (MW)</t>
  </si>
  <si>
    <t>Battery power (MW)</t>
  </si>
  <si>
    <t>Battery energy (MWh)</t>
  </si>
  <si>
    <t>4.0 h</t>
  </si>
  <si>
    <t>Key inputs</t>
  </si>
  <si>
    <t>Supply target</t>
  </si>
  <si>
    <t>85.0% of demand, over each year</t>
  </si>
  <si>
    <t>Losses to the 220 kV meter</t>
  </si>
  <si>
    <t>transformer 0.40%, line 0.50%, other 0.00%</t>
  </si>
  <si>
    <t>Capex</t>
  </si>
  <si>
    <t>solar ₹3.5 cr/MW · wind ₹6.5 cr/MW · battery ₹1.2 cr/MWh · pre-operative 5.0%</t>
  </si>
  <si>
    <t>Financing</t>
  </si>
  <si>
    <t>equity IRR 14.0% · debt 70% at 9.00% for 15 years · tax 25.17%</t>
  </si>
  <si>
    <t>Surplus sale</t>
  </si>
  <si>
    <t>none</t>
  </si>
  <si>
    <t>Tender</t>
  </si>
  <si>
    <t>The plant and its energy come from the Round the clock tab: an hourly simulation of every year of the term, with degradation and battery augmentation.</t>
  </si>
  <si>
    <t>The Live model tab rebuilds the financial model as Excel formulas on these inputs and energies.</t>
  </si>
  <si>
    <t>Every number below is a formula on the blue inputs and the simulated energy (green). Change a blue cell: the whole model, the returns and the Cover move with it.</t>
  </si>
  <si>
    <t>Colour key</t>
  </si>
  <si>
    <t>Input</t>
  </si>
  <si>
    <t>Simulation</t>
  </si>
  <si>
    <t>Formula</t>
  </si>
  <si>
    <t>The energy comes from the Round the clock tab's hourly simulation of every year; changing a plant size here moves its cost, not its energy (change it in the tab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</si>
  <si>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</si>
  <si>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</si>
  <si>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</si>
  <si>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</si>
  <si>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</si>
  <si>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</si>
  <si>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</si>
  <si>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</si>
  <si>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</si>
  <si>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</si>
  <si>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</si>
  <si>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</si>
  <si>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</si>
  <si>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</si>
  <si>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</si>
  <si>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</si>
  <si>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</si>
  <si>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</si>
  <si>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</si>
  <si>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</si>
  <si>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</si>
  <si>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</si>
  <si>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</si>
  <si>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</si>
  <si>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</si>
  <si>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supply again after changing an input: Data › What-If Analysis › Goal Seek, set the cell "Equity IRR less the target" to 0 by changing the tariff.</t>
  </si>
  <si>
    <t>Inputs</t>
  </si>
  <si>
    <t>Solved in TenderOS for the target equity IRR</t>
  </si>
  <si>
    <t>Tariff escalation</t>
  </si>
  <si>
    <t>%/yr</t>
  </si>
  <si>
    <t>Round the clock tab</t>
  </si>
  <si>
    <t>Plant (from the Round the clock tab)</t>
  </si>
  <si>
    <t>Solar</t>
  </si>
  <si>
    <t>MW</t>
  </si>
  <si>
    <t>Round the clock plant</t>
  </si>
  <si>
    <t>Wind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</si>
  <si>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</si>
  <si>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</si>
  <si>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</si>
  <si>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</si>
  <si>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</si>
  <si>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</si>
  <si>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</si>
  <si>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</si>
  <si>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</si>
  <si>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</si>
  <si>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</si>
  <si>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</si>
  <si>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</si>
  <si>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Wind O&amp;M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</si>
  <si>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</si>
  <si>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</si>
  <si>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</si>
  <si>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</si>
  <si>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</si>
  <si>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</si>
  <si>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</si>
  <si>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</si>
  <si>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</si>
  <si>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</si>
  <si>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</si>
  <si>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</si>
  <si>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</si>
  <si>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</si>
  <si>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</si>
  <si>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</si>
  <si>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</si>
  <si>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</si>
  <si>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</si>
  <si>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</si>
  <si>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</si>
  <si>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</si>
  <si>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</si>
  <si>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</si>
  <si>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</si>
  <si>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</si>
  <si>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</si>
  <si>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</si>
  <si>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</si>
  <si>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</si>
  <si>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</si>
  <si>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</si>
  <si>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</si>
  <si>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</si>
  <si>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</si>
  <si>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</si>
  <si>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</si>
  <si>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</si>
  <si>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</si>
  <si>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</si>
  <si>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</si>
  <si>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</si>
  <si>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</si>
  <si>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</si>
  <si>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</si>
  <si>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</si>
  <si>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</si>
  <si>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</si>
  <si>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</si>
  <si>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</si>
  <si>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</si>
  <si>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</si>
  <si>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</si>
  <si>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hourly simulation of each year, summed)</t>
  </si>
  <si>
    <t>Contracted energy</t>
  </si>
  <si>
    <t>MU</t>
  </si>
  <si>
    <t>Delivered to the procurer</t>
  </si>
  <si>
    <t>Delivered ÷ contracted</t>
  </si>
  <si>
    <t>Short of the annual floor</t>
  </si>
  <si>
    <t>Sold in the market</t>
  </si>
  <si>
    <t>Generated at the 33 kV bus</t>
  </si>
  <si>
    <t>Injected at the 33 kV bus</t>
  </si>
  <si>
    <t>Power transformer loss</t>
  </si>
  <si>
    <t>Transmission line loss</t>
  </si>
  <si>
    <t>At the 220 kV billing meter</t>
  </si>
  <si>
    <t>Loss from the 33 kV bus to the meter</t>
  </si>
  <si>
    <t>% of injected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</si>
  <si>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</si>
  <si>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</si>
  <si>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</si>
  <si>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</si>
  <si>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</si>
  <si>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</si>
  <si>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</si>
  <si>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</si>
  <si>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</si>
  <si>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</si>
  <si>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</si>
  <si>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</si>
  <si>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</si>
  <si>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</si>
  <si>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</si>
  <si>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</si>
  <si>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</si>
  <si>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</si>
  <si>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</si>
  <si>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</si>
  <si>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</si>
  <si>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</si>
  <si>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</si>
  <si>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</si>
  <si>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</si>
  <si>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</si>
  <si>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</si>
  <si>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</si>
  <si>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</si>
  <si>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</si>
  <si>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</si>
  <si>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</si>
  <si>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</si>
  <si>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</si>
  <si>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</si>
  <si>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</si>
  <si>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</si>
  <si>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</si>
  <si>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</si>
  <si>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</si>
  <si>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</si>
  <si>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</si>
  <si>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</si>
  <si>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</si>
  <si>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</si>
  <si>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</si>
  <si>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</si>
  <si>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</si>
  <si>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</si>
  <si>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</si>
  <si>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</si>
  <si>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</si>
  <si>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</si>
  <si>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</si>
  <si>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</si>
  <si>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</si>
  <si>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</si>
  <si>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</si>
  <si>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</si>
  <si>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</si>
  <si>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</si>
  <si>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</si>
  <si>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</si>
  <si>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Group</t>
  </si>
  <si>
    <t>Value</t>
  </si>
  <si>
    <t>Source</t>
  </si>
  <si>
    <t>Demand</t>
  </si>
  <si>
    <t>Annual energy</t>
  </si>
  <si>
    <t>Contracted capacity</t>
  </si>
  <si>
    <t>Supply target (DFR)</t>
  </si>
  <si>
    <t>Target basis</t>
  </si>
  <si>
    <t>Design check</t>
  </si>
  <si>
    <t>lifetime</t>
  </si>
  <si>
    <t>Demand growth</t>
  </si>
  <si>
    <t>Losses</t>
  </si>
  <si>
    <t>Other losses before the 33 kV bus</t>
  </si>
  <si>
    <t>Power transformer 33/220 kV</t>
  </si>
  <si>
    <t>220 kV line to the GSS</t>
  </si>
  <si>
    <t>Battery</t>
  </si>
  <si>
    <t>Round-trip efficiency at the 33 kV bus</t>
  </si>
  <si>
    <t>Capacity fade</t>
  </si>
  <si>
    <t>Evacuation</t>
  </si>
  <si>
    <t>Operation and finance</t>
  </si>
  <si>
    <t>Solar degradation</t>
  </si>
  <si>
    <t>Wind degradation</t>
  </si>
  <si>
    <t>Surplus sale price</t>
  </si>
  <si>
    <t>Discount rate</t>
  </si>
  <si>
    <t>Sell surplus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</si>
  <si>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</si>
  <si>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</si>
  <si>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</si>
  <si>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</si>
  <si>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</si>
  <si>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</si>
  <si>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</si>
  <si>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</si>
  <si>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</si>
  <si>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</si>
  <si>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</si>
  <si>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</si>
  <si>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</si>
  <si>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</si>
  <si>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</si>
  <si>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</si>
  <si>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</si>
  <si>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</si>
  <si>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</si>
  <si>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</si>
  <si>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</si>
  <si>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</si>
  <si>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</si>
  <si>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</si>
  <si>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</si>
  <si>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</si>
  <si>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</si>
  <si>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</si>
  <si>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</si>
  <si>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</si>
  <si>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</si>
  <si>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</si>
  <si>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</si>
  <si>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Delivered to the customer</t>
  </si>
  <si>
    <t>DFR (delivered ÷ demand)</t>
  </si>
  <si>
    <t>Surplus sold</t>
  </si>
  <si>
    <t>Curtailed</t>
  </si>
  <si>
    <t>Shortfall vs target</t>
  </si>
  <si>
    <t>Energy revenue</t>
  </si>
  <si>
    <t>Surplus sale revenue</t>
  </si>
  <si>
    <t>O&amp;M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</si>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</sst>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18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170" fontId="0" fillId="0" borderId="0" xfId="0" applyNumberFormat="1"/>
    <xf numFmtId="10" fontId="0" fillId="0" borderId="0" xfId="0" applyNumberForma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43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4.188873213329757</v>
      </c>
      <c r="C10" t="s">
        <v>6</v>
      </c>
    </row>
    <row r="11" spans="1:3" x14ac:dyDescent="0.25">
      <c r="A11" t="s">
        <v>7</v>
      </c>
      <c r="B11" s="7">
        <f>'Live model'!$C$10</f>
        <v>0.14000000051571984</v>
      </c>
      <c r="C11" t="s">
        <v>8</v>
      </c>
    </row>
    <row r="12" spans="1:3" x14ac:dyDescent="0.25">
      <c r="A12" t="s">
        <v>9</v>
      </c>
      <c r="B12" s="7">
        <f>'Live model'!$C$12</f>
        <v>0.09977134985500014</v>
      </c>
      <c r="C12" t="s">
        <v>8</v>
      </c>
    </row>
    <row r="13" spans="1:3" x14ac:dyDescent="0.25">
      <c r="A13" t="s">
        <v>10</v>
      </c>
      <c r="B13" s="8">
        <f>'Live model'!$C$13</f>
        <v>0.000002561825425573261</v>
      </c>
      <c r="C13" t="s">
        <v>8</v>
      </c>
    </row>
    <row r="14" spans="1:3" x14ac:dyDescent="0.25">
      <c r="A14" t="s">
        <v>11</v>
      </c>
      <c r="B14" s="9">
        <f>'Live model'!$C$15</f>
        <v>1.1034482724108146</v>
      </c>
      <c r="C14" t="s">
        <v>8</v>
      </c>
    </row>
    <row r="15" spans="1:3" x14ac:dyDescent="0.25">
      <c r="A15" t="s">
        <v>12</v>
      </c>
      <c r="B15" s="9">
        <f>'Live model'!$C$16</f>
        <v>1.564952853051266</v>
      </c>
      <c r="C15" t="s">
        <v>8</v>
      </c>
    </row>
    <row r="16" spans="1:3" x14ac:dyDescent="0.25">
      <c r="A16" t="s">
        <v>13</v>
      </c>
      <c r="B16" s="10">
        <f>'Live model'!$C$19</f>
        <v>9</v>
      </c>
      <c r="C16" t="s">
        <v>8</v>
      </c>
    </row>
    <row r="17" spans="1:3" x14ac:dyDescent="0.25">
      <c r="A17" t="s">
        <v>14</v>
      </c>
      <c r="B17" s="8">
        <f>'Live model'!$C$20</f>
        <v>4457.25</v>
      </c>
      <c r="C17" t="s">
        <v>15</v>
      </c>
    </row>
    <row r="18" spans="1:3" x14ac:dyDescent="0.25">
      <c r="A18" t="s">
        <v>16</v>
      </c>
      <c r="B18" s="8">
        <f>'Live model'!$C$21</f>
        <v>3120.075</v>
      </c>
      <c r="C18" t="s">
        <v>8</v>
      </c>
    </row>
    <row r="19" spans="1:3" x14ac:dyDescent="0.25">
      <c r="A19" t="s">
        <v>17</v>
      </c>
      <c r="B19" s="8">
        <f>'Live model'!$C$22</f>
        <v>1337.1750000000002</v>
      </c>
      <c r="C19" t="s">
        <v>8</v>
      </c>
    </row>
    <row r="20" spans="1:3" x14ac:dyDescent="0.25">
      <c r="A20" t="s">
        <v>18</v>
      </c>
      <c r="B20" s="6">
        <f>'Live model'!$C$17</f>
        <v>3.635085637527643</v>
      </c>
      <c r="C20" t="s">
        <v>19</v>
      </c>
    </row>
    <row r="21" spans="1:3" x14ac:dyDescent="0.25">
      <c r="A21" t="s">
        <v>20</v>
      </c>
      <c r="B21" s="11">
        <v>1645.5381417461842</v>
      </c>
      <c r="C21" t="s">
        <v>21</v>
      </c>
    </row>
    <row r="22" spans="1:3" x14ac:dyDescent="0.25">
      <c r="A22" t="s">
        <v>22</v>
      </c>
      <c r="B22" s="7">
        <v>0.6507164084212358</v>
      </c>
      <c r="C22" t="s">
        <v>23</v>
      </c>
    </row>
    <row r="23" spans="1:3" x14ac:dyDescent="0.25">
      <c r="A23" t="s">
        <v>24</v>
      </c>
      <c r="B23" s="8">
        <f>'Live model'!$C$23</f>
        <v>16991.469492670403</v>
      </c>
      <c r="C23" t="s">
        <v>8</v>
      </c>
    </row>
    <row r="25" spans="1:1" s="5" customFormat="1" x14ac:dyDescent="0.25">
      <c r="A25" s="5" t="s">
        <v>25</v>
      </c>
    </row>
    <row r="26" spans="1:3" x14ac:dyDescent="0.25">
      <c r="A26" t="s">
        <v>26</v>
      </c>
      <c r="B26" s="11">
        <v>285</v>
      </c>
      <c r="C26" t="s">
        <v>8</v>
      </c>
    </row>
    <row r="27" spans="1:3" x14ac:dyDescent="0.25">
      <c r="A27" t="s">
        <v>27</v>
      </c>
      <c r="B27" s="11">
        <v>2455</v>
      </c>
      <c r="C27" t="s">
        <v>28</v>
      </c>
    </row>
    <row r="28" spans="1:3" x14ac:dyDescent="0.25">
      <c r="A28" t="s">
        <v>29</v>
      </c>
      <c r="B28" s="11">
        <v>450</v>
      </c>
      <c r="C28" t="s">
        <v>30</v>
      </c>
    </row>
    <row r="29" spans="1:3" x14ac:dyDescent="0.25">
      <c r="A29" t="s">
        <v>31</v>
      </c>
      <c r="B29" s="11">
        <v>300</v>
      </c>
      <c r="C29" t="s">
        <v>8</v>
      </c>
    </row>
    <row r="30" spans="1:3" x14ac:dyDescent="0.25">
      <c r="A30" t="s">
        <v>32</v>
      </c>
      <c r="B30" s="11">
        <v>150</v>
      </c>
      <c r="C30" t="s">
        <v>8</v>
      </c>
    </row>
    <row r="31" spans="1:3" x14ac:dyDescent="0.25">
      <c r="A31" t="s">
        <v>33</v>
      </c>
      <c r="B31" s="11">
        <v>600</v>
      </c>
      <c r="C31" t="s">
        <v>34</v>
      </c>
    </row>
    <row r="33" spans="1:1" s="5" customFormat="1" x14ac:dyDescent="0.25">
      <c r="A33" s="5" t="s">
        <v>35</v>
      </c>
    </row>
    <row r="34" spans="1:3" x14ac:dyDescent="0.25">
      <c r="A34" t="s">
        <v>36</v>
      </c>
      <c r="B34" s="12" t="s">
        <v>37</v>
      </c>
      <c r="C34" t="s">
        <v>8</v>
      </c>
    </row>
    <row r="35" spans="1:3" x14ac:dyDescent="0.25">
      <c r="A35" t="s">
        <v>38</v>
      </c>
      <c r="B35" s="12" t="s">
        <v>39</v>
      </c>
      <c r="C35" t="s">
        <v>8</v>
      </c>
    </row>
    <row r="36" spans="1:3" x14ac:dyDescent="0.25">
      <c r="A36" t="s">
        <v>40</v>
      </c>
      <c r="B36" s="12" t="s">
        <v>41</v>
      </c>
      <c r="C36" t="s">
        <v>8</v>
      </c>
    </row>
    <row r="37" spans="1:3" x14ac:dyDescent="0.25">
      <c r="A37" t="s">
        <v>42</v>
      </c>
      <c r="B37" s="12" t="s">
        <v>43</v>
      </c>
      <c r="C37" t="s">
        <v>8</v>
      </c>
    </row>
    <row r="38" spans="1:3" x14ac:dyDescent="0.25">
      <c r="A38" t="s">
        <v>44</v>
      </c>
      <c r="B38" s="12" t="s">
        <v>45</v>
      </c>
      <c r="C38" t="s">
        <v>8</v>
      </c>
    </row>
    <row r="40" spans="1:1" s="5" customFormat="1" x14ac:dyDescent="0.25">
      <c r="A40" s="5" t="s">
        <v>46</v>
      </c>
    </row>
    <row r="42" spans="1:1" s="13" customFormat="1" x14ac:dyDescent="0.25">
      <c r="A42" s="13" t="s">
        <v>47</v>
      </c>
    </row>
    <row r="43" spans="1:1" s="13" customFormat="1" x14ac:dyDescent="0.25">
      <c r="A43" s="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202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49</v>
      </c>
    </row>
    <row r="3" spans="1:4" x14ac:dyDescent="0.25">
      <c r="A3" s="14" t="s">
        <v>50</v>
      </c>
      <c r="B3" s="15" t="s">
        <v>51</v>
      </c>
      <c r="C3" s="16" t="s">
        <v>52</v>
      </c>
      <c r="D3" s="17" t="s">
        <v>53</v>
      </c>
    </row>
    <row r="4" spans="1:1" x14ac:dyDescent="0.25">
      <c r="A4" s="3" t="s">
        <v>54</v>
      </c>
    </row>
    <row r="5" spans="1:29" x14ac:dyDescent="0.25">
      <c r="A5" s="18" t="s">
        <v>55</v>
      </c>
      <c r="B5" s="18" t="s">
        <v>56</v>
      </c>
      <c r="C5" s="19" t="s">
        <v>57</v>
      </c>
      <c r="D5" s="19" t="s">
        <v>58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59</v>
      </c>
      <c r="D8" s="24" t="s">
        <v>60</v>
      </c>
      <c r="E8" s="24" t="s">
        <v>61</v>
      </c>
      <c r="F8" s="24" t="s">
        <v>62</v>
      </c>
    </row>
    <row r="9" spans="1:6" x14ac:dyDescent="0.25">
      <c r="A9" s="25" t="s">
        <v>63</v>
      </c>
      <c r="B9" s="26" t="s">
        <v>64</v>
      </c>
      <c r="C9" s="27">
        <f>$C$29</f>
        <v>4.188873213329757</v>
      </c>
      <c r="D9" s="28">
        <v>4.188873213329757</v>
      </c>
      <c r="E9" s="29">
        <f>IF(ISNUMBER(C9),C9-D9,"")</f>
        <v>0</v>
      </c>
      <c r="F9" s="12" t="str">
        <f>IF(ISNUMBER(E9),IF(ABS(E9)&lt;=0.000004188873213329757,"Yes","Changed"),"")</f>
        <v>Yes</v>
      </c>
    </row>
    <row r="10" spans="1:6" x14ac:dyDescent="0.25">
      <c r="A10" s="25" t="s">
        <v>7</v>
      </c>
      <c r="B10" s="26" t="s">
        <v>65</v>
      </c>
      <c r="C10" s="30">
        <f>IFERROR(IRR(D173:AC173),"n/a")</f>
        <v>0.14000000022612877</v>
      </c>
      <c r="D10" s="31">
        <v>0.14000000051571984</v>
      </c>
      <c r="E10" s="32">
        <f>IF(ISNUMBER(C10),C10-D10,"")</f>
        <v>-2.895910733435869e-10</v>
      </c>
      <c r="F10" s="12" t="str">
        <f>IF(ISNUMBER(E10),IF(ABS(E10)&lt;=0.00001,"Yes","Changed"),"")</f>
        <v>Yes</v>
      </c>
    </row>
    <row r="11" spans="1:6" x14ac:dyDescent="0.25">
      <c r="A11" s="33" t="s">
        <v>66</v>
      </c>
      <c r="B11" s="26" t="s">
        <v>65</v>
      </c>
      <c r="C11" s="34">
        <f>IFERROR($C$10-$C$65,"n/a")</f>
        <v>2.2612875461014426e-10</v>
      </c>
      <c r="D11" s="31">
        <v>5.157198279537312e-10</v>
      </c>
      <c r="E11" s="32">
        <f>IF(ISNUMBER(C11),C11-D11,"")</f>
        <v>-2.895910733435869e-10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65</v>
      </c>
      <c r="C12" s="34">
        <f>IFERROR(IRR(D177:AC177),"n/a")</f>
        <v>0.09977134991473005</v>
      </c>
      <c r="D12" s="31">
        <v>0.09977134985500014</v>
      </c>
      <c r="E12" s="32">
        <f>IF(ISNUMBER(C12),C12-D12,"")</f>
        <v>5.972991545810657e-11</v>
      </c>
      <c r="F12" s="12" t="str">
        <f>IF(ISNUMBER(E12),IF(ABS(E12)&lt;=0.00001,"Yes","Changed"),"")</f>
        <v>Yes</v>
      </c>
    </row>
    <row r="13" spans="1:6" x14ac:dyDescent="0.25">
      <c r="A13" s="33" t="s">
        <v>67</v>
      </c>
      <c r="B13" s="26" t="s">
        <v>68</v>
      </c>
      <c r="C13" s="35">
        <f>D173+NPV($C$65,E173:AC173)</f>
        <v>0.0000025618252834647137</v>
      </c>
      <c r="D13" s="36">
        <v>0.000002561825425573261</v>
      </c>
      <c r="E13" s="37">
        <f>IF(ISNUMBER(C13),C13-D13,"")</f>
        <v>-1.4210854715202004e-13</v>
      </c>
      <c r="F13" s="12" t="str">
        <f>IF(ISNUMBER(E13),IF(ABS(E13)&lt;=0.000001,"Yes","Changed"),"")</f>
        <v>Yes</v>
      </c>
    </row>
    <row r="14" spans="1:6" x14ac:dyDescent="0.25">
      <c r="A14" s="33" t="s">
        <v>69</v>
      </c>
      <c r="B14" s="26" t="s">
        <v>68</v>
      </c>
      <c r="C14" s="35">
        <f>D177+NPV($C$66,E177:AC177)</f>
        <v>-7.217546308805552</v>
      </c>
      <c r="D14" s="36">
        <v>-7.217546308804657</v>
      </c>
      <c r="E14" s="37">
        <f>IF(ISNUMBER(C14),C14-D14,"")</f>
        <v>-8.952838470577262e-13</v>
      </c>
      <c r="F14" s="12" t="str">
        <f>IF(ISNUMBER(E14),IF(ABS(E14)&lt;=0.0000072175463088046565,"Yes","Changed"),"")</f>
        <v>Yes</v>
      </c>
    </row>
    <row r="15" spans="1:6" x14ac:dyDescent="0.25">
      <c r="A15" s="33" t="s">
        <v>11</v>
      </c>
      <c r="B15" s="26" t="s">
        <v>70</v>
      </c>
      <c r="C15" s="38">
        <f>IF(COUNT(E170:AC170)=0,"",MIN(E170:AC170))</f>
        <v>1.1034482724108146</v>
      </c>
      <c r="D15" s="39">
        <v>1.1034482724108146</v>
      </c>
      <c r="E15" s="40">
        <f>IF(ISNUMBER(C15),C15-D15,"")</f>
        <v>0</v>
      </c>
      <c r="F15" s="12" t="str">
        <f>IF(ISNUMBER(E15),IF(ABS(E15)&lt;=0.0000011034482724108144,"Yes","Changed"),"")</f>
        <v>Yes</v>
      </c>
    </row>
    <row r="16" spans="1:6" x14ac:dyDescent="0.25">
      <c r="A16" s="33" t="s">
        <v>12</v>
      </c>
      <c r="B16" s="26" t="s">
        <v>70</v>
      </c>
      <c r="C16" s="38">
        <f>IF(COUNT(E170:AC170)=0,"",AVERAGE(E170:AC170))</f>
        <v>1.564952853051266</v>
      </c>
      <c r="D16" s="39">
        <v>1.564952853051266</v>
      </c>
      <c r="E16" s="40">
        <f>IF(ISNUMBER(C16),C16-D16,"")</f>
        <v>0</v>
      </c>
      <c r="F16" s="12" t="str">
        <f>IF(ISNUMBER(E16),IF(ABS(E16)&lt;=0.0000015649528530512658,"Yes","Changed"),"")</f>
        <v>Yes</v>
      </c>
    </row>
    <row r="17" spans="1:6" x14ac:dyDescent="0.25">
      <c r="A17" s="33" t="s">
        <v>71</v>
      </c>
      <c r="B17" s="26" t="s">
        <v>64</v>
      </c>
      <c r="C17" s="41">
        <f>IF(C182&gt;0,($C$83+C181)*10/C182,"")</f>
        <v>3.635085637527644</v>
      </c>
      <c r="D17" s="28">
        <v>3.635085637527643</v>
      </c>
      <c r="E17" s="29">
        <f>IF(ISNUMBER(C17),C17-D17,"")</f>
        <v>1.3322676295501878e-15</v>
      </c>
      <c r="F17" s="12" t="str">
        <f>IF(ISNUMBER(E17),IF(ABS(E17)&lt;=0.0000036350856375276427,"Yes","Changed"),"")</f>
        <v>Yes</v>
      </c>
    </row>
    <row r="18" spans="1:6" x14ac:dyDescent="0.25">
      <c r="A18" s="33" t="s">
        <v>72</v>
      </c>
      <c r="B18" s="26" t="s">
        <v>64</v>
      </c>
      <c r="C18" s="41">
        <f>IF(C182&gt;0,C183*10/C182,"")</f>
        <v>4.188873213329757</v>
      </c>
      <c r="D18" s="28">
        <v>4.188873213329756</v>
      </c>
      <c r="E18" s="29">
        <f>IF(ISNUMBER(C18),C18-D18,"")</f>
        <v>8.881784197001252e-16</v>
      </c>
      <c r="F18" s="12" t="str">
        <f>IF(ISNUMBER(E18),IF(ABS(E18)&lt;=0.000004188873213329756,"Yes","Changed"),"")</f>
        <v>Yes</v>
      </c>
    </row>
    <row r="19" spans="1:6" x14ac:dyDescent="0.25">
      <c r="A19" s="33" t="s">
        <v>73</v>
      </c>
      <c r="B19" s="26" t="s">
        <v>74</v>
      </c>
      <c r="C19" s="42">
        <f>IF(COUNT(E175:AC175)=0,"beyond the term",MIN(E175:AC175))</f>
        <v>9</v>
      </c>
      <c r="D19" s="43">
        <v>9</v>
      </c>
      <c r="E19" s="44">
        <f>IF(ISNUMBER(C19),C19-D19,"")</f>
        <v>0</v>
      </c>
      <c r="F19" s="12" t="str">
        <f>IF(ISNUMBER(E19),IF(ABS(E19)&lt;=0.000009,"Yes","Changed"),"")</f>
        <v>Yes</v>
      </c>
    </row>
    <row r="20" spans="1:6" x14ac:dyDescent="0.25">
      <c r="A20" s="33" t="s">
        <v>75</v>
      </c>
      <c r="B20" s="26" t="s">
        <v>68</v>
      </c>
      <c r="C20" s="35">
        <f>$C$83</f>
        <v>4457.25</v>
      </c>
      <c r="D20" s="36">
        <v>4457.25</v>
      </c>
      <c r="E20" s="37">
        <f>IF(ISNUMBER(C20),C20-D20,"")</f>
        <v>0</v>
      </c>
      <c r="F20" s="12" t="str">
        <f>IF(ISNUMBER(E20),IF(ABS(E20)&lt;=0.004457249999999999,"Yes","Changed"),"")</f>
        <v>Yes</v>
      </c>
    </row>
    <row r="21" spans="1:6" x14ac:dyDescent="0.25">
      <c r="A21" s="33" t="s">
        <v>76</v>
      </c>
      <c r="B21" s="26" t="s">
        <v>68</v>
      </c>
      <c r="C21" s="35">
        <f>$C$84</f>
        <v>3120.075</v>
      </c>
      <c r="D21" s="36">
        <v>3120.075</v>
      </c>
      <c r="E21" s="37">
        <f>IF(ISNUMBER(C21),C21-D21,"")</f>
        <v>0</v>
      </c>
      <c r="F21" s="12" t="str">
        <f>IF(ISNUMBER(E21),IF(ABS(E21)&lt;=0.0031200749999999995,"Yes","Changed"),"")</f>
        <v>Yes</v>
      </c>
    </row>
    <row r="22" spans="1:6" x14ac:dyDescent="0.25">
      <c r="A22" s="33" t="s">
        <v>77</v>
      </c>
      <c r="B22" s="26" t="s">
        <v>68</v>
      </c>
      <c r="C22" s="35">
        <f>$C$85</f>
        <v>1337.1750000000002</v>
      </c>
      <c r="D22" s="36">
        <v>1337.1750000000002</v>
      </c>
      <c r="E22" s="37">
        <f>IF(ISNUMBER(C22),C22-D22,"")</f>
        <v>0</v>
      </c>
      <c r="F22" s="12" t="str">
        <f>IF(ISNUMBER(E22),IF(ABS(E22)&lt;=0.0013371750000000001,"Yes","Changed"),"")</f>
        <v>Yes</v>
      </c>
    </row>
    <row r="23" spans="1:6" x14ac:dyDescent="0.25">
      <c r="A23" s="33" t="s">
        <v>78</v>
      </c>
      <c r="B23" s="26" t="s">
        <v>68</v>
      </c>
      <c r="C23" s="35">
        <f>C118</f>
        <v>16991.469492670403</v>
      </c>
      <c r="D23" s="36">
        <v>16991.469492670403</v>
      </c>
      <c r="E23" s="37">
        <f>IF(ISNUMBER(C23),C23-D23,"")</f>
        <v>0</v>
      </c>
      <c r="F23" s="12" t="str">
        <f>IF(ISNUMBER(E23),IF(ABS(E23)&lt;=0.016991469492670403,"Yes","Changed"),"")</f>
        <v>Yes</v>
      </c>
    </row>
    <row r="24" spans="1:6" x14ac:dyDescent="0.25">
      <c r="A24" s="33" t="s">
        <v>79</v>
      </c>
      <c r="C24" s="45" t="str">
        <f>IF(AND($C$197="OK",$C$198="OK",$C$199="OK",$C$200="OK"),"OK","CHECK")</f>
        <v>OK</v>
      </c>
      <c r="F24" s="12" t="str">
        <f>IF(C24="OK","OK","CHECK")</f>
        <v>OK</v>
      </c>
    </row>
    <row r="25" spans="1:1" x14ac:dyDescent="0.25">
      <c r="A25" s="13" t="s">
        <v>80</v>
      </c>
    </row>
    <row r="27" ht="20" customHeight="1" spans="1:29" x14ac:dyDescent="0.25">
      <c r="A27" s="21" t="s">
        <v>81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63</v>
      </c>
      <c r="B28" s="47"/>
      <c r="C28" s="47"/>
      <c r="D28" s="47"/>
    </row>
    <row r="29" spans="1:4" x14ac:dyDescent="0.25">
      <c r="A29" s="33" t="s">
        <v>63</v>
      </c>
      <c r="B29" s="26" t="s">
        <v>64</v>
      </c>
      <c r="C29" s="48">
        <v>4.188873213329757</v>
      </c>
      <c r="D29" s="3" t="s">
        <v>82</v>
      </c>
    </row>
    <row r="30" spans="1:4" x14ac:dyDescent="0.25">
      <c r="A30" s="33" t="s">
        <v>83</v>
      </c>
      <c r="B30" s="26" t="s">
        <v>84</v>
      </c>
      <c r="C30" s="49">
        <v>0</v>
      </c>
      <c r="D30" s="3" t="s">
        <v>85</v>
      </c>
    </row>
    <row r="31" spans="1:4" x14ac:dyDescent="0.25">
      <c r="A31" s="46" t="s">
        <v>86</v>
      </c>
      <c r="B31" s="47"/>
      <c r="C31" s="47"/>
      <c r="D31" s="47"/>
    </row>
    <row r="32" spans="1:4" x14ac:dyDescent="0.25">
      <c r="A32" s="33" t="s">
        <v>87</v>
      </c>
      <c r="B32" s="26" t="s">
        <v>88</v>
      </c>
      <c r="C32" s="50">
        <v>450</v>
      </c>
      <c r="D32" s="3" t="s">
        <v>89</v>
      </c>
    </row>
    <row r="33" spans="1:4" x14ac:dyDescent="0.25">
      <c r="A33" s="33" t="s">
        <v>90</v>
      </c>
      <c r="B33" s="26" t="s">
        <v>88</v>
      </c>
      <c r="C33" s="50">
        <v>300</v>
      </c>
      <c r="D33" s="3" t="s">
        <v>89</v>
      </c>
    </row>
    <row r="34" spans="1:4" x14ac:dyDescent="0.25">
      <c r="A34" s="33" t="s">
        <v>91</v>
      </c>
      <c r="B34" s="26" t="s">
        <v>88</v>
      </c>
      <c r="C34" s="50">
        <v>150</v>
      </c>
      <c r="D34" s="3" t="s">
        <v>89</v>
      </c>
    </row>
    <row r="35" spans="1:4" x14ac:dyDescent="0.25">
      <c r="A35" s="33" t="s">
        <v>92</v>
      </c>
      <c r="B35" s="26" t="s">
        <v>93</v>
      </c>
      <c r="C35" s="50">
        <v>600</v>
      </c>
      <c r="D35" s="3" t="s">
        <v>89</v>
      </c>
    </row>
    <row r="36" spans="1:4" x14ac:dyDescent="0.25">
      <c r="A36" s="46" t="s">
        <v>94</v>
      </c>
      <c r="B36" s="47"/>
      <c r="C36" s="47"/>
      <c r="D36" s="47"/>
    </row>
    <row r="37" spans="1:4" x14ac:dyDescent="0.25">
      <c r="A37" s="33" t="s">
        <v>87</v>
      </c>
      <c r="B37" s="26" t="s">
        <v>95</v>
      </c>
      <c r="C37" s="51">
        <v>3.5</v>
      </c>
      <c r="D37" s="3" t="s">
        <v>85</v>
      </c>
    </row>
    <row r="38" spans="1:4" x14ac:dyDescent="0.25">
      <c r="A38" s="33" t="s">
        <v>90</v>
      </c>
      <c r="B38" s="26" t="s">
        <v>95</v>
      </c>
      <c r="C38" s="51">
        <v>6.5</v>
      </c>
      <c r="D38" s="3" t="s">
        <v>85</v>
      </c>
    </row>
    <row r="39" spans="1:4" x14ac:dyDescent="0.25">
      <c r="A39" s="33" t="s">
        <v>92</v>
      </c>
      <c r="B39" s="26" t="s">
        <v>96</v>
      </c>
      <c r="C39" s="51">
        <v>1.2</v>
      </c>
      <c r="D39" s="3" t="s">
        <v>85</v>
      </c>
    </row>
    <row r="40" spans="1:4" x14ac:dyDescent="0.25">
      <c r="A40" s="33" t="s">
        <v>97</v>
      </c>
      <c r="B40" s="26" t="s">
        <v>95</v>
      </c>
      <c r="C40" s="51">
        <v>0</v>
      </c>
      <c r="D40" s="3" t="s">
        <v>85</v>
      </c>
    </row>
    <row r="41" spans="1:4" x14ac:dyDescent="0.25">
      <c r="A41" s="33" t="s">
        <v>98</v>
      </c>
      <c r="B41" s="26" t="s">
        <v>68</v>
      </c>
      <c r="C41" s="52">
        <v>0</v>
      </c>
      <c r="D41" s="3" t="s">
        <v>85</v>
      </c>
    </row>
    <row r="42" spans="1:4" x14ac:dyDescent="0.25">
      <c r="A42" s="33" t="s">
        <v>99</v>
      </c>
      <c r="B42" s="26" t="s">
        <v>100</v>
      </c>
      <c r="C42" s="49">
        <v>0.05</v>
      </c>
      <c r="D42" s="3" t="s">
        <v>85</v>
      </c>
    </row>
    <row r="43" spans="1:4" x14ac:dyDescent="0.25">
      <c r="A43" s="46" t="s">
        <v>101</v>
      </c>
      <c r="B43" s="47"/>
      <c r="C43" s="47"/>
      <c r="D43" s="47"/>
    </row>
    <row r="44" spans="1:4" x14ac:dyDescent="0.25">
      <c r="A44" s="33" t="s">
        <v>102</v>
      </c>
      <c r="B44" s="26" t="s">
        <v>103</v>
      </c>
      <c r="C44" s="51">
        <v>4</v>
      </c>
      <c r="D44" s="3" t="s">
        <v>85</v>
      </c>
    </row>
    <row r="45" spans="1:4" x14ac:dyDescent="0.25">
      <c r="A45" s="33" t="s">
        <v>104</v>
      </c>
      <c r="B45" s="26" t="s">
        <v>103</v>
      </c>
      <c r="C45" s="51">
        <v>9</v>
      </c>
      <c r="D45" s="3" t="s">
        <v>85</v>
      </c>
    </row>
    <row r="46" spans="1:4" x14ac:dyDescent="0.25">
      <c r="A46" s="33" t="s">
        <v>105</v>
      </c>
      <c r="B46" s="26" t="s">
        <v>106</v>
      </c>
      <c r="C46" s="51">
        <v>1.2</v>
      </c>
      <c r="D46" s="3" t="s">
        <v>85</v>
      </c>
    </row>
    <row r="47" spans="1:4" x14ac:dyDescent="0.25">
      <c r="A47" s="33" t="s">
        <v>107</v>
      </c>
      <c r="B47" s="26" t="s">
        <v>84</v>
      </c>
      <c r="C47" s="49">
        <v>0.05</v>
      </c>
      <c r="D47" s="3" t="s">
        <v>85</v>
      </c>
    </row>
    <row r="48" spans="1:4" x14ac:dyDescent="0.25">
      <c r="A48" s="33" t="s">
        <v>108</v>
      </c>
      <c r="B48" s="26" t="s">
        <v>109</v>
      </c>
      <c r="C48" s="49">
        <v>0.003</v>
      </c>
      <c r="D48" s="3" t="s">
        <v>85</v>
      </c>
    </row>
    <row r="49" spans="1:4" x14ac:dyDescent="0.25">
      <c r="A49" s="33" t="s">
        <v>110</v>
      </c>
      <c r="B49" s="26" t="s">
        <v>111</v>
      </c>
      <c r="C49" s="52">
        <v>0</v>
      </c>
      <c r="D49" s="3" t="s">
        <v>85</v>
      </c>
    </row>
    <row r="50" spans="1:4" x14ac:dyDescent="0.25">
      <c r="A50" s="46" t="s">
        <v>112</v>
      </c>
      <c r="B50" s="47"/>
      <c r="C50" s="47"/>
      <c r="D50" s="47"/>
    </row>
    <row r="51" spans="1:4" x14ac:dyDescent="0.25">
      <c r="A51" s="33" t="s">
        <v>113</v>
      </c>
      <c r="B51" s="26" t="s">
        <v>114</v>
      </c>
      <c r="C51" s="53" t="s">
        <v>115</v>
      </c>
      <c r="D51" s="3" t="s">
        <v>85</v>
      </c>
    </row>
    <row r="52" spans="1:4" x14ac:dyDescent="0.25">
      <c r="A52" s="33" t="s">
        <v>116</v>
      </c>
      <c r="B52" s="26" t="s">
        <v>64</v>
      </c>
      <c r="C52" s="48">
        <v>2.5</v>
      </c>
      <c r="D52" s="3" t="s">
        <v>117</v>
      </c>
    </row>
    <row r="53" spans="1:4" x14ac:dyDescent="0.25">
      <c r="A53" s="33" t="s">
        <v>118</v>
      </c>
      <c r="B53" s="26" t="s">
        <v>119</v>
      </c>
      <c r="C53" s="49">
        <v>0.85</v>
      </c>
      <c r="D53" s="3" t="s">
        <v>85</v>
      </c>
    </row>
    <row r="54" spans="1:4" x14ac:dyDescent="0.25">
      <c r="A54" s="33" t="s">
        <v>120</v>
      </c>
      <c r="B54" s="26" t="s">
        <v>121</v>
      </c>
      <c r="C54" s="48">
        <v>0</v>
      </c>
      <c r="D54" s="3" t="s">
        <v>85</v>
      </c>
    </row>
    <row r="55" spans="1:4" x14ac:dyDescent="0.25">
      <c r="A55" s="46" t="s">
        <v>122</v>
      </c>
      <c r="B55" s="47"/>
      <c r="C55" s="47"/>
      <c r="D55" s="47"/>
    </row>
    <row r="56" spans="1:4" x14ac:dyDescent="0.25">
      <c r="A56" s="33" t="s">
        <v>123</v>
      </c>
      <c r="B56" s="26" t="s">
        <v>124</v>
      </c>
      <c r="C56" s="53" t="s">
        <v>125</v>
      </c>
      <c r="D56" s="3" t="s">
        <v>85</v>
      </c>
    </row>
    <row r="57" spans="1:4" x14ac:dyDescent="0.25">
      <c r="A57" s="33" t="s">
        <v>126</v>
      </c>
      <c r="B57" s="26" t="s">
        <v>84</v>
      </c>
      <c r="C57" s="49">
        <v>0.02</v>
      </c>
      <c r="D57" s="3" t="s">
        <v>85</v>
      </c>
    </row>
    <row r="58" spans="1:4" x14ac:dyDescent="0.25">
      <c r="A58" s="33" t="s">
        <v>127</v>
      </c>
      <c r="B58" s="26" t="s">
        <v>74</v>
      </c>
      <c r="C58" s="54">
        <v>12</v>
      </c>
      <c r="D58" s="3" t="s">
        <v>85</v>
      </c>
    </row>
    <row r="59" spans="1:4" x14ac:dyDescent="0.25">
      <c r="A59" s="33" t="s">
        <v>128</v>
      </c>
      <c r="B59" s="26" t="s">
        <v>84</v>
      </c>
      <c r="C59" s="49">
        <v>0.03</v>
      </c>
      <c r="D59" s="3" t="s">
        <v>85</v>
      </c>
    </row>
    <row r="60" spans="1:4" x14ac:dyDescent="0.25">
      <c r="A60" s="46" t="s">
        <v>42</v>
      </c>
      <c r="B60" s="47"/>
      <c r="C60" s="47"/>
      <c r="D60" s="47"/>
    </row>
    <row r="61" spans="1:4" x14ac:dyDescent="0.25">
      <c r="A61" s="33" t="s">
        <v>129</v>
      </c>
      <c r="B61" s="26" t="s">
        <v>130</v>
      </c>
      <c r="C61" s="49">
        <v>0.7</v>
      </c>
      <c r="D61" s="3" t="s">
        <v>85</v>
      </c>
    </row>
    <row r="62" spans="1:4" x14ac:dyDescent="0.25">
      <c r="A62" s="33" t="s">
        <v>131</v>
      </c>
      <c r="B62" s="26" t="s">
        <v>84</v>
      </c>
      <c r="C62" s="49">
        <v>0.09</v>
      </c>
      <c r="D62" s="3" t="s">
        <v>85</v>
      </c>
    </row>
    <row r="63" spans="1:4" x14ac:dyDescent="0.25">
      <c r="A63" s="33" t="s">
        <v>132</v>
      </c>
      <c r="B63" s="26" t="s">
        <v>133</v>
      </c>
      <c r="C63" s="54">
        <v>15</v>
      </c>
      <c r="D63" s="3" t="s">
        <v>85</v>
      </c>
    </row>
    <row r="64" spans="1:4" x14ac:dyDescent="0.25">
      <c r="A64" s="33" t="s">
        <v>134</v>
      </c>
      <c r="B64" s="26" t="s">
        <v>135</v>
      </c>
      <c r="C64" s="53" t="s">
        <v>136</v>
      </c>
      <c r="D64" s="3" t="s">
        <v>85</v>
      </c>
    </row>
    <row r="65" spans="1:4" x14ac:dyDescent="0.25">
      <c r="A65" s="33" t="s">
        <v>137</v>
      </c>
      <c r="B65" s="26" t="s">
        <v>65</v>
      </c>
      <c r="C65" s="49">
        <v>0.14</v>
      </c>
      <c r="D65" s="3" t="s">
        <v>85</v>
      </c>
    </row>
    <row r="66" spans="1:4" x14ac:dyDescent="0.25">
      <c r="A66" s="33" t="s">
        <v>138</v>
      </c>
      <c r="B66" s="26" t="s">
        <v>65</v>
      </c>
      <c r="C66" s="49">
        <v>0.1</v>
      </c>
      <c r="D66" s="3" t="s">
        <v>85</v>
      </c>
    </row>
    <row r="67" spans="1:4" x14ac:dyDescent="0.25">
      <c r="A67" s="46" t="s">
        <v>139</v>
      </c>
      <c r="B67" s="47"/>
      <c r="C67" s="47"/>
      <c r="D67" s="47"/>
    </row>
    <row r="68" spans="1:4" x14ac:dyDescent="0.25">
      <c r="A68" s="33" t="s">
        <v>140</v>
      </c>
      <c r="B68" s="26" t="s">
        <v>65</v>
      </c>
      <c r="C68" s="49">
        <v>0.2517</v>
      </c>
      <c r="D68" s="3" t="s">
        <v>85</v>
      </c>
    </row>
    <row r="69" spans="1:4" x14ac:dyDescent="0.25">
      <c r="A69" s="33" t="s">
        <v>141</v>
      </c>
      <c r="B69" s="26" t="s">
        <v>142</v>
      </c>
      <c r="C69" s="53" t="s">
        <v>143</v>
      </c>
      <c r="D69" s="3" t="s">
        <v>85</v>
      </c>
    </row>
    <row r="70" spans="1:4" x14ac:dyDescent="0.25">
      <c r="A70" s="33" t="s">
        <v>144</v>
      </c>
      <c r="B70" s="26" t="s">
        <v>84</v>
      </c>
      <c r="C70" s="49">
        <v>0.4</v>
      </c>
      <c r="D70" s="3" t="s">
        <v>85</v>
      </c>
    </row>
    <row r="71" spans="1:4" x14ac:dyDescent="0.25">
      <c r="A71" s="33" t="s">
        <v>145</v>
      </c>
      <c r="B71" s="26" t="s">
        <v>133</v>
      </c>
      <c r="C71" s="54">
        <v>25</v>
      </c>
      <c r="D71" s="3" t="s">
        <v>85</v>
      </c>
    </row>
    <row r="72" spans="1:4" x14ac:dyDescent="0.25">
      <c r="A72" s="33" t="s">
        <v>146</v>
      </c>
      <c r="B72" s="26" t="s">
        <v>130</v>
      </c>
      <c r="C72" s="49">
        <v>0.1</v>
      </c>
      <c r="D72" s="3" t="s">
        <v>85</v>
      </c>
    </row>
    <row r="73" spans="1:4" x14ac:dyDescent="0.25">
      <c r="A73" s="33" t="s">
        <v>147</v>
      </c>
      <c r="B73" s="26" t="s">
        <v>148</v>
      </c>
      <c r="C73" s="54">
        <v>45</v>
      </c>
      <c r="D73" s="3" t="s">
        <v>85</v>
      </c>
    </row>
    <row r="75" ht="20" customHeight="1" spans="1:29" x14ac:dyDescent="0.25">
      <c r="A75" s="21" t="s">
        <v>149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3" x14ac:dyDescent="0.25">
      <c r="A76" s="33" t="s">
        <v>87</v>
      </c>
      <c r="B76" s="26" t="s">
        <v>68</v>
      </c>
      <c r="C76" s="37">
        <f>$C$32*$C$37</f>
        <v>1575</v>
      </c>
    </row>
    <row r="77" spans="1:3" x14ac:dyDescent="0.25">
      <c r="A77" s="33" t="s">
        <v>90</v>
      </c>
      <c r="B77" s="26" t="s">
        <v>68</v>
      </c>
      <c r="C77" s="37">
        <f>$C$33*$C$38</f>
        <v>1950</v>
      </c>
    </row>
    <row r="78" spans="1:3" x14ac:dyDescent="0.25">
      <c r="A78" s="33" t="s">
        <v>92</v>
      </c>
      <c r="B78" s="26" t="s">
        <v>68</v>
      </c>
      <c r="C78" s="37">
        <f>$C$35*$C$39</f>
        <v>720</v>
      </c>
    </row>
    <row r="79" spans="1:3" x14ac:dyDescent="0.25">
      <c r="A79" s="33" t="s">
        <v>97</v>
      </c>
      <c r="B79" s="26" t="s">
        <v>68</v>
      </c>
      <c r="C79" s="37">
        <f>$C$34*$C$40</f>
        <v>0</v>
      </c>
    </row>
    <row r="80" spans="1:3" x14ac:dyDescent="0.25">
      <c r="A80" s="33" t="s">
        <v>98</v>
      </c>
      <c r="B80" s="26" t="s">
        <v>68</v>
      </c>
      <c r="C80" s="37">
        <f>$C$41</f>
        <v>0</v>
      </c>
    </row>
    <row r="81" spans="1:3" x14ac:dyDescent="0.25">
      <c r="A81" s="25" t="s">
        <v>150</v>
      </c>
      <c r="B81" s="26" t="s">
        <v>68</v>
      </c>
      <c r="C81" s="55">
        <f>SUM($C$76:$C$80)</f>
        <v>4245</v>
      </c>
    </row>
    <row r="82" spans="1:3" x14ac:dyDescent="0.25">
      <c r="A82" s="33" t="s">
        <v>99</v>
      </c>
      <c r="B82" s="26" t="s">
        <v>68</v>
      </c>
      <c r="C82" s="37">
        <f>$C$81*$C$42</f>
        <v>212.25</v>
      </c>
    </row>
    <row r="83" spans="1:3" x14ac:dyDescent="0.25">
      <c r="A83" s="25" t="s">
        <v>151</v>
      </c>
      <c r="B83" s="26" t="s">
        <v>68</v>
      </c>
      <c r="C83" s="55">
        <f>$C$81+$C$82</f>
        <v>4457.25</v>
      </c>
    </row>
    <row r="84" spans="1:3" x14ac:dyDescent="0.25">
      <c r="A84" s="33" t="s">
        <v>76</v>
      </c>
      <c r="B84" s="26" t="s">
        <v>68</v>
      </c>
      <c r="C84" s="37">
        <f>$C$83*$C$61</f>
        <v>3120.075</v>
      </c>
    </row>
    <row r="85" spans="1:3" x14ac:dyDescent="0.25">
      <c r="A85" s="33" t="s">
        <v>77</v>
      </c>
      <c r="B85" s="26" t="s">
        <v>68</v>
      </c>
      <c r="C85" s="37">
        <f>$C$83-$C$84</f>
        <v>1337.1750000000002</v>
      </c>
    </row>
    <row r="86" spans="1:3" x14ac:dyDescent="0.25">
      <c r="A86" s="33" t="s">
        <v>152</v>
      </c>
      <c r="B86" s="26" t="s">
        <v>133</v>
      </c>
      <c r="C86" s="44">
        <f>COUNT(E5:AC5)</f>
        <v>25</v>
      </c>
    </row>
    <row r="87" spans="1:3" x14ac:dyDescent="0.25">
      <c r="A87" s="33" t="s">
        <v>153</v>
      </c>
      <c r="B87" s="26" t="s">
        <v>133</v>
      </c>
      <c r="C87" s="44">
        <f>MIN($C$86,MAX(1,ROUND($C$63,0)))</f>
        <v>15</v>
      </c>
    </row>
    <row r="88" spans="1:3" x14ac:dyDescent="0.25">
      <c r="A88" s="33" t="s">
        <v>154</v>
      </c>
      <c r="B88" s="26" t="s">
        <v>111</v>
      </c>
      <c r="C88" s="37">
        <f>IF($C$62&lt;=0,$C$84/$C$87,$C$84*$C$62*(1+$C$62)^$C$87/((1+$C$62)^$C$87-1))</f>
        <v>387.07301828516603</v>
      </c>
    </row>
    <row r="89" spans="1:3" x14ac:dyDescent="0.25">
      <c r="A89" s="33" t="s">
        <v>155</v>
      </c>
      <c r="B89" s="26" t="s">
        <v>111</v>
      </c>
      <c r="C89" s="37">
        <f>$C$84/$C$87</f>
        <v>208.005</v>
      </c>
    </row>
    <row r="90" spans="1:3" x14ac:dyDescent="0.25">
      <c r="A90" s="33" t="s">
        <v>156</v>
      </c>
      <c r="B90" s="26" t="s">
        <v>68</v>
      </c>
      <c r="C90" s="37">
        <f>$C$83*(1-$C$72)</f>
        <v>4011.525</v>
      </c>
    </row>
    <row r="91" spans="1:3" x14ac:dyDescent="0.25">
      <c r="A91" s="33" t="s">
        <v>157</v>
      </c>
      <c r="B91" s="26" t="s">
        <v>111</v>
      </c>
      <c r="C91" s="37">
        <f>$C$90/$C$71</f>
        <v>160.461</v>
      </c>
    </row>
    <row r="93" ht="20" customHeight="1" spans="1:29" x14ac:dyDescent="0.25">
      <c r="A93" s="21" t="s">
        <v>158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x14ac:dyDescent="0.25">
      <c r="A94" s="33" t="s">
        <v>159</v>
      </c>
      <c r="B94" s="26" t="s">
        <v>160</v>
      </c>
      <c r="C94" s="56">
        <f>SUM(E94:AC94)</f>
        <v>61374.99999999941</v>
      </c>
      <c r="E94" s="50">
        <v>2454.999999999975</v>
      </c>
      <c r="F94" s="50">
        <v>2454.999999999975</v>
      </c>
      <c r="G94" s="50">
        <v>2454.999999999975</v>
      </c>
      <c r="H94" s="50">
        <v>2454.999999999975</v>
      </c>
      <c r="I94" s="50">
        <v>2454.999999999975</v>
      </c>
      <c r="J94" s="50">
        <v>2454.999999999975</v>
      </c>
      <c r="K94" s="50">
        <v>2454.999999999975</v>
      </c>
      <c r="L94" s="50">
        <v>2454.999999999975</v>
      </c>
      <c r="M94" s="50">
        <v>2454.999999999975</v>
      </c>
      <c r="N94" s="50">
        <v>2454.999999999975</v>
      </c>
      <c r="O94" s="50">
        <v>2454.999999999975</v>
      </c>
      <c r="P94" s="50">
        <v>2454.999999999975</v>
      </c>
      <c r="Q94" s="50">
        <v>2454.999999999975</v>
      </c>
      <c r="R94" s="50">
        <v>2454.999999999975</v>
      </c>
      <c r="S94" s="50">
        <v>2454.999999999975</v>
      </c>
      <c r="T94" s="50">
        <v>2454.999999999975</v>
      </c>
      <c r="U94" s="50">
        <v>2454.999999999975</v>
      </c>
      <c r="V94" s="50">
        <v>2454.999999999975</v>
      </c>
      <c r="W94" s="50">
        <v>2454.999999999975</v>
      </c>
      <c r="X94" s="50">
        <v>2454.999999999975</v>
      </c>
      <c r="Y94" s="50">
        <v>2454.999999999975</v>
      </c>
      <c r="Z94" s="50">
        <v>2454.999999999975</v>
      </c>
      <c r="AA94" s="50">
        <v>2454.999999999975</v>
      </c>
      <c r="AB94" s="50">
        <v>2454.999999999975</v>
      </c>
      <c r="AC94" s="50">
        <v>2454.999999999975</v>
      </c>
    </row>
    <row r="95" spans="1:29" x14ac:dyDescent="0.25">
      <c r="A95" s="33" t="s">
        <v>161</v>
      </c>
      <c r="B95" s="26" t="s">
        <v>160</v>
      </c>
      <c r="C95" s="56">
        <f>SUM(E95:AC95)</f>
        <v>40563.34156546074</v>
      </c>
      <c r="E95" s="50">
        <v>1645.5381417461842</v>
      </c>
      <c r="F95" s="50">
        <v>1643.8428982382638</v>
      </c>
      <c r="G95" s="50">
        <v>1642.088681555905</v>
      </c>
      <c r="H95" s="50">
        <v>1640.2872018065561</v>
      </c>
      <c r="I95" s="50">
        <v>1638.465878361412</v>
      </c>
      <c r="J95" s="50">
        <v>1636.623872807638</v>
      </c>
      <c r="K95" s="50">
        <v>1634.7603004591151</v>
      </c>
      <c r="L95" s="50">
        <v>1632.8781590277183</v>
      </c>
      <c r="M95" s="50">
        <v>1630.9713209358401</v>
      </c>
      <c r="N95" s="50">
        <v>1629.0635438716808</v>
      </c>
      <c r="O95" s="50">
        <v>1627.122173151443</v>
      </c>
      <c r="P95" s="50">
        <v>1625.1417992467075</v>
      </c>
      <c r="Q95" s="50">
        <v>1623.1426589576104</v>
      </c>
      <c r="R95" s="50">
        <v>1621.1340926333687</v>
      </c>
      <c r="S95" s="50">
        <v>1619.0871270734833</v>
      </c>
      <c r="T95" s="50">
        <v>1616.9964239655887</v>
      </c>
      <c r="U95" s="50">
        <v>1614.874118171322</v>
      </c>
      <c r="V95" s="50">
        <v>1612.7402522184398</v>
      </c>
      <c r="W95" s="50">
        <v>1610.6135159572718</v>
      </c>
      <c r="X95" s="50">
        <v>1608.4628433090531</v>
      </c>
      <c r="Y95" s="50">
        <v>1606.2889503857782</v>
      </c>
      <c r="Z95" s="50">
        <v>1604.0980559914103</v>
      </c>
      <c r="AA95" s="50">
        <v>1601.9020418017803</v>
      </c>
      <c r="AB95" s="50">
        <v>1599.7087311130556</v>
      </c>
      <c r="AC95" s="50">
        <v>1597.5087826741176</v>
      </c>
    </row>
    <row r="96" spans="1:29" x14ac:dyDescent="0.25">
      <c r="A96" s="33" t="s">
        <v>162</v>
      </c>
      <c r="B96" s="26" t="s">
        <v>65</v>
      </c>
      <c r="E96" s="32">
        <f>IF(E94&gt;0,E95/E94,1)</f>
        <v>0.6702803021369454</v>
      </c>
      <c r="F96" s="32">
        <f>IF(F94&gt;0,F95/F94,1)</f>
        <v>0.6695897752498088</v>
      </c>
      <c r="G96" s="32">
        <f>IF(G94&gt;0,G95/G94,1)</f>
        <v>0.6688752267030231</v>
      </c>
      <c r="H96" s="32">
        <f>IF(H94&gt;0,H95/H94,1)</f>
        <v>0.6681414263977894</v>
      </c>
      <c r="I96" s="32">
        <f>IF(I94&gt;0,I95/I94,1)</f>
        <v>0.6673995431207449</v>
      </c>
      <c r="J96" s="32">
        <f>IF(J94&gt;0,J95/J94,1)</f>
        <v>0.6666492353595335</v>
      </c>
      <c r="K96" s="32">
        <f>IF(K94&gt;0,K95/K94,1)</f>
        <v>0.6658901427532105</v>
      </c>
      <c r="L96" s="32">
        <f>IF(L94&gt;0,L95/L94,1)</f>
        <v>0.6651234863656762</v>
      </c>
      <c r="M96" s="32">
        <f>IF(M94&gt;0,M95/M94,1)</f>
        <v>0.6643467702386382</v>
      </c>
      <c r="N96" s="32">
        <f>IF(N94&gt;0,N95/N94,1)</f>
        <v>0.6635696716381659</v>
      </c>
      <c r="O96" s="32">
        <f>IF(O94&gt;0,O95/O94,1)</f>
        <v>0.6627788892673969</v>
      </c>
      <c r="P96" s="32">
        <f>IF(P94&gt;0,P95/P94,1)</f>
        <v>0.6619722196524335</v>
      </c>
      <c r="Q96" s="32">
        <f>IF(Q94&gt;0,Q95/Q94,1)</f>
        <v>0.6611579058890538</v>
      </c>
      <c r="R96" s="32">
        <f>IF(R94&gt;0,R95/R94,1)</f>
        <v>0.6603397526001569</v>
      </c>
      <c r="S96" s="32">
        <f>IF(S94&gt;0,S95/S94,1)</f>
        <v>0.6595059580747453</v>
      </c>
      <c r="T96" s="32">
        <f>IF(T94&gt;0,T95/T94,1)</f>
        <v>0.658654347847497</v>
      </c>
      <c r="U96" s="32">
        <f>IF(U94&gt;0,U95/U94,1)</f>
        <v>0.6577898648355757</v>
      </c>
      <c r="V96" s="32">
        <f>IF(V94&gt;0,V95/V94,1)</f>
        <v>0.6569206730014078</v>
      </c>
      <c r="W96" s="32">
        <f>IF(W94&gt;0,W95/W94,1)</f>
        <v>0.656054385318651</v>
      </c>
      <c r="X96" s="32">
        <f>IF(X94&gt;0,X95/X94,1)</f>
        <v>0.6551783475800691</v>
      </c>
      <c r="Y96" s="32">
        <f>IF(Y94&gt;0,Y95/Y94,1)</f>
        <v>0.6542928514809754</v>
      </c>
      <c r="Z96" s="32">
        <f>IF(Z94&gt;0,Z95/Z94,1)</f>
        <v>0.653400430139074</v>
      </c>
      <c r="AA96" s="32">
        <f>IF(AA94&gt;0,AA95/AA94,1)</f>
        <v>0.652505923340854</v>
      </c>
      <c r="AB96" s="32">
        <f>IF(AB94&gt;0,AB95/AB94,1)</f>
        <v>0.6516125177649987</v>
      </c>
      <c r="AC96" s="32">
        <f>IF(AC94&gt;0,AC95/AC94,1)</f>
        <v>0.6507164084212358</v>
      </c>
    </row>
    <row r="97" spans="1:29" x14ac:dyDescent="0.25">
      <c r="A97" s="33" t="s">
        <v>163</v>
      </c>
      <c r="B97" s="26" t="s">
        <v>160</v>
      </c>
      <c r="C97" s="56">
        <f>SUM(E97:AC97)</f>
        <v>11605.408434538724</v>
      </c>
      <c r="E97" s="57">
        <f>MAX(0,$C$53*E94-E95)</f>
        <v>441.2118582537944</v>
      </c>
      <c r="F97" s="57">
        <f>MAX(0,$C$53*F94-F95)</f>
        <v>442.9071017617148</v>
      </c>
      <c r="G97" s="57">
        <f>MAX(0,$C$53*G94-G95)</f>
        <v>444.6613184440737</v>
      </c>
      <c r="H97" s="57">
        <f>MAX(0,$C$53*H94-H95)</f>
        <v>446.4627981934225</v>
      </c>
      <c r="I97" s="57">
        <f>MAX(0,$C$53*I94-I95)</f>
        <v>448.2841216385666</v>
      </c>
      <c r="J97" s="57">
        <f>MAX(0,$C$53*J94-J95)</f>
        <v>450.1261271923406</v>
      </c>
      <c r="K97" s="57">
        <f>MAX(0,$C$53*K94-K95)</f>
        <v>451.9896995408635</v>
      </c>
      <c r="L97" s="57">
        <f>MAX(0,$C$53*L94-L95)</f>
        <v>453.8718409722603</v>
      </c>
      <c r="M97" s="57">
        <f>MAX(0,$C$53*M94-M95)</f>
        <v>455.7786790641385</v>
      </c>
      <c r="N97" s="57">
        <f>MAX(0,$C$53*N94-N95)</f>
        <v>457.6864561282978</v>
      </c>
      <c r="O97" s="57">
        <f>MAX(0,$C$53*O94-O95)</f>
        <v>459.62782684853573</v>
      </c>
      <c r="P97" s="57">
        <f>MAX(0,$C$53*P94-P95)</f>
        <v>461.60820075327115</v>
      </c>
      <c r="Q97" s="57">
        <f>MAX(0,$C$53*Q94-Q95)</f>
        <v>463.60734104236826</v>
      </c>
      <c r="R97" s="57">
        <f>MAX(0,$C$53*R94-R95)</f>
        <v>465.6159073666099</v>
      </c>
      <c r="S97" s="57">
        <f>MAX(0,$C$53*S94-S95)</f>
        <v>467.6628729264953</v>
      </c>
      <c r="T97" s="57">
        <f>MAX(0,$C$53*T94-T95)</f>
        <v>469.7535760343899</v>
      </c>
      <c r="U97" s="57">
        <f>MAX(0,$C$53*U94-U95)</f>
        <v>471.8758818286567</v>
      </c>
      <c r="V97" s="57">
        <f>MAX(0,$C$53*V94-V95)</f>
        <v>474.00974778153886</v>
      </c>
      <c r="W97" s="57">
        <f>MAX(0,$C$53*W94-W95)</f>
        <v>476.1364840427068</v>
      </c>
      <c r="X97" s="57">
        <f>MAX(0,$C$53*X94-X95)</f>
        <v>478.2871566909255</v>
      </c>
      <c r="Y97" s="57">
        <f>MAX(0,$C$53*Y94-Y95)</f>
        <v>480.4610496142004</v>
      </c>
      <c r="Z97" s="57">
        <f>MAX(0,$C$53*Z94-Z95)</f>
        <v>482.6519440085683</v>
      </c>
      <c r="AA97" s="57">
        <f>MAX(0,$C$53*AA94-AA95)</f>
        <v>484.8479581981983</v>
      </c>
      <c r="AB97" s="57">
        <f>MAX(0,$C$53*AB94-AB95)</f>
        <v>487.04126888692304</v>
      </c>
      <c r="AC97" s="57">
        <f>MAX(0,$C$53*AC94-AC95)</f>
        <v>489.24121732586104</v>
      </c>
    </row>
    <row r="98" spans="1:29" x14ac:dyDescent="0.25">
      <c r="A98" s="33" t="s">
        <v>164</v>
      </c>
      <c r="B98" s="26" t="s">
        <v>160</v>
      </c>
      <c r="C98" s="56">
        <f>SUM(E98:AC98)</f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0</v>
      </c>
      <c r="V98" s="50">
        <v>0</v>
      </c>
      <c r="W98" s="50">
        <v>0</v>
      </c>
      <c r="X98" s="50">
        <v>0</v>
      </c>
      <c r="Y98" s="50">
        <v>0</v>
      </c>
      <c r="Z98" s="50">
        <v>0</v>
      </c>
      <c r="AA98" s="50">
        <v>0</v>
      </c>
      <c r="AB98" s="50">
        <v>0</v>
      </c>
      <c r="AC98" s="50">
        <v>0</v>
      </c>
    </row>
    <row r="99" spans="1:29" x14ac:dyDescent="0.25">
      <c r="A99" s="33" t="s">
        <v>116</v>
      </c>
      <c r="B99" s="26" t="s">
        <v>64</v>
      </c>
      <c r="E99" s="29">
        <f>$C$52</f>
        <v>2.5</v>
      </c>
      <c r="F99" s="29">
        <f>$C$52</f>
        <v>2.5</v>
      </c>
      <c r="G99" s="29">
        <f>$C$52</f>
        <v>2.5</v>
      </c>
      <c r="H99" s="29">
        <f>$C$52</f>
        <v>2.5</v>
      </c>
      <c r="I99" s="29">
        <f>$C$52</f>
        <v>2.5</v>
      </c>
      <c r="J99" s="29">
        <f>$C$52</f>
        <v>2.5</v>
      </c>
      <c r="K99" s="29">
        <f>$C$52</f>
        <v>2.5</v>
      </c>
      <c r="L99" s="29">
        <f>$C$52</f>
        <v>2.5</v>
      </c>
      <c r="M99" s="29">
        <f>$C$52</f>
        <v>2.5</v>
      </c>
      <c r="N99" s="29">
        <f>$C$52</f>
        <v>2.5</v>
      </c>
      <c r="O99" s="29">
        <f>$C$52</f>
        <v>2.5</v>
      </c>
      <c r="P99" s="29">
        <f>$C$52</f>
        <v>2.5</v>
      </c>
      <c r="Q99" s="29">
        <f>$C$52</f>
        <v>2.5</v>
      </c>
      <c r="R99" s="29">
        <f>$C$52</f>
        <v>2.5</v>
      </c>
      <c r="S99" s="29">
        <f>$C$52</f>
        <v>2.5</v>
      </c>
      <c r="T99" s="29">
        <f>$C$52</f>
        <v>2.5</v>
      </c>
      <c r="U99" s="29">
        <f>$C$52</f>
        <v>2.5</v>
      </c>
      <c r="V99" s="29">
        <f>$C$52</f>
        <v>2.5</v>
      </c>
      <c r="W99" s="29">
        <f>$C$52</f>
        <v>2.5</v>
      </c>
      <c r="X99" s="29">
        <f>$C$52</f>
        <v>2.5</v>
      </c>
      <c r="Y99" s="29">
        <f>$C$52</f>
        <v>2.5</v>
      </c>
      <c r="Z99" s="29">
        <f>$C$52</f>
        <v>2.5</v>
      </c>
      <c r="AA99" s="29">
        <f>$C$52</f>
        <v>2.5</v>
      </c>
      <c r="AB99" s="29">
        <f>$C$52</f>
        <v>2.5</v>
      </c>
      <c r="AC99" s="29">
        <f>$C$52</f>
        <v>2.5</v>
      </c>
    </row>
    <row r="100" spans="1:29" x14ac:dyDescent="0.25">
      <c r="A100" s="33" t="s">
        <v>165</v>
      </c>
      <c r="B100" s="26" t="s">
        <v>160</v>
      </c>
      <c r="C100" s="56">
        <f>SUM(E100:AC100)</f>
        <v>44431.10231249522</v>
      </c>
      <c r="E100" s="50">
        <v>1833.0299999999916</v>
      </c>
      <c r="F100" s="50">
        <v>1828.2010499999874</v>
      </c>
      <c r="G100" s="50">
        <v>1823.3962447499898</v>
      </c>
      <c r="H100" s="50">
        <v>1818.615463526242</v>
      </c>
      <c r="I100" s="50">
        <v>1813.85858620861</v>
      </c>
      <c r="J100" s="50">
        <v>1809.1254932775664</v>
      </c>
      <c r="K100" s="50">
        <v>1804.4160658111796</v>
      </c>
      <c r="L100" s="50">
        <v>1799.7301854821244</v>
      </c>
      <c r="M100" s="50">
        <v>1795.0677345547126</v>
      </c>
      <c r="N100" s="50">
        <v>1790.4285958819382</v>
      </c>
      <c r="O100" s="50">
        <v>1785.812652902531</v>
      </c>
      <c r="P100" s="50">
        <v>1781.219789638016</v>
      </c>
      <c r="Q100" s="50">
        <v>1776.649890689828</v>
      </c>
      <c r="R100" s="50">
        <v>1772.1028412363776</v>
      </c>
      <c r="S100" s="50">
        <v>1767.5785270301951</v>
      </c>
      <c r="T100" s="50">
        <v>1763.0768343950444</v>
      </c>
      <c r="U100" s="50">
        <v>1758.5976502230683</v>
      </c>
      <c r="V100" s="50">
        <v>1754.1408619719537</v>
      </c>
      <c r="W100" s="50">
        <v>1749.7063576620942</v>
      </c>
      <c r="X100" s="50">
        <v>1745.2940258737858</v>
      </c>
      <c r="Y100" s="50">
        <v>1740.9037557444158</v>
      </c>
      <c r="Z100" s="50">
        <v>1736.535436965691</v>
      </c>
      <c r="AA100" s="50">
        <v>1732.188959780861</v>
      </c>
      <c r="AB100" s="50">
        <v>1727.8642149819582</v>
      </c>
      <c r="AC100" s="50">
        <v>1723.561093907048</v>
      </c>
    </row>
    <row r="101" spans="1:29" x14ac:dyDescent="0.25">
      <c r="A101" s="33" t="s">
        <v>166</v>
      </c>
      <c r="B101" s="26" t="s">
        <v>160</v>
      </c>
      <c r="C101" s="56">
        <f>SUM(E101:AC101)</f>
        <v>40930.901056950075</v>
      </c>
      <c r="E101" s="50">
        <v>1660.448973528378</v>
      </c>
      <c r="F101" s="50">
        <v>1658.7383687899137</v>
      </c>
      <c r="G101" s="50">
        <v>1656.9682564991792</v>
      </c>
      <c r="H101" s="50">
        <v>1655.1504528732708</v>
      </c>
      <c r="I101" s="50">
        <v>1653.3126257404772</v>
      </c>
      <c r="J101" s="50">
        <v>1651.4539290907815</v>
      </c>
      <c r="K101" s="50">
        <v>1649.5734702216214</v>
      </c>
      <c r="L101" s="50">
        <v>1647.6742740082243</v>
      </c>
      <c r="M101" s="50">
        <v>1645.750157348748</v>
      </c>
      <c r="N101" s="50">
        <v>1643.8250932086066</v>
      </c>
      <c r="O101" s="50">
        <v>1641.8661310078085</v>
      </c>
      <c r="P101" s="50">
        <v>1639.8678122001788</v>
      </c>
      <c r="Q101" s="50">
        <v>1637.8505569590106</v>
      </c>
      <c r="R101" s="50">
        <v>1635.8237902699084</v>
      </c>
      <c r="S101" s="50">
        <v>1633.7582763954342</v>
      </c>
      <c r="T101" s="50">
        <v>1631.6486286507952</v>
      </c>
      <c r="U101" s="50">
        <v>1629.5070918561053</v>
      </c>
      <c r="V101" s="50">
        <v>1627.3538901519223</v>
      </c>
      <c r="W101" s="50">
        <v>1625.2078827442353</v>
      </c>
      <c r="X101" s="50">
        <v>1623.037722053007</v>
      </c>
      <c r="Y101" s="50">
        <v>1620.8441306792006</v>
      </c>
      <c r="Z101" s="50">
        <v>1618.6333837776524</v>
      </c>
      <c r="AA101" s="50">
        <v>1616.4174706884844</v>
      </c>
      <c r="AB101" s="50">
        <v>1614.204285597644</v>
      </c>
      <c r="AC101" s="50">
        <v>1611.9844026094731</v>
      </c>
    </row>
    <row r="102" spans="1:29" x14ac:dyDescent="0.25">
      <c r="A102" s="33" t="s">
        <v>167</v>
      </c>
      <c r="B102" s="26" t="s">
        <v>160</v>
      </c>
      <c r="C102" s="56">
        <f>SUM(E102:AC102)</f>
        <v>163.72360422780022</v>
      </c>
      <c r="E102" s="50">
        <v>6.641795894113512</v>
      </c>
      <c r="F102" s="50">
        <v>6.634953475159655</v>
      </c>
      <c r="G102" s="50">
        <v>6.627873025996717</v>
      </c>
      <c r="H102" s="50">
        <v>6.620601811493083</v>
      </c>
      <c r="I102" s="50">
        <v>6.613250502961908</v>
      </c>
      <c r="J102" s="50">
        <v>6.605815716363126</v>
      </c>
      <c r="K102" s="50">
        <v>6.5982938808864855</v>
      </c>
      <c r="L102" s="50">
        <v>6.590697096032897</v>
      </c>
      <c r="M102" s="50">
        <v>6.583000629394993</v>
      </c>
      <c r="N102" s="50">
        <v>6.575300372834427</v>
      </c>
      <c r="O102" s="50">
        <v>6.567464524031234</v>
      </c>
      <c r="P102" s="50">
        <v>6.559471248800715</v>
      </c>
      <c r="Q102" s="50">
        <v>6.551402227836043</v>
      </c>
      <c r="R102" s="50">
        <v>6.543295161079635</v>
      </c>
      <c r="S102" s="50">
        <v>6.535033105581737</v>
      </c>
      <c r="T102" s="50">
        <v>6.526594514603181</v>
      </c>
      <c r="U102" s="50">
        <v>6.518028367424421</v>
      </c>
      <c r="V102" s="50">
        <v>6.509415560607689</v>
      </c>
      <c r="W102" s="50">
        <v>6.500831530976942</v>
      </c>
      <c r="X102" s="50">
        <v>6.492150888212028</v>
      </c>
      <c r="Y102" s="50">
        <v>6.483376522716802</v>
      </c>
      <c r="Z102" s="50">
        <v>6.474533535110609</v>
      </c>
      <c r="AA102" s="50">
        <v>6.465669882753938</v>
      </c>
      <c r="AB102" s="50">
        <v>6.456817142390576</v>
      </c>
      <c r="AC102" s="50">
        <v>6.447937610437893</v>
      </c>
    </row>
    <row r="103" spans="1:29" x14ac:dyDescent="0.25">
      <c r="A103" s="33" t="s">
        <v>168</v>
      </c>
      <c r="B103" s="26" t="s">
        <v>160</v>
      </c>
      <c r="C103" s="56">
        <f>SUM(E103:AC103)</f>
        <v>203.83588726361137</v>
      </c>
      <c r="E103" s="50">
        <v>8.269035888171322</v>
      </c>
      <c r="F103" s="50">
        <v>8.26051707657377</v>
      </c>
      <c r="G103" s="50">
        <v>8.251701917365914</v>
      </c>
      <c r="H103" s="50">
        <v>8.242649255308889</v>
      </c>
      <c r="I103" s="50">
        <v>8.233496876187575</v>
      </c>
      <c r="J103" s="50">
        <v>8.22424056687209</v>
      </c>
      <c r="K103" s="50">
        <v>8.214875881703676</v>
      </c>
      <c r="L103" s="50">
        <v>8.205417884560957</v>
      </c>
      <c r="M103" s="50">
        <v>8.195835783596765</v>
      </c>
      <c r="N103" s="50">
        <v>8.186248964178862</v>
      </c>
      <c r="O103" s="50">
        <v>8.176493332418888</v>
      </c>
      <c r="P103" s="50">
        <v>8.166541704756892</v>
      </c>
      <c r="Q103" s="50">
        <v>8.156495773655873</v>
      </c>
      <c r="R103" s="50">
        <v>8.146402475544145</v>
      </c>
      <c r="S103" s="50">
        <v>8.136116216449263</v>
      </c>
      <c r="T103" s="50">
        <v>8.12561017068096</v>
      </c>
      <c r="U103" s="50">
        <v>8.114945317443405</v>
      </c>
      <c r="V103" s="50">
        <v>8.104222372956572</v>
      </c>
      <c r="W103" s="50">
        <v>8.093535256066293</v>
      </c>
      <c r="X103" s="50">
        <v>8.082727855823975</v>
      </c>
      <c r="Y103" s="50">
        <v>8.07180377078242</v>
      </c>
      <c r="Z103" s="50">
        <v>8.060794251212709</v>
      </c>
      <c r="AA103" s="50">
        <v>8.049759004028653</v>
      </c>
      <c r="AB103" s="50">
        <v>8.038737342276267</v>
      </c>
      <c r="AC103" s="50">
        <v>8.027682324995176</v>
      </c>
    </row>
    <row r="104" spans="1:29" x14ac:dyDescent="0.25">
      <c r="A104" s="33" t="s">
        <v>169</v>
      </c>
      <c r="B104" s="26" t="s">
        <v>160</v>
      </c>
      <c r="C104" s="56">
        <f>SUM(E104:AC104)</f>
        <v>40563.34156545866</v>
      </c>
      <c r="E104" s="50">
        <v>1645.538141746093</v>
      </c>
      <c r="F104" s="50">
        <v>1643.8428982381802</v>
      </c>
      <c r="G104" s="50">
        <v>1642.0886815558167</v>
      </c>
      <c r="H104" s="50">
        <v>1640.2872018064688</v>
      </c>
      <c r="I104" s="50">
        <v>1638.4658783613277</v>
      </c>
      <c r="J104" s="50">
        <v>1636.6238728075464</v>
      </c>
      <c r="K104" s="50">
        <v>1634.7603004590312</v>
      </c>
      <c r="L104" s="50">
        <v>1632.8781590276305</v>
      </c>
      <c r="M104" s="50">
        <v>1630.9713209357565</v>
      </c>
      <c r="N104" s="50">
        <v>1629.0635438715935</v>
      </c>
      <c r="O104" s="50">
        <v>1627.1221731513585</v>
      </c>
      <c r="P104" s="50">
        <v>1625.1417992466213</v>
      </c>
      <c r="Q104" s="50">
        <v>1623.142658957519</v>
      </c>
      <c r="R104" s="50">
        <v>1621.1340926332846</v>
      </c>
      <c r="S104" s="50">
        <v>1619.0871270734033</v>
      </c>
      <c r="T104" s="50">
        <v>1616.9964239655112</v>
      </c>
      <c r="U104" s="50">
        <v>1614.8741181712373</v>
      </c>
      <c r="V104" s="50">
        <v>1612.7402522183581</v>
      </c>
      <c r="W104" s="50">
        <v>1610.6135159571922</v>
      </c>
      <c r="X104" s="50">
        <v>1608.462843308971</v>
      </c>
      <c r="Y104" s="50">
        <v>1606.2889503857014</v>
      </c>
      <c r="Z104" s="50">
        <v>1604.098055991329</v>
      </c>
      <c r="AA104" s="50">
        <v>1601.9020418017017</v>
      </c>
      <c r="AB104" s="50">
        <v>1599.7087311129771</v>
      </c>
      <c r="AC104" s="50">
        <v>1597.50878267404</v>
      </c>
    </row>
    <row r="105" spans="1:29" x14ac:dyDescent="0.25">
      <c r="A105" s="33" t="s">
        <v>170</v>
      </c>
      <c r="B105" s="26" t="s">
        <v>171</v>
      </c>
      <c r="E105" s="32">
        <f>IF(E101&gt;0,(E102+E103)/E101,0)</f>
        <v>0.00898</v>
      </c>
      <c r="F105" s="32">
        <f>IF(F101&gt;0,(F102+F103)/F101,0)</f>
        <v>0.00898</v>
      </c>
      <c r="G105" s="32">
        <f>IF(G101&gt;0,(G102+G103)/G101,0)</f>
        <v>0.00898</v>
      </c>
      <c r="H105" s="32">
        <f>IF(H101&gt;0,(H102+H103)/H101,0)</f>
        <v>0.00898</v>
      </c>
      <c r="I105" s="32">
        <f>IF(I101&gt;0,(I102+I103)/I101,0)</f>
        <v>0.00898</v>
      </c>
      <c r="J105" s="32">
        <f>IF(J101&gt;0,(J102+J103)/J101,0)</f>
        <v>0.008979999999999998</v>
      </c>
      <c r="K105" s="32">
        <f>IF(K101&gt;0,(K102+K103)/K101,0)</f>
        <v>0.008980000000000002</v>
      </c>
      <c r="L105" s="32">
        <f>IF(L101&gt;0,(L102+L103)/L101,0)</f>
        <v>0.008979999999999998</v>
      </c>
      <c r="M105" s="32">
        <f>IF(M101&gt;0,(M102+M103)/M101,0)</f>
        <v>0.00898</v>
      </c>
      <c r="N105" s="32">
        <f>IF(N101&gt;0,(N102+N103)/N101,0)</f>
        <v>0.00898</v>
      </c>
      <c r="O105" s="32">
        <f>IF(O101&gt;0,(O102+O103)/O101,0)</f>
        <v>0.00898</v>
      </c>
      <c r="P105" s="32">
        <f>IF(P101&gt;0,(P102+P103)/P101,0)</f>
        <v>0.00898</v>
      </c>
      <c r="Q105" s="32">
        <f>IF(Q101&gt;0,(Q102+Q103)/Q101,0)</f>
        <v>0.00898</v>
      </c>
      <c r="R105" s="32">
        <f>IF(R101&gt;0,(R102+R103)/R101,0)</f>
        <v>0.008980000000000002</v>
      </c>
      <c r="S105" s="32">
        <f>IF(S101&gt;0,(S102+S103)/S101,0)</f>
        <v>0.00898</v>
      </c>
      <c r="T105" s="32">
        <f>IF(T101&gt;0,(T102+T103)/T101,0)</f>
        <v>0.00898</v>
      </c>
      <c r="U105" s="32">
        <f>IF(U101&gt;0,(U102+U103)/U101,0)</f>
        <v>0.00898</v>
      </c>
      <c r="V105" s="32">
        <f>IF(V101&gt;0,(V102+V103)/V101,0)</f>
        <v>0.00898</v>
      </c>
      <c r="W105" s="32">
        <f>IF(W101&gt;0,(W102+W103)/W101,0)</f>
        <v>0.00898</v>
      </c>
      <c r="X105" s="32">
        <f>IF(X101&gt;0,(X102+X103)/X101,0)</f>
        <v>0.00898</v>
      </c>
      <c r="Y105" s="32">
        <f>IF(Y101&gt;0,(Y102+Y103)/Y101,0)</f>
        <v>0.008980000000000002</v>
      </c>
      <c r="Z105" s="32">
        <f>IF(Z101&gt;0,(Z102+Z103)/Z101,0)</f>
        <v>0.00898</v>
      </c>
      <c r="AA105" s="32">
        <f>IF(AA101&gt;0,(AA102+AA103)/AA101,0)</f>
        <v>0.00898</v>
      </c>
      <c r="AB105" s="32">
        <f>IF(AB101&gt;0,(AB102+AB103)/AB101,0)</f>
        <v>0.00898</v>
      </c>
      <c r="AC105" s="32">
        <f>IF(AC101&gt;0,(AC102+AC103)/AC101,0)</f>
        <v>0.00898</v>
      </c>
    </row>
    <row r="107" ht="20" customHeight="1" spans="1:29" x14ac:dyDescent="0.25">
      <c r="A107" s="21" t="s">
        <v>172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x14ac:dyDescent="0.25">
      <c r="A108" s="33" t="s">
        <v>63</v>
      </c>
      <c r="B108" s="26" t="s">
        <v>70</v>
      </c>
      <c r="E108" s="58">
        <f>(1+$C$30)^(E$5-1)</f>
        <v>1</v>
      </c>
      <c r="F108" s="58">
        <f>(1+$C$30)^(F$5-1)</f>
        <v>1</v>
      </c>
      <c r="G108" s="58">
        <f>(1+$C$30)^(G$5-1)</f>
        <v>1</v>
      </c>
      <c r="H108" s="58">
        <f>(1+$C$30)^(H$5-1)</f>
        <v>1</v>
      </c>
      <c r="I108" s="58">
        <f>(1+$C$30)^(I$5-1)</f>
        <v>1</v>
      </c>
      <c r="J108" s="58">
        <f>(1+$C$30)^(J$5-1)</f>
        <v>1</v>
      </c>
      <c r="K108" s="58">
        <f>(1+$C$30)^(K$5-1)</f>
        <v>1</v>
      </c>
      <c r="L108" s="58">
        <f>(1+$C$30)^(L$5-1)</f>
        <v>1</v>
      </c>
      <c r="M108" s="58">
        <f>(1+$C$30)^(M$5-1)</f>
        <v>1</v>
      </c>
      <c r="N108" s="58">
        <f>(1+$C$30)^(N$5-1)</f>
        <v>1</v>
      </c>
      <c r="O108" s="58">
        <f>(1+$C$30)^(O$5-1)</f>
        <v>1</v>
      </c>
      <c r="P108" s="58">
        <f>(1+$C$30)^(P$5-1)</f>
        <v>1</v>
      </c>
      <c r="Q108" s="58">
        <f>(1+$C$30)^(Q$5-1)</f>
        <v>1</v>
      </c>
      <c r="R108" s="58">
        <f>(1+$C$30)^(R$5-1)</f>
        <v>1</v>
      </c>
      <c r="S108" s="58">
        <f>(1+$C$30)^(S$5-1)</f>
        <v>1</v>
      </c>
      <c r="T108" s="58">
        <f>(1+$C$30)^(T$5-1)</f>
        <v>1</v>
      </c>
      <c r="U108" s="58">
        <f>(1+$C$30)^(U$5-1)</f>
        <v>1</v>
      </c>
      <c r="V108" s="58">
        <f>(1+$C$30)^(V$5-1)</f>
        <v>1</v>
      </c>
      <c r="W108" s="58">
        <f>(1+$C$30)^(W$5-1)</f>
        <v>1</v>
      </c>
      <c r="X108" s="58">
        <f>(1+$C$30)^(X$5-1)</f>
        <v>1</v>
      </c>
      <c r="Y108" s="58">
        <f>(1+$C$30)^(Y$5-1)</f>
        <v>1</v>
      </c>
      <c r="Z108" s="58">
        <f>(1+$C$30)^(Z$5-1)</f>
        <v>1</v>
      </c>
      <c r="AA108" s="58">
        <f>(1+$C$30)^(AA$5-1)</f>
        <v>1</v>
      </c>
      <c r="AB108" s="58">
        <f>(1+$C$30)^(AB$5-1)</f>
        <v>1</v>
      </c>
      <c r="AC108" s="58">
        <f>(1+$C$30)^(AC$5-1)</f>
        <v>1</v>
      </c>
    </row>
    <row r="109" spans="1:29" x14ac:dyDescent="0.25">
      <c r="A109" s="33" t="s">
        <v>173</v>
      </c>
      <c r="B109" s="26" t="s">
        <v>70</v>
      </c>
      <c r="E109" s="58">
        <f>(1+$C$47)^(E$5-1)</f>
        <v>1</v>
      </c>
      <c r="F109" s="58">
        <f>(1+$C$47)^(F$5-1)</f>
        <v>1.05</v>
      </c>
      <c r="G109" s="58">
        <f>(1+$C$47)^(G$5-1)</f>
        <v>1.1025</v>
      </c>
      <c r="H109" s="58">
        <f>(1+$C$47)^(H$5-1)</f>
        <v>1.1576250000000001</v>
      </c>
      <c r="I109" s="58">
        <f>(1+$C$47)^(I$5-1)</f>
        <v>1.2155062500000002</v>
      </c>
      <c r="J109" s="58">
        <f>(1+$C$47)^(J$5-1)</f>
        <v>1.2762815625000004</v>
      </c>
      <c r="K109" s="58">
        <f>(1+$C$47)^(K$5-1)</f>
        <v>1.3400956406250004</v>
      </c>
      <c r="L109" s="58">
        <f>(1+$C$47)^(L$5-1)</f>
        <v>1.4071004226562505</v>
      </c>
      <c r="M109" s="58">
        <f>(1+$C$47)^(M$5-1)</f>
        <v>1.477455443789063</v>
      </c>
      <c r="N109" s="58">
        <f>(1+$C$47)^(N$5-1)</f>
        <v>1.5513282159785162</v>
      </c>
      <c r="O109" s="58">
        <f>(1+$C$47)^(O$5-1)</f>
        <v>1.6288946267774422</v>
      </c>
      <c r="P109" s="58">
        <f>(1+$C$47)^(P$5-1)</f>
        <v>1.7103393581163142</v>
      </c>
      <c r="Q109" s="58">
        <f>(1+$C$47)^(Q$5-1)</f>
        <v>1.79585632602213</v>
      </c>
      <c r="R109" s="58">
        <f>(1+$C$47)^(R$5-1)</f>
        <v>1.8856491423232367</v>
      </c>
      <c r="S109" s="58">
        <f>(1+$C$47)^(S$5-1)</f>
        <v>1.9799315994393987</v>
      </c>
      <c r="T109" s="58">
        <f>(1+$C$47)^(T$5-1)</f>
        <v>2.0789281794113688</v>
      </c>
      <c r="U109" s="58">
        <f>(1+$C$47)^(U$5-1)</f>
        <v>2.182874588381937</v>
      </c>
      <c r="V109" s="58">
        <f>(1+$C$47)^(V$5-1)</f>
        <v>2.292018317801034</v>
      </c>
      <c r="W109" s="58">
        <f>(1+$C$47)^(W$5-1)</f>
        <v>2.406619233691086</v>
      </c>
      <c r="X109" s="58">
        <f>(1+$C$47)^(X$5-1)</f>
        <v>2.5269501953756404</v>
      </c>
      <c r="Y109" s="58">
        <f>(1+$C$47)^(Y$5-1)</f>
        <v>2.653297705144422</v>
      </c>
      <c r="Z109" s="58">
        <f>(1+$C$47)^(Z$5-1)</f>
        <v>2.7859625904016436</v>
      </c>
      <c r="AA109" s="58">
        <f>(1+$C$47)^(AA$5-1)</f>
        <v>2.925260719921726</v>
      </c>
      <c r="AB109" s="58">
        <f>(1+$C$47)^(AB$5-1)</f>
        <v>3.0715237559178123</v>
      </c>
      <c r="AC109" s="58">
        <f>(1+$C$47)^(AC$5-1)</f>
        <v>3.225099943713703</v>
      </c>
    </row>
    <row r="110" spans="1:29" x14ac:dyDescent="0.25">
      <c r="A110" s="33" t="s">
        <v>174</v>
      </c>
      <c r="B110" s="26" t="s">
        <v>70</v>
      </c>
      <c r="E110" s="58">
        <f>(1-$C$59)^(E$5-1)</f>
        <v>1</v>
      </c>
      <c r="F110" s="58">
        <f>(1-$C$59)^(F$5-1)</f>
        <v>0.97</v>
      </c>
      <c r="G110" s="58">
        <f>(1-$C$59)^(G$5-1)</f>
        <v>0.9409</v>
      </c>
      <c r="H110" s="58">
        <f>(1-$C$59)^(H$5-1)</f>
        <v>0.912673</v>
      </c>
      <c r="I110" s="58">
        <f>(1-$C$59)^(I$5-1)</f>
        <v>0.8852928099999999</v>
      </c>
      <c r="J110" s="58">
        <f>(1-$C$59)^(J$5-1)</f>
        <v>0.8587340256999999</v>
      </c>
      <c r="K110" s="58">
        <f>(1-$C$59)^(K$5-1)</f>
        <v>0.8329720049289999</v>
      </c>
      <c r="L110" s="58">
        <f>(1-$C$59)^(L$5-1)</f>
        <v>0.8079828447811298</v>
      </c>
      <c r="M110" s="58">
        <f>(1-$C$59)^(M$5-1)</f>
        <v>0.7837433594376959</v>
      </c>
      <c r="N110" s="58">
        <f>(1-$C$59)^(N$5-1)</f>
        <v>0.760231058654565</v>
      </c>
      <c r="O110" s="58">
        <f>(1-$C$59)^(O$5-1)</f>
        <v>0.7374241268949281</v>
      </c>
      <c r="P110" s="58">
        <f>(1-$C$59)^(P$5-1)</f>
        <v>0.7153014030880802</v>
      </c>
      <c r="Q110" s="58">
        <f>(1-$C$59)^(Q$5-1)</f>
        <v>0.6938423609954378</v>
      </c>
      <c r="R110" s="58">
        <f>(1-$C$59)^(R$5-1)</f>
        <v>0.6730270901655746</v>
      </c>
      <c r="S110" s="58">
        <f>(1-$C$59)^(S$5-1)</f>
        <v>0.6528362774606074</v>
      </c>
      <c r="T110" s="58">
        <f>(1-$C$59)^(T$5-1)</f>
        <v>0.6332511891367891</v>
      </c>
      <c r="U110" s="58">
        <f>(1-$C$59)^(U$5-1)</f>
        <v>0.6142536534626855</v>
      </c>
      <c r="V110" s="58">
        <f>(1-$C$59)^(V$5-1)</f>
        <v>0.5958260438588049</v>
      </c>
      <c r="W110" s="58">
        <f>(1-$C$59)^(W$5-1)</f>
        <v>0.5779512625430407</v>
      </c>
      <c r="X110" s="58">
        <f>(1-$C$59)^(X$5-1)</f>
        <v>0.5606127246667495</v>
      </c>
      <c r="Y110" s="58">
        <f>(1-$C$59)^(Y$5-1)</f>
        <v>0.543794342926747</v>
      </c>
      <c r="Z110" s="58">
        <f>(1-$C$59)^(Z$5-1)</f>
        <v>0.5274805126389446</v>
      </c>
      <c r="AA110" s="58">
        <f>(1-$C$59)^(AA$5-1)</f>
        <v>0.5116560972597762</v>
      </c>
      <c r="AB110" s="58">
        <f>(1-$C$59)^(AB$5-1)</f>
        <v>0.49630641434198286</v>
      </c>
      <c r="AC110" s="58">
        <f>(1-$C$59)^(AC$5-1)</f>
        <v>0.48141722191172337</v>
      </c>
    </row>
    <row r="111" spans="1:29" x14ac:dyDescent="0.25">
      <c r="A111" s="33" t="s">
        <v>175</v>
      </c>
      <c r="B111" s="26" t="s">
        <v>70</v>
      </c>
      <c r="E111" s="58">
        <f>1/(1+$C$66)^E$5</f>
        <v>0.9090909090909091</v>
      </c>
      <c r="F111" s="58">
        <f>1/(1+$C$66)^F$5</f>
        <v>0.8264462809917354</v>
      </c>
      <c r="G111" s="58">
        <f>1/(1+$C$66)^G$5</f>
        <v>0.7513148009015775</v>
      </c>
      <c r="H111" s="58">
        <f>1/(1+$C$66)^H$5</f>
        <v>0.6830134553650704</v>
      </c>
      <c r="I111" s="58">
        <f>1/(1+$C$66)^I$5</f>
        <v>0.6209213230591549</v>
      </c>
      <c r="J111" s="58">
        <f>1/(1+$C$66)^J$5</f>
        <v>0.5644739300537772</v>
      </c>
      <c r="K111" s="58">
        <f>1/(1+$C$66)^K$5</f>
        <v>0.5131581182307065</v>
      </c>
      <c r="L111" s="58">
        <f>1/(1+$C$66)^L$5</f>
        <v>0.4665073802097331</v>
      </c>
      <c r="M111" s="58">
        <f>1/(1+$C$66)^M$5</f>
        <v>0.42409761837248455</v>
      </c>
      <c r="N111" s="58">
        <f>1/(1+$C$66)^N$5</f>
        <v>0.3855432894295314</v>
      </c>
      <c r="O111" s="58">
        <f>1/(1+$C$66)^O$5</f>
        <v>0.3504938994813922</v>
      </c>
      <c r="P111" s="58">
        <f>1/(1+$C$66)^P$5</f>
        <v>0.3186308177103565</v>
      </c>
      <c r="Q111" s="58">
        <f>1/(1+$C$66)^Q$5</f>
        <v>0.2896643797366877</v>
      </c>
      <c r="R111" s="58">
        <f>1/(1+$C$66)^R$5</f>
        <v>0.26333125430607973</v>
      </c>
      <c r="S111" s="58">
        <f>1/(1+$C$66)^S$5</f>
        <v>0.23939204936916333</v>
      </c>
      <c r="T111" s="58">
        <f>1/(1+$C$66)^T$5</f>
        <v>0.2176291357901485</v>
      </c>
      <c r="U111" s="58">
        <f>1/(1+$C$66)^U$5</f>
        <v>0.19784466890013497</v>
      </c>
      <c r="V111" s="58">
        <f>1/(1+$C$66)^V$5</f>
        <v>0.17985878990921358</v>
      </c>
      <c r="W111" s="58">
        <f>1/(1+$C$66)^W$5</f>
        <v>0.16350799082655781</v>
      </c>
      <c r="X111" s="58">
        <f>1/(1+$C$66)^X$5</f>
        <v>0.14864362802414344</v>
      </c>
      <c r="Y111" s="58">
        <f>1/(1+$C$66)^Y$5</f>
        <v>0.13513057093103947</v>
      </c>
      <c r="Z111" s="58">
        <f>1/(1+$C$66)^Z$5</f>
        <v>0.12284597357367225</v>
      </c>
      <c r="AA111" s="58">
        <f>1/(1+$C$66)^AA$5</f>
        <v>0.11167815779424749</v>
      </c>
      <c r="AB111" s="58">
        <f>1/(1+$C$66)^AB$5</f>
        <v>0.10152559799477044</v>
      </c>
      <c r="AC111" s="58">
        <f>1/(1+$C$66)^AC$5</f>
        <v>0.09229599817706403</v>
      </c>
    </row>
    <row r="113" ht="20" customHeight="1" spans="1:29" x14ac:dyDescent="0.25">
      <c r="A113" s="21" t="s">
        <v>176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x14ac:dyDescent="0.25">
      <c r="A114" s="33" t="s">
        <v>63</v>
      </c>
      <c r="B114" s="26" t="s">
        <v>64</v>
      </c>
      <c r="E114" s="29">
        <f>$C$29*E108</f>
        <v>4.188873213329757</v>
      </c>
      <c r="F114" s="29">
        <f>$C$29*F108</f>
        <v>4.188873213329757</v>
      </c>
      <c r="G114" s="29">
        <f>$C$29*G108</f>
        <v>4.188873213329757</v>
      </c>
      <c r="H114" s="29">
        <f>$C$29*H108</f>
        <v>4.188873213329757</v>
      </c>
      <c r="I114" s="29">
        <f>$C$29*I108</f>
        <v>4.188873213329757</v>
      </c>
      <c r="J114" s="29">
        <f>$C$29*J108</f>
        <v>4.188873213329757</v>
      </c>
      <c r="K114" s="29">
        <f>$C$29*K108</f>
        <v>4.188873213329757</v>
      </c>
      <c r="L114" s="29">
        <f>$C$29*L108</f>
        <v>4.188873213329757</v>
      </c>
      <c r="M114" s="29">
        <f>$C$29*M108</f>
        <v>4.188873213329757</v>
      </c>
      <c r="N114" s="29">
        <f>$C$29*N108</f>
        <v>4.188873213329757</v>
      </c>
      <c r="O114" s="29">
        <f>$C$29*O108</f>
        <v>4.188873213329757</v>
      </c>
      <c r="P114" s="29">
        <f>$C$29*P108</f>
        <v>4.188873213329757</v>
      </c>
      <c r="Q114" s="29">
        <f>$C$29*Q108</f>
        <v>4.188873213329757</v>
      </c>
      <c r="R114" s="29">
        <f>$C$29*R108</f>
        <v>4.188873213329757</v>
      </c>
      <c r="S114" s="29">
        <f>$C$29*S108</f>
        <v>4.188873213329757</v>
      </c>
      <c r="T114" s="29">
        <f>$C$29*T108</f>
        <v>4.188873213329757</v>
      </c>
      <c r="U114" s="29">
        <f>$C$29*U108</f>
        <v>4.188873213329757</v>
      </c>
      <c r="V114" s="29">
        <f>$C$29*V108</f>
        <v>4.188873213329757</v>
      </c>
      <c r="W114" s="29">
        <f>$C$29*W108</f>
        <v>4.188873213329757</v>
      </c>
      <c r="X114" s="29">
        <f>$C$29*X108</f>
        <v>4.188873213329757</v>
      </c>
      <c r="Y114" s="29">
        <f>$C$29*Y108</f>
        <v>4.188873213329757</v>
      </c>
      <c r="Z114" s="29">
        <f>$C$29*Z108</f>
        <v>4.188873213329757</v>
      </c>
      <c r="AA114" s="29">
        <f>$C$29*AA108</f>
        <v>4.188873213329757</v>
      </c>
      <c r="AB114" s="29">
        <f>$C$29*AB108</f>
        <v>4.188873213329757</v>
      </c>
      <c r="AC114" s="29">
        <f>$C$29*AC108</f>
        <v>4.188873213329757</v>
      </c>
    </row>
    <row r="115" spans="1:29" x14ac:dyDescent="0.25">
      <c r="A115" s="33" t="s">
        <v>177</v>
      </c>
      <c r="B115" s="26" t="s">
        <v>68</v>
      </c>
      <c r="C115" s="55">
        <f>SUM(E115:AC115)</f>
        <v>16991.469492670403</v>
      </c>
      <c r="E115" s="37">
        <f>E95*E114/10</f>
        <v>689.2950643473016</v>
      </c>
      <c r="F115" s="37">
        <f>F95*F114/10</f>
        <v>688.5849483352616</v>
      </c>
      <c r="G115" s="37">
        <f>G95*G114/10</f>
        <v>687.8501292081507</v>
      </c>
      <c r="H115" s="37">
        <f>H95*H114/10</f>
        <v>687.0955121815103</v>
      </c>
      <c r="I115" s="37">
        <f>I95*I114/10</f>
        <v>686.332582882293</v>
      </c>
      <c r="J115" s="37">
        <f>J95*J114/10</f>
        <v>685.5609901099922</v>
      </c>
      <c r="K115" s="37">
        <f>K95*K114/10</f>
        <v>684.7803632808092</v>
      </c>
      <c r="L115" s="37">
        <f>L95*L114/10</f>
        <v>683.9919580982416</v>
      </c>
      <c r="M115" s="37">
        <f>M95*M114/10</f>
        <v>683.1932077977191</v>
      </c>
      <c r="N115" s="37">
        <f>N95*N114/10</f>
        <v>682.3940641736128</v>
      </c>
      <c r="O115" s="37">
        <f>O95*O114/10</f>
        <v>681.5808485928981</v>
      </c>
      <c r="P115" s="37">
        <f>P95*P114/10</f>
        <v>680.7512950727057</v>
      </c>
      <c r="Q115" s="37">
        <f>Q95*Q114/10</f>
        <v>679.9138805520371</v>
      </c>
      <c r="R115" s="37">
        <f>R95*R114/10</f>
        <v>679.0725175847558</v>
      </c>
      <c r="S115" s="37">
        <f>S95*S114/10</f>
        <v>678.2150696645147</v>
      </c>
      <c r="T115" s="37">
        <f>T95*T114/10</f>
        <v>677.3393006399461</v>
      </c>
      <c r="U115" s="37">
        <f>U95*U114/10</f>
        <v>676.4502936507363</v>
      </c>
      <c r="V115" s="37">
        <f>V95*V114/10</f>
        <v>675.5564442576498</v>
      </c>
      <c r="W115" s="37">
        <f>W95*W114/10</f>
        <v>674.6655814020274</v>
      </c>
      <c r="X115" s="37">
        <f>X95*X114/10</f>
        <v>673.764691897351</v>
      </c>
      <c r="Y115" s="37">
        <f>Y95*Y114/10</f>
        <v>672.8540757138557</v>
      </c>
      <c r="Z115" s="37">
        <f>Z95*Z114/10</f>
        <v>671.9363378296755</v>
      </c>
      <c r="AA115" s="37">
        <f>AA95*AA114/10</f>
        <v>671.0164553281722</v>
      </c>
      <c r="AB115" s="37">
        <f>AB95*AB114/10</f>
        <v>670.0977052889214</v>
      </c>
      <c r="AC115" s="37">
        <f>AC95*AC114/10</f>
        <v>669.1761747802639</v>
      </c>
    </row>
    <row r="116" spans="1:29" x14ac:dyDescent="0.25">
      <c r="A116" s="33" t="s">
        <v>178</v>
      </c>
      <c r="B116" s="26" t="s">
        <v>68</v>
      </c>
      <c r="C116" s="55">
        <f>SUM(E116:AC116)</f>
        <v>0</v>
      </c>
      <c r="E116" s="37">
        <f>IF($C$51="Yes",E98*E99/10,0)</f>
        <v>0</v>
      </c>
      <c r="F116" s="37">
        <f>IF($C$51="Yes",F98*F99/10,0)</f>
        <v>0</v>
      </c>
      <c r="G116" s="37">
        <f>IF($C$51="Yes",G98*G99/10,0)</f>
        <v>0</v>
      </c>
      <c r="H116" s="37">
        <f>IF($C$51="Yes",H98*H99/10,0)</f>
        <v>0</v>
      </c>
      <c r="I116" s="37">
        <f>IF($C$51="Yes",I98*I99/10,0)</f>
        <v>0</v>
      </c>
      <c r="J116" s="37">
        <f>IF($C$51="Yes",J98*J99/10,0)</f>
        <v>0</v>
      </c>
      <c r="K116" s="37">
        <f>IF($C$51="Yes",K98*K99/10,0)</f>
        <v>0</v>
      </c>
      <c r="L116" s="37">
        <f>IF($C$51="Yes",L98*L99/10,0)</f>
        <v>0</v>
      </c>
      <c r="M116" s="37">
        <f>IF($C$51="Yes",M98*M99/10,0)</f>
        <v>0</v>
      </c>
      <c r="N116" s="37">
        <f>IF($C$51="Yes",N98*N99/10,0)</f>
        <v>0</v>
      </c>
      <c r="O116" s="37">
        <f>IF($C$51="Yes",O98*O99/10,0)</f>
        <v>0</v>
      </c>
      <c r="P116" s="37">
        <f>IF($C$51="Yes",P98*P99/10,0)</f>
        <v>0</v>
      </c>
      <c r="Q116" s="37">
        <f>IF($C$51="Yes",Q98*Q99/10,0)</f>
        <v>0</v>
      </c>
      <c r="R116" s="37">
        <f>IF($C$51="Yes",R98*R99/10,0)</f>
        <v>0</v>
      </c>
      <c r="S116" s="37">
        <f>IF($C$51="Yes",S98*S99/10,0)</f>
        <v>0</v>
      </c>
      <c r="T116" s="37">
        <f>IF($C$51="Yes",T98*T99/10,0)</f>
        <v>0</v>
      </c>
      <c r="U116" s="37">
        <f>IF($C$51="Yes",U98*U99/10,0)</f>
        <v>0</v>
      </c>
      <c r="V116" s="37">
        <f>IF($C$51="Yes",V98*V99/10,0)</f>
        <v>0</v>
      </c>
      <c r="W116" s="37">
        <f>IF($C$51="Yes",W98*W99/10,0)</f>
        <v>0</v>
      </c>
      <c r="X116" s="37">
        <f>IF($C$51="Yes",X98*X99/10,0)</f>
        <v>0</v>
      </c>
      <c r="Y116" s="37">
        <f>IF($C$51="Yes",Y98*Y99/10,0)</f>
        <v>0</v>
      </c>
      <c r="Z116" s="37">
        <f>IF($C$51="Yes",Z98*Z99/10,0)</f>
        <v>0</v>
      </c>
      <c r="AA116" s="37">
        <f>IF($C$51="Yes",AA98*AA99/10,0)</f>
        <v>0</v>
      </c>
      <c r="AB116" s="37">
        <f>IF($C$51="Yes",AB98*AB99/10,0)</f>
        <v>0</v>
      </c>
      <c r="AC116" s="37">
        <f>IF($C$51="Yes",AC98*AC99/10,0)</f>
        <v>0</v>
      </c>
    </row>
    <row r="117" spans="1:29" x14ac:dyDescent="0.25">
      <c r="A117" s="33" t="s">
        <v>120</v>
      </c>
      <c r="B117" s="26" t="s">
        <v>68</v>
      </c>
      <c r="C117" s="55">
        <f>SUM(E117:AC117)</f>
        <v>0</v>
      </c>
      <c r="E117" s="37">
        <f>E97*$C$54/10</f>
        <v>0</v>
      </c>
      <c r="F117" s="37">
        <f>F97*$C$54/10</f>
        <v>0</v>
      </c>
      <c r="G117" s="37">
        <f>G97*$C$54/10</f>
        <v>0</v>
      </c>
      <c r="H117" s="37">
        <f>H97*$C$54/10</f>
        <v>0</v>
      </c>
      <c r="I117" s="37">
        <f>I97*$C$54/10</f>
        <v>0</v>
      </c>
      <c r="J117" s="37">
        <f>J97*$C$54/10</f>
        <v>0</v>
      </c>
      <c r="K117" s="37">
        <f>K97*$C$54/10</f>
        <v>0</v>
      </c>
      <c r="L117" s="37">
        <f>L97*$C$54/10</f>
        <v>0</v>
      </c>
      <c r="M117" s="37">
        <f>M97*$C$54/10</f>
        <v>0</v>
      </c>
      <c r="N117" s="37">
        <f>N97*$C$54/10</f>
        <v>0</v>
      </c>
      <c r="O117" s="37">
        <f>O97*$C$54/10</f>
        <v>0</v>
      </c>
      <c r="P117" s="37">
        <f>P97*$C$54/10</f>
        <v>0</v>
      </c>
      <c r="Q117" s="37">
        <f>Q97*$C$54/10</f>
        <v>0</v>
      </c>
      <c r="R117" s="37">
        <f>R97*$C$54/10</f>
        <v>0</v>
      </c>
      <c r="S117" s="37">
        <f>S97*$C$54/10</f>
        <v>0</v>
      </c>
      <c r="T117" s="37">
        <f>T97*$C$54/10</f>
        <v>0</v>
      </c>
      <c r="U117" s="37">
        <f>U97*$C$54/10</f>
        <v>0</v>
      </c>
      <c r="V117" s="37">
        <f>V97*$C$54/10</f>
        <v>0</v>
      </c>
      <c r="W117" s="37">
        <f>W97*$C$54/10</f>
        <v>0</v>
      </c>
      <c r="X117" s="37">
        <f>X97*$C$54/10</f>
        <v>0</v>
      </c>
      <c r="Y117" s="37">
        <f>Y97*$C$54/10</f>
        <v>0</v>
      </c>
      <c r="Z117" s="37">
        <f>Z97*$C$54/10</f>
        <v>0</v>
      </c>
      <c r="AA117" s="37">
        <f>AA97*$C$54/10</f>
        <v>0</v>
      </c>
      <c r="AB117" s="37">
        <f>AB97*$C$54/10</f>
        <v>0</v>
      </c>
      <c r="AC117" s="37">
        <f>AC97*$C$54/10</f>
        <v>0</v>
      </c>
    </row>
    <row r="118" spans="1:29" x14ac:dyDescent="0.25">
      <c r="A118" s="59" t="s">
        <v>179</v>
      </c>
      <c r="B118" s="60" t="s">
        <v>68</v>
      </c>
      <c r="C118" s="61">
        <f>SUM(E118:AC118)</f>
        <v>16991.469492670403</v>
      </c>
      <c r="D118" s="62"/>
      <c r="E118" s="61">
        <f>E115+E116-E117</f>
        <v>689.2950643473016</v>
      </c>
      <c r="F118" s="61">
        <f>F115+F116-F117</f>
        <v>688.5849483352616</v>
      </c>
      <c r="G118" s="61">
        <f>G115+G116-G117</f>
        <v>687.8501292081507</v>
      </c>
      <c r="H118" s="61">
        <f>H115+H116-H117</f>
        <v>687.0955121815103</v>
      </c>
      <c r="I118" s="61">
        <f>I115+I116-I117</f>
        <v>686.332582882293</v>
      </c>
      <c r="J118" s="61">
        <f>J115+J116-J117</f>
        <v>685.5609901099922</v>
      </c>
      <c r="K118" s="61">
        <f>K115+K116-K117</f>
        <v>684.7803632808092</v>
      </c>
      <c r="L118" s="61">
        <f>L115+L116-L117</f>
        <v>683.9919580982416</v>
      </c>
      <c r="M118" s="61">
        <f>M115+M116-M117</f>
        <v>683.1932077977191</v>
      </c>
      <c r="N118" s="61">
        <f>N115+N116-N117</f>
        <v>682.3940641736128</v>
      </c>
      <c r="O118" s="61">
        <f>O115+O116-O117</f>
        <v>681.5808485928981</v>
      </c>
      <c r="P118" s="61">
        <f>P115+P116-P117</f>
        <v>680.7512950727057</v>
      </c>
      <c r="Q118" s="61">
        <f>Q115+Q116-Q117</f>
        <v>679.9138805520371</v>
      </c>
      <c r="R118" s="61">
        <f>R115+R116-R117</f>
        <v>679.0725175847558</v>
      </c>
      <c r="S118" s="61">
        <f>S115+S116-S117</f>
        <v>678.2150696645147</v>
      </c>
      <c r="T118" s="61">
        <f>T115+T116-T117</f>
        <v>677.3393006399461</v>
      </c>
      <c r="U118" s="61">
        <f>U115+U116-U117</f>
        <v>676.4502936507363</v>
      </c>
      <c r="V118" s="61">
        <f>V115+V116-V117</f>
        <v>675.5564442576498</v>
      </c>
      <c r="W118" s="61">
        <f>W115+W116-W117</f>
        <v>674.6655814020274</v>
      </c>
      <c r="X118" s="61">
        <f>X115+X116-X117</f>
        <v>673.764691897351</v>
      </c>
      <c r="Y118" s="61">
        <f>Y115+Y116-Y117</f>
        <v>672.8540757138557</v>
      </c>
      <c r="Z118" s="61">
        <f>Z115+Z116-Z117</f>
        <v>671.9363378296755</v>
      </c>
      <c r="AA118" s="61">
        <f>AA115+AA116-AA117</f>
        <v>671.0164553281722</v>
      </c>
      <c r="AB118" s="61">
        <f>AB115+AB116-AB117</f>
        <v>670.0977052889214</v>
      </c>
      <c r="AC118" s="61">
        <f>AC115+AC116-AC117</f>
        <v>669.1761747802639</v>
      </c>
    </row>
    <row r="120" ht="20" customHeight="1" spans="1:29" x14ac:dyDescent="0.25">
      <c r="A120" s="21" t="s">
        <v>180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x14ac:dyDescent="0.25">
      <c r="A121" s="33" t="s">
        <v>102</v>
      </c>
      <c r="B121" s="26" t="s">
        <v>68</v>
      </c>
      <c r="C121" s="55">
        <f>SUM(E121:AC121)</f>
        <v>859.0877787237791</v>
      </c>
      <c r="E121" s="37">
        <f>$C$32*$C$44/100*E109</f>
        <v>18</v>
      </c>
      <c r="F121" s="37">
        <f>$C$32*$C$44/100*F109</f>
        <v>18.900000000000002</v>
      </c>
      <c r="G121" s="37">
        <f>$C$32*$C$44/100*G109</f>
        <v>19.845</v>
      </c>
      <c r="H121" s="37">
        <f>$C$32*$C$44/100*H109</f>
        <v>20.83725</v>
      </c>
      <c r="I121" s="37">
        <f>$C$32*$C$44/100*I109</f>
        <v>21.879112500000005</v>
      </c>
      <c r="J121" s="37">
        <f>$C$32*$C$44/100*J109</f>
        <v>22.973068125000005</v>
      </c>
      <c r="K121" s="37">
        <f>$C$32*$C$44/100*K109</f>
        <v>24.121721531250007</v>
      </c>
      <c r="L121" s="37">
        <f>$C$32*$C$44/100*L109</f>
        <v>25.32780760781251</v>
      </c>
      <c r="M121" s="37">
        <f>$C$32*$C$44/100*M109</f>
        <v>26.594197988203135</v>
      </c>
      <c r="N121" s="37">
        <f>$C$32*$C$44/100*N109</f>
        <v>27.923907887613293</v>
      </c>
      <c r="O121" s="37">
        <f>$C$32*$C$44/100*O109</f>
        <v>29.32010328199396</v>
      </c>
      <c r="P121" s="37">
        <f>$C$32*$C$44/100*P109</f>
        <v>30.786108446093657</v>
      </c>
      <c r="Q121" s="37">
        <f>$C$32*$C$44/100*Q109</f>
        <v>32.32541386839834</v>
      </c>
      <c r="R121" s="37">
        <f>$C$32*$C$44/100*R109</f>
        <v>33.94168456181826</v>
      </c>
      <c r="S121" s="37">
        <f>$C$32*$C$44/100*S109</f>
        <v>35.63876878990918</v>
      </c>
      <c r="T121" s="37">
        <f>$C$32*$C$44/100*T109</f>
        <v>37.42070722940464</v>
      </c>
      <c r="U121" s="37">
        <f>$C$32*$C$44/100*U109</f>
        <v>39.29174259087486</v>
      </c>
      <c r="V121" s="37">
        <f>$C$32*$C$44/100*V109</f>
        <v>41.25632972041861</v>
      </c>
      <c r="W121" s="37">
        <f>$C$32*$C$44/100*W109</f>
        <v>43.31914620643955</v>
      </c>
      <c r="X121" s="37">
        <f>$C$32*$C$44/100*X109</f>
        <v>45.48510351676153</v>
      </c>
      <c r="Y121" s="37">
        <f>$C$32*$C$44/100*Y109</f>
        <v>47.7593586925996</v>
      </c>
      <c r="Z121" s="37">
        <f>$C$32*$C$44/100*Z109</f>
        <v>50.14732662722959</v>
      </c>
      <c r="AA121" s="37">
        <f>$C$32*$C$44/100*AA109</f>
        <v>52.65469295859107</v>
      </c>
      <c r="AB121" s="37">
        <f>$C$32*$C$44/100*AB109</f>
        <v>55.28742760652062</v>
      </c>
      <c r="AC121" s="37">
        <f>$C$32*$C$44/100*AC109</f>
        <v>58.05179898684665</v>
      </c>
    </row>
    <row r="122" spans="1:29" x14ac:dyDescent="0.25">
      <c r="A122" s="33" t="s">
        <v>104</v>
      </c>
      <c r="B122" s="26" t="s">
        <v>68</v>
      </c>
      <c r="C122" s="55">
        <f>SUM(E122:AC122)</f>
        <v>1288.6316680856687</v>
      </c>
      <c r="E122" s="37">
        <f>$C$33*$C$45/100*E109</f>
        <v>27</v>
      </c>
      <c r="F122" s="37">
        <f>$C$33*$C$45/100*F109</f>
        <v>28.35</v>
      </c>
      <c r="G122" s="37">
        <f>$C$33*$C$45/100*G109</f>
        <v>29.767500000000002</v>
      </c>
      <c r="H122" s="37">
        <f>$C$33*$C$45/100*H109</f>
        <v>31.255875000000003</v>
      </c>
      <c r="I122" s="37">
        <f>$C$33*$C$45/100*I109</f>
        <v>32.81866875000001</v>
      </c>
      <c r="J122" s="37">
        <f>$C$33*$C$45/100*J109</f>
        <v>34.45960218750001</v>
      </c>
      <c r="K122" s="37">
        <f>$C$33*$C$45/100*K109</f>
        <v>36.18258229687501</v>
      </c>
      <c r="L122" s="37">
        <f>$C$33*$C$45/100*L109</f>
        <v>37.99171141171876</v>
      </c>
      <c r="M122" s="37">
        <f>$C$33*$C$45/100*M109</f>
        <v>39.8912969823047</v>
      </c>
      <c r="N122" s="37">
        <f>$C$33*$C$45/100*N109</f>
        <v>41.88586183141994</v>
      </c>
      <c r="O122" s="37">
        <f>$C$33*$C$45/100*O109</f>
        <v>43.98015492299094</v>
      </c>
      <c r="P122" s="37">
        <f>$C$33*$C$45/100*P109</f>
        <v>46.17916266914048</v>
      </c>
      <c r="Q122" s="37">
        <f>$C$33*$C$45/100*Q109</f>
        <v>48.488120802597514</v>
      </c>
      <c r="R122" s="37">
        <f>$C$33*$C$45/100*R109</f>
        <v>50.91252684272739</v>
      </c>
      <c r="S122" s="37">
        <f>$C$33*$C$45/100*S109</f>
        <v>53.45815318486376</v>
      </c>
      <c r="T122" s="37">
        <f>$C$33*$C$45/100*T109</f>
        <v>56.131060844106955</v>
      </c>
      <c r="U122" s="37">
        <f>$C$33*$C$45/100*U109</f>
        <v>58.9376138863123</v>
      </c>
      <c r="V122" s="37">
        <f>$C$33*$C$45/100*V109</f>
        <v>61.884494580627916</v>
      </c>
      <c r="W122" s="37">
        <f>$C$33*$C$45/100*W109</f>
        <v>64.97871930965933</v>
      </c>
      <c r="X122" s="37">
        <f>$C$33*$C$45/100*X109</f>
        <v>68.2276552751423</v>
      </c>
      <c r="Y122" s="37">
        <f>$C$33*$C$45/100*Y109</f>
        <v>71.6390380388994</v>
      </c>
      <c r="Z122" s="37">
        <f>$C$33*$C$45/100*Z109</f>
        <v>75.22098994084438</v>
      </c>
      <c r="AA122" s="37">
        <f>$C$33*$C$45/100*AA109</f>
        <v>78.9820394378866</v>
      </c>
      <c r="AB122" s="37">
        <f>$C$33*$C$45/100*AB109</f>
        <v>82.93114140978093</v>
      </c>
      <c r="AC122" s="37">
        <f>$C$33*$C$45/100*AC109</f>
        <v>87.07769848026997</v>
      </c>
    </row>
    <row r="123" spans="1:29" x14ac:dyDescent="0.25">
      <c r="A123" s="33" t="s">
        <v>105</v>
      </c>
      <c r="B123" s="26" t="s">
        <v>68</v>
      </c>
      <c r="C123" s="55">
        <f>SUM(E123:AC123)</f>
        <v>343.6351114895117</v>
      </c>
      <c r="E123" s="37">
        <f>$C$35*$C$46/100*E109</f>
        <v>7.2</v>
      </c>
      <c r="F123" s="37">
        <f>$C$35*$C$46/100*F109</f>
        <v>7.5600000000000005</v>
      </c>
      <c r="G123" s="37">
        <f>$C$35*$C$46/100*G109</f>
        <v>7.938000000000001</v>
      </c>
      <c r="H123" s="37">
        <f>$C$35*$C$46/100*H109</f>
        <v>8.334900000000001</v>
      </c>
      <c r="I123" s="37">
        <f>$C$35*$C$46/100*I109</f>
        <v>8.751645000000002</v>
      </c>
      <c r="J123" s="37">
        <f>$C$35*$C$46/100*J109</f>
        <v>9.189227250000004</v>
      </c>
      <c r="K123" s="37">
        <f>$C$35*$C$46/100*K109</f>
        <v>9.648688612500003</v>
      </c>
      <c r="L123" s="37">
        <f>$C$35*$C$46/100*L109</f>
        <v>10.131123043125003</v>
      </c>
      <c r="M123" s="37">
        <f>$C$35*$C$46/100*M109</f>
        <v>10.637679195281255</v>
      </c>
      <c r="N123" s="37">
        <f>$C$35*$C$46/100*N109</f>
        <v>11.169563155045317</v>
      </c>
      <c r="O123" s="37">
        <f>$C$35*$C$46/100*O109</f>
        <v>11.728041312797584</v>
      </c>
      <c r="P123" s="37">
        <f>$C$35*$C$46/100*P109</f>
        <v>12.314443378437463</v>
      </c>
      <c r="Q123" s="37">
        <f>$C$35*$C$46/100*Q109</f>
        <v>12.930165547359337</v>
      </c>
      <c r="R123" s="37">
        <f>$C$35*$C$46/100*R109</f>
        <v>13.576673824727305</v>
      </c>
      <c r="S123" s="37">
        <f>$C$35*$C$46/100*S109</f>
        <v>14.255507515963671</v>
      </c>
      <c r="T123" s="37">
        <f>$C$35*$C$46/100*T109</f>
        <v>14.968282891761856</v>
      </c>
      <c r="U123" s="37">
        <f>$C$35*$C$46/100*U109</f>
        <v>15.716697036349947</v>
      </c>
      <c r="V123" s="37">
        <f>$C$35*$C$46/100*V109</f>
        <v>16.502531888167447</v>
      </c>
      <c r="W123" s="37">
        <f>$C$35*$C$46/100*W109</f>
        <v>17.32765848257582</v>
      </c>
      <c r="X123" s="37">
        <f>$C$35*$C$46/100*X109</f>
        <v>18.19404140670461</v>
      </c>
      <c r="Y123" s="37">
        <f>$C$35*$C$46/100*Y109</f>
        <v>19.103743477039842</v>
      </c>
      <c r="Z123" s="37">
        <f>$C$35*$C$46/100*Z109</f>
        <v>20.058930650891835</v>
      </c>
      <c r="AA123" s="37">
        <f>$C$35*$C$46/100*AA109</f>
        <v>21.061877183436426</v>
      </c>
      <c r="AB123" s="37">
        <f>$C$35*$C$46/100*AB109</f>
        <v>22.11497104260825</v>
      </c>
      <c r="AC123" s="37">
        <f>$C$35*$C$46/100*AC109</f>
        <v>23.22071959473866</v>
      </c>
    </row>
    <row r="124" spans="1:29" x14ac:dyDescent="0.25">
      <c r="A124" s="33" t="s">
        <v>108</v>
      </c>
      <c r="B124" s="26" t="s">
        <v>68</v>
      </c>
      <c r="C124" s="55">
        <f>SUM(E124:AC124)</f>
        <v>318.37500000000017</v>
      </c>
      <c r="E124" s="37">
        <f>$C$81*$C$48</f>
        <v>12.735</v>
      </c>
      <c r="F124" s="37">
        <f>$C$81*$C$48</f>
        <v>12.735</v>
      </c>
      <c r="G124" s="37">
        <f>$C$81*$C$48</f>
        <v>12.735</v>
      </c>
      <c r="H124" s="37">
        <f>$C$81*$C$48</f>
        <v>12.735</v>
      </c>
      <c r="I124" s="37">
        <f>$C$81*$C$48</f>
        <v>12.735</v>
      </c>
      <c r="J124" s="37">
        <f>$C$81*$C$48</f>
        <v>12.735</v>
      </c>
      <c r="K124" s="37">
        <f>$C$81*$C$48</f>
        <v>12.735</v>
      </c>
      <c r="L124" s="37">
        <f>$C$81*$C$48</f>
        <v>12.735</v>
      </c>
      <c r="M124" s="37">
        <f>$C$81*$C$48</f>
        <v>12.735</v>
      </c>
      <c r="N124" s="37">
        <f>$C$81*$C$48</f>
        <v>12.735</v>
      </c>
      <c r="O124" s="37">
        <f>$C$81*$C$48</f>
        <v>12.735</v>
      </c>
      <c r="P124" s="37">
        <f>$C$81*$C$48</f>
        <v>12.735</v>
      </c>
      <c r="Q124" s="37">
        <f>$C$81*$C$48</f>
        <v>12.735</v>
      </c>
      <c r="R124" s="37">
        <f>$C$81*$C$48</f>
        <v>12.735</v>
      </c>
      <c r="S124" s="37">
        <f>$C$81*$C$48</f>
        <v>12.735</v>
      </c>
      <c r="T124" s="37">
        <f>$C$81*$C$48</f>
        <v>12.735</v>
      </c>
      <c r="U124" s="37">
        <f>$C$81*$C$48</f>
        <v>12.735</v>
      </c>
      <c r="V124" s="37">
        <f>$C$81*$C$48</f>
        <v>12.735</v>
      </c>
      <c r="W124" s="37">
        <f>$C$81*$C$48</f>
        <v>12.735</v>
      </c>
      <c r="X124" s="37">
        <f>$C$81*$C$48</f>
        <v>12.735</v>
      </c>
      <c r="Y124" s="37">
        <f>$C$81*$C$48</f>
        <v>12.735</v>
      </c>
      <c r="Z124" s="37">
        <f>$C$81*$C$48</f>
        <v>12.735</v>
      </c>
      <c r="AA124" s="37">
        <f>$C$81*$C$48</f>
        <v>12.735</v>
      </c>
      <c r="AB124" s="37">
        <f>$C$81*$C$48</f>
        <v>12.735</v>
      </c>
      <c r="AC124" s="37">
        <f>$C$81*$C$48</f>
        <v>12.735</v>
      </c>
    </row>
    <row r="125" spans="1:29" x14ac:dyDescent="0.25">
      <c r="A125" s="33" t="s">
        <v>110</v>
      </c>
      <c r="B125" s="26" t="s">
        <v>68</v>
      </c>
      <c r="C125" s="55">
        <f>SUM(E125:AC125)</f>
        <v>0</v>
      </c>
      <c r="E125" s="37">
        <f>$C$49*E109</f>
        <v>0</v>
      </c>
      <c r="F125" s="37">
        <f>$C$49*F109</f>
        <v>0</v>
      </c>
      <c r="G125" s="37">
        <f>$C$49*G109</f>
        <v>0</v>
      </c>
      <c r="H125" s="37">
        <f>$C$49*H109</f>
        <v>0</v>
      </c>
      <c r="I125" s="37">
        <f>$C$49*I109</f>
        <v>0</v>
      </c>
      <c r="J125" s="37">
        <f>$C$49*J109</f>
        <v>0</v>
      </c>
      <c r="K125" s="37">
        <f>$C$49*K109</f>
        <v>0</v>
      </c>
      <c r="L125" s="37">
        <f>$C$49*L109</f>
        <v>0</v>
      </c>
      <c r="M125" s="37">
        <f>$C$49*M109</f>
        <v>0</v>
      </c>
      <c r="N125" s="37">
        <f>$C$49*N109</f>
        <v>0</v>
      </c>
      <c r="O125" s="37">
        <f>$C$49*O109</f>
        <v>0</v>
      </c>
      <c r="P125" s="37">
        <f>$C$49*P109</f>
        <v>0</v>
      </c>
      <c r="Q125" s="37">
        <f>$C$49*Q109</f>
        <v>0</v>
      </c>
      <c r="R125" s="37">
        <f>$C$49*R109</f>
        <v>0</v>
      </c>
      <c r="S125" s="37">
        <f>$C$49*S109</f>
        <v>0</v>
      </c>
      <c r="T125" s="37">
        <f>$C$49*T109</f>
        <v>0</v>
      </c>
      <c r="U125" s="37">
        <f>$C$49*U109</f>
        <v>0</v>
      </c>
      <c r="V125" s="37">
        <f>$C$49*V109</f>
        <v>0</v>
      </c>
      <c r="W125" s="37">
        <f>$C$49*W109</f>
        <v>0</v>
      </c>
      <c r="X125" s="37">
        <f>$C$49*X109</f>
        <v>0</v>
      </c>
      <c r="Y125" s="37">
        <f>$C$49*Y109</f>
        <v>0</v>
      </c>
      <c r="Z125" s="37">
        <f>$C$49*Z109</f>
        <v>0</v>
      </c>
      <c r="AA125" s="37">
        <f>$C$49*AA109</f>
        <v>0</v>
      </c>
      <c r="AB125" s="37">
        <f>$C$49*AB109</f>
        <v>0</v>
      </c>
      <c r="AC125" s="37">
        <f>$C$49*AC109</f>
        <v>0</v>
      </c>
    </row>
    <row r="126" spans="1:29" x14ac:dyDescent="0.25">
      <c r="A126" s="59" t="s">
        <v>181</v>
      </c>
      <c r="B126" s="60" t="s">
        <v>68</v>
      </c>
      <c r="C126" s="61">
        <f>SUM(E126:AC126)</f>
        <v>2809.729558298959</v>
      </c>
      <c r="D126" s="62"/>
      <c r="E126" s="61">
        <f>SUM(E121:E125)</f>
        <v>64.935</v>
      </c>
      <c r="F126" s="61">
        <f>SUM(F121:F125)</f>
        <v>67.545</v>
      </c>
      <c r="G126" s="61">
        <f>SUM(G121:G125)</f>
        <v>70.2855</v>
      </c>
      <c r="H126" s="61">
        <f>SUM(H121:H125)</f>
        <v>73.163025</v>
      </c>
      <c r="I126" s="61">
        <f>SUM(I121:I125)</f>
        <v>76.18442625000002</v>
      </c>
      <c r="J126" s="61">
        <f>SUM(J121:J125)</f>
        <v>79.35689756250002</v>
      </c>
      <c r="K126" s="61">
        <f>SUM(K121:K125)</f>
        <v>82.68799244062502</v>
      </c>
      <c r="L126" s="61">
        <f>SUM(L121:L125)</f>
        <v>86.18564206265627</v>
      </c>
      <c r="M126" s="61">
        <f>SUM(M121:M125)</f>
        <v>89.85817416578908</v>
      </c>
      <c r="N126" s="61">
        <f>SUM(N121:N125)</f>
        <v>93.71433287407855</v>
      </c>
      <c r="O126" s="61">
        <f>SUM(O121:O125)</f>
        <v>97.76329951778249</v>
      </c>
      <c r="P126" s="61">
        <f>SUM(P121:P125)</f>
        <v>102.0147144936716</v>
      </c>
      <c r="Q126" s="61">
        <f>SUM(Q121:Q125)</f>
        <v>106.4787002183552</v>
      </c>
      <c r="R126" s="61">
        <f>SUM(R121:R125)</f>
        <v>111.16588522927296</v>
      </c>
      <c r="S126" s="61">
        <f>SUM(S121:S125)</f>
        <v>116.08742949073661</v>
      </c>
      <c r="T126" s="61">
        <f>SUM(T121:T125)</f>
        <v>121.25505096527345</v>
      </c>
      <c r="U126" s="61">
        <f>SUM(U121:U125)</f>
        <v>126.68105351353711</v>
      </c>
      <c r="V126" s="61">
        <f>SUM(V121:V125)</f>
        <v>132.378356189214</v>
      </c>
      <c r="W126" s="61">
        <f>SUM(W121:W125)</f>
        <v>138.3605239986747</v>
      </c>
      <c r="X126" s="61">
        <f>SUM(X121:X125)</f>
        <v>144.64180019860845</v>
      </c>
      <c r="Y126" s="61">
        <f>SUM(Y121:Y125)</f>
        <v>151.23714020853885</v>
      </c>
      <c r="Z126" s="61">
        <f>SUM(Z121:Z125)</f>
        <v>158.16224721896577</v>
      </c>
      <c r="AA126" s="61">
        <f>SUM(AA121:AA125)</f>
        <v>165.4336095799141</v>
      </c>
      <c r="AB126" s="61">
        <f>SUM(AB121:AB125)</f>
        <v>173.06854005890983</v>
      </c>
      <c r="AC126" s="61">
        <f>SUM(AC121:AC125)</f>
        <v>181.08521706185525</v>
      </c>
    </row>
    <row r="127" spans="1:29" x14ac:dyDescent="0.25">
      <c r="A127" s="59" t="s">
        <v>182</v>
      </c>
      <c r="B127" s="60" t="s">
        <v>68</v>
      </c>
      <c r="C127" s="61">
        <f>SUM(E127:AC127)</f>
        <v>14181.739934371444</v>
      </c>
      <c r="D127" s="62"/>
      <c r="E127" s="61">
        <f>E118-E126</f>
        <v>624.3600643473017</v>
      </c>
      <c r="F127" s="61">
        <f>F118-F126</f>
        <v>621.0399483352617</v>
      </c>
      <c r="G127" s="61">
        <f>G118-G126</f>
        <v>617.5646292081508</v>
      </c>
      <c r="H127" s="61">
        <f>H118-H126</f>
        <v>613.9324871815104</v>
      </c>
      <c r="I127" s="61">
        <f>I118-I126</f>
        <v>610.148156632293</v>
      </c>
      <c r="J127" s="61">
        <f>J118-J126</f>
        <v>606.2040925474921</v>
      </c>
      <c r="K127" s="61">
        <f>K118-K126</f>
        <v>602.0923708401841</v>
      </c>
      <c r="L127" s="61">
        <f>L118-L126</f>
        <v>597.8063160355854</v>
      </c>
      <c r="M127" s="61">
        <f>M118-M126</f>
        <v>593.33503363193</v>
      </c>
      <c r="N127" s="61">
        <f>N118-N126</f>
        <v>588.6797312995343</v>
      </c>
      <c r="O127" s="61">
        <f>O118-O126</f>
        <v>583.8175490751156</v>
      </c>
      <c r="P127" s="61">
        <f>P118-P126</f>
        <v>578.7365805790341</v>
      </c>
      <c r="Q127" s="61">
        <f>Q118-Q126</f>
        <v>573.4351803336818</v>
      </c>
      <c r="R127" s="61">
        <f>R118-R126</f>
        <v>567.9066323554829</v>
      </c>
      <c r="S127" s="61">
        <f>S118-S126</f>
        <v>562.127640173778</v>
      </c>
      <c r="T127" s="61">
        <f>T118-T126</f>
        <v>556.0842496746727</v>
      </c>
      <c r="U127" s="61">
        <f>U118-U126</f>
        <v>549.7692401371992</v>
      </c>
      <c r="V127" s="61">
        <f>V118-V126</f>
        <v>543.1780880684357</v>
      </c>
      <c r="W127" s="61">
        <f>W118-W126</f>
        <v>536.3050574033527</v>
      </c>
      <c r="X127" s="61">
        <f>X118-X126</f>
        <v>529.1228916987425</v>
      </c>
      <c r="Y127" s="61">
        <f>Y118-Y126</f>
        <v>521.6169355053169</v>
      </c>
      <c r="Z127" s="61">
        <f>Z118-Z126</f>
        <v>513.7740906107097</v>
      </c>
      <c r="AA127" s="61">
        <f>AA118-AA126</f>
        <v>505.58284574825814</v>
      </c>
      <c r="AB127" s="61">
        <f>AB118-AB126</f>
        <v>497.02916523001153</v>
      </c>
      <c r="AC127" s="61">
        <f>AC118-AC126</f>
        <v>488.0909577184086</v>
      </c>
    </row>
    <row r="128" spans="1:29" x14ac:dyDescent="0.25">
      <c r="A128" s="33" t="s">
        <v>183</v>
      </c>
      <c r="B128" s="26" t="s">
        <v>65</v>
      </c>
      <c r="E128" s="32">
        <f>IF(E118&lt;&gt;0,E127/E118,"")</f>
        <v>0.9057950602598797</v>
      </c>
      <c r="F128" s="32">
        <f>IF(F118&lt;&gt;0,F127/F118,"")</f>
        <v>0.9019075276575559</v>
      </c>
      <c r="G128" s="32">
        <f>IF(G118&lt;&gt;0,G127/G118,"")</f>
        <v>0.8978185842882486</v>
      </c>
      <c r="H128" s="32">
        <f>IF(H118&lt;&gt;0,H127/H118,"")</f>
        <v>0.8935184065346181</v>
      </c>
      <c r="I128" s="32">
        <f>IF(I118&lt;&gt;0,I127/I118,"")</f>
        <v>0.8889978005560232</v>
      </c>
      <c r="J128" s="32">
        <f>IF(J118&lt;&gt;0,J127/J118,"")</f>
        <v>0.8842453133895964</v>
      </c>
      <c r="K128" s="32">
        <f>IF(K118&lt;&gt;0,K127/K118,"")</f>
        <v>0.8792488849352168</v>
      </c>
      <c r="L128" s="32">
        <f>IF(L118&lt;&gt;0,L127/L118,"")</f>
        <v>0.8739961178750036</v>
      </c>
      <c r="M128" s="32">
        <f>IF(M118&lt;&gt;0,M127/M118,"")</f>
        <v>0.8684732618237703</v>
      </c>
      <c r="N128" s="32">
        <f>IF(N118&lt;&gt;0,N127/N118,"")</f>
        <v>0.8626683059039095</v>
      </c>
      <c r="O128" s="32">
        <f>IF(O118&lt;&gt;0,O127/O118,"")</f>
        <v>0.8565638988835856</v>
      </c>
      <c r="P128" s="32">
        <f>IF(P118&lt;&gt;0,P127/P118,"")</f>
        <v>0.850143928873795</v>
      </c>
      <c r="Q128" s="32">
        <f>IF(Q118&lt;&gt;0,Q127/Q118,"")</f>
        <v>0.8433938425673809</v>
      </c>
      <c r="R128" s="32">
        <f>IF(R118&lt;&gt;0,R127/R118,"")</f>
        <v>0.8362974758209116</v>
      </c>
      <c r="S128" s="32">
        <f>IF(S118&lt;&gt;0,S127/S118,"")</f>
        <v>0.828833898444397</v>
      </c>
      <c r="T128" s="32">
        <f>IF(T118&lt;&gt;0,T127/T118,"")</f>
        <v>0.820983293231749</v>
      </c>
      <c r="U128" s="32">
        <f>IF(U118&lt;&gt;0,U127/U118,"")</f>
        <v>0.8127267373485023</v>
      </c>
      <c r="V128" s="32">
        <f>IF(V118&lt;&gt;0,V127/V118,"")</f>
        <v>0.8040454542111859</v>
      </c>
      <c r="W128" s="32">
        <f>IF(W118&lt;&gt;0,W127/W118,"")</f>
        <v>0.794919842048046</v>
      </c>
      <c r="X128" s="32">
        <f>IF(X118&lt;&gt;0,X127/X118,"")</f>
        <v>0.7853229741212903</v>
      </c>
      <c r="Y128" s="32">
        <f>IF(Y118&lt;&gt;0,Y127/Y118,"")</f>
        <v>0.7752304018548365</v>
      </c>
      <c r="Z128" s="32">
        <f>IF(Z118&lt;&gt;0,Z127/Z118,"")</f>
        <v>0.7646172139911009</v>
      </c>
      <c r="AA128" s="32">
        <f>IF(AA118&lt;&gt;0,AA127/AA118,"")</f>
        <v>0.7534581927666648</v>
      </c>
      <c r="AB128" s="32">
        <f>IF(AB118&lt;&gt;0,AB127/AB118,"")</f>
        <v>0.741726409905718</v>
      </c>
      <c r="AC128" s="32">
        <f>IF(AC118&lt;&gt;0,AC127/AC118,"")</f>
        <v>0.7293908183128041</v>
      </c>
    </row>
    <row r="130" ht="20" customHeight="1" spans="1:29" x14ac:dyDescent="0.25">
      <c r="A130" s="21" t="s">
        <v>184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x14ac:dyDescent="0.25">
      <c r="A131" s="33" t="s">
        <v>122</v>
      </c>
      <c r="B131" s="26" t="s">
        <v>68</v>
      </c>
      <c r="C131" s="55">
        <f>SUM(E131:AC131)</f>
        <v>241.45214147790128</v>
      </c>
      <c r="E131" s="37">
        <f>IF($C$56="annual",IF(E$5&gt;=2,$C$35*$C$57*$C$39*E110,0),IF(AND($C$56="oneTime",E$5=$C$58,$C$58&gt;1,$C$58&lt;=$C$86),$C$35*MIN(0.6,$C$57*(E$5-1))*$C$39*E110,0))</f>
        <v>0</v>
      </c>
      <c r="F131" s="37">
        <f>IF($C$56="annual",IF(F$5&gt;=2,$C$35*$C$57*$C$39*F110,0),IF(AND($C$56="oneTime",F$5=$C$58,$C$58&gt;1,$C$58&lt;=$C$86),$C$35*MIN(0.6,$C$57*(F$5-1))*$C$39*F110,0))</f>
        <v>13.968</v>
      </c>
      <c r="G131" s="37">
        <f>IF($C$56="annual",IF(G$5&gt;=2,$C$35*$C$57*$C$39*G110,0),IF(AND($C$56="oneTime",G$5=$C$58,$C$58&gt;1,$C$58&lt;=$C$86),$C$35*MIN(0.6,$C$57*(G$5-1))*$C$39*G110,0))</f>
        <v>13.548959999999997</v>
      </c>
      <c r="H131" s="37">
        <f>IF($C$56="annual",IF(H$5&gt;=2,$C$35*$C$57*$C$39*H110,0),IF(AND($C$56="oneTime",H$5=$C$58,$C$58&gt;1,$C$58&lt;=$C$86),$C$35*MIN(0.6,$C$57*(H$5-1))*$C$39*H110,0))</f>
        <v>13.142491199999998</v>
      </c>
      <c r="I131" s="37">
        <f>IF($C$56="annual",IF(I$5&gt;=2,$C$35*$C$57*$C$39*I110,0),IF(AND($C$56="oneTime",I$5=$C$58,$C$58&gt;1,$C$58&lt;=$C$86),$C$35*MIN(0.6,$C$57*(I$5-1))*$C$39*I110,0))</f>
        <v>12.748216463999999</v>
      </c>
      <c r="J131" s="37">
        <f>IF($C$56="annual",IF(J$5&gt;=2,$C$35*$C$57*$C$39*J110,0),IF(AND($C$56="oneTime",J$5=$C$58,$C$58&gt;1,$C$58&lt;=$C$86),$C$35*MIN(0.6,$C$57*(J$5-1))*$C$39*J110,0))</f>
        <v>12.365769970079997</v>
      </c>
      <c r="K131" s="37">
        <f>IF($C$56="annual",IF(K$5&gt;=2,$C$35*$C$57*$C$39*K110,0),IF(AND($C$56="oneTime",K$5=$C$58,$C$58&gt;1,$C$58&lt;=$C$86),$C$35*MIN(0.6,$C$57*(K$5-1))*$C$39*K110,0))</f>
        <v>11.994796870977599</v>
      </c>
      <c r="L131" s="37">
        <f>IF($C$56="annual",IF(L$5&gt;=2,$C$35*$C$57*$C$39*L110,0),IF(AND($C$56="oneTime",L$5=$C$58,$C$58&gt;1,$C$58&lt;=$C$86),$C$35*MIN(0.6,$C$57*(L$5-1))*$C$39*L110,0))</f>
        <v>11.634952964848267</v>
      </c>
      <c r="M131" s="37">
        <f>IF($C$56="annual",IF(M$5&gt;=2,$C$35*$C$57*$C$39*M110,0),IF(AND($C$56="oneTime",M$5=$C$58,$C$58&gt;1,$C$58&lt;=$C$86),$C$35*MIN(0.6,$C$57*(M$5-1))*$C$39*M110,0))</f>
        <v>11.28590437590282</v>
      </c>
      <c r="N131" s="37">
        <f>IF($C$56="annual",IF(N$5&gt;=2,$C$35*$C$57*$C$39*N110,0),IF(AND($C$56="oneTime",N$5=$C$58,$C$58&gt;1,$C$58&lt;=$C$86),$C$35*MIN(0.6,$C$57*(N$5-1))*$C$39*N110,0))</f>
        <v>10.947327244625734</v>
      </c>
      <c r="O131" s="37">
        <f>IF($C$56="annual",IF(O$5&gt;=2,$C$35*$C$57*$C$39*O110,0),IF(AND($C$56="oneTime",O$5=$C$58,$C$58&gt;1,$C$58&lt;=$C$86),$C$35*MIN(0.6,$C$57*(O$5-1))*$C$39*O110,0))</f>
        <v>10.618907427286963</v>
      </c>
      <c r="P131" s="37">
        <f>IF($C$56="annual",IF(P$5&gt;=2,$C$35*$C$57*$C$39*P110,0),IF(AND($C$56="oneTime",P$5=$C$58,$C$58&gt;1,$C$58&lt;=$C$86),$C$35*MIN(0.6,$C$57*(P$5-1))*$C$39*P110,0))</f>
        <v>10.300340204468355</v>
      </c>
      <c r="Q131" s="37">
        <f>IF($C$56="annual",IF(Q$5&gt;=2,$C$35*$C$57*$C$39*Q110,0),IF(AND($C$56="oneTime",Q$5=$C$58,$C$58&gt;1,$C$58&lt;=$C$86),$C$35*MIN(0.6,$C$57*(Q$5-1))*$C$39*Q110,0))</f>
        <v>9.991329998334304</v>
      </c>
      <c r="R131" s="37">
        <f>IF($C$56="annual",IF(R$5&gt;=2,$C$35*$C$57*$C$39*R110,0),IF(AND($C$56="oneTime",R$5=$C$58,$C$58&gt;1,$C$58&lt;=$C$86),$C$35*MIN(0.6,$C$57*(R$5-1))*$C$39*R110,0))</f>
        <v>9.691590098384275</v>
      </c>
      <c r="S131" s="37">
        <f>IF($C$56="annual",IF(S$5&gt;=2,$C$35*$C$57*$C$39*S110,0),IF(AND($C$56="oneTime",S$5=$C$58,$C$58&gt;1,$C$58&lt;=$C$86),$C$35*MIN(0.6,$C$57*(S$5-1))*$C$39*S110,0))</f>
        <v>9.400842395432745</v>
      </c>
      <c r="T131" s="37">
        <f>IF($C$56="annual",IF(T$5&gt;=2,$C$35*$C$57*$C$39*T110,0),IF(AND($C$56="oneTime",T$5=$C$58,$C$58&gt;1,$C$58&lt;=$C$86),$C$35*MIN(0.6,$C$57*(T$5-1))*$C$39*T110,0))</f>
        <v>9.118817123569764</v>
      </c>
      <c r="U131" s="37">
        <f>IF($C$56="annual",IF(U$5&gt;=2,$C$35*$C$57*$C$39*U110,0),IF(AND($C$56="oneTime",U$5=$C$58,$C$58&gt;1,$C$58&lt;=$C$86),$C$35*MIN(0.6,$C$57*(U$5-1))*$C$39*U110,0))</f>
        <v>8.84525260986267</v>
      </c>
      <c r="V131" s="37">
        <f>IF($C$56="annual",IF(V$5&gt;=2,$C$35*$C$57*$C$39*V110,0),IF(AND($C$56="oneTime",V$5=$C$58,$C$58&gt;1,$C$58&lt;=$C$86),$C$35*MIN(0.6,$C$57*(V$5-1))*$C$39*V110,0))</f>
        <v>8.57989503156679</v>
      </c>
      <c r="W131" s="37">
        <f>IF($C$56="annual",IF(W$5&gt;=2,$C$35*$C$57*$C$39*W110,0),IF(AND($C$56="oneTime",W$5=$C$58,$C$58&gt;1,$C$58&lt;=$C$86),$C$35*MIN(0.6,$C$57*(W$5-1))*$C$39*W110,0))</f>
        <v>8.322498180619785</v>
      </c>
      <c r="X131" s="37">
        <f>IF($C$56="annual",IF(X$5&gt;=2,$C$35*$C$57*$C$39*X110,0),IF(AND($C$56="oneTime",X$5=$C$58,$C$58&gt;1,$C$58&lt;=$C$86),$C$35*MIN(0.6,$C$57*(X$5-1))*$C$39*X110,0))</f>
        <v>8.072823235201191</v>
      </c>
      <c r="Y131" s="37">
        <f>IF($C$56="annual",IF(Y$5&gt;=2,$C$35*$C$57*$C$39*Y110,0),IF(AND($C$56="oneTime",Y$5=$C$58,$C$58&gt;1,$C$58&lt;=$C$86),$C$35*MIN(0.6,$C$57*(Y$5-1))*$C$39*Y110,0))</f>
        <v>7.8306385381451555</v>
      </c>
      <c r="Z131" s="37">
        <f>IF($C$56="annual",IF(Z$5&gt;=2,$C$35*$C$57*$C$39*Z110,0),IF(AND($C$56="oneTime",Z$5=$C$58,$C$58&gt;1,$C$58&lt;=$C$86),$C$35*MIN(0.6,$C$57*(Z$5-1))*$C$39*Z110,0))</f>
        <v>7.5957193820008015</v>
      </c>
      <c r="AA131" s="37">
        <f>IF($C$56="annual",IF(AA$5&gt;=2,$C$35*$C$57*$C$39*AA110,0),IF(AND($C$56="oneTime",AA$5=$C$58,$C$58&gt;1,$C$58&lt;=$C$86),$C$35*MIN(0.6,$C$57*(AA$5-1))*$C$39*AA110,0))</f>
        <v>7.367847800540778</v>
      </c>
      <c r="AB131" s="37">
        <f>IF($C$56="annual",IF(AB$5&gt;=2,$C$35*$C$57*$C$39*AB110,0),IF(AND($C$56="oneTime",AB$5=$C$58,$C$58&gt;1,$C$58&lt;=$C$86),$C$35*MIN(0.6,$C$57*(AB$5-1))*$C$39*AB110,0))</f>
        <v>7.146812366524553</v>
      </c>
      <c r="AC131" s="37">
        <f>IF($C$56="annual",IF(AC$5&gt;=2,$C$35*$C$57*$C$39*AC110,0),IF(AND($C$56="oneTime",AC$5=$C$58,$C$58&gt;1,$C$58&lt;=$C$86),$C$35*MIN(0.6,$C$57*(AC$5-1))*$C$39*AC110,0))</f>
        <v>6.932407995528816</v>
      </c>
    </row>
    <row r="133" ht="20" customHeight="1" spans="1:29" x14ac:dyDescent="0.25">
      <c r="A133" s="21" t="s">
        <v>185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x14ac:dyDescent="0.25">
      <c r="A134" s="33" t="s">
        <v>186</v>
      </c>
      <c r="B134" s="26" t="s">
        <v>68</v>
      </c>
      <c r="C134" s="55">
        <f>SUM(E134:AC134)</f>
        <v>4011.5250000000033</v>
      </c>
      <c r="E134" s="37">
        <f>IF(E$5&lt;=$C$71,$C$91,0)</f>
        <v>160.461</v>
      </c>
      <c r="F134" s="37">
        <f>IF(F$5&lt;=$C$71,$C$91,0)</f>
        <v>160.461</v>
      </c>
      <c r="G134" s="37">
        <f>IF(G$5&lt;=$C$71,$C$91,0)</f>
        <v>160.461</v>
      </c>
      <c r="H134" s="37">
        <f>IF(H$5&lt;=$C$71,$C$91,0)</f>
        <v>160.461</v>
      </c>
      <c r="I134" s="37">
        <f>IF(I$5&lt;=$C$71,$C$91,0)</f>
        <v>160.461</v>
      </c>
      <c r="J134" s="37">
        <f>IF(J$5&lt;=$C$71,$C$91,0)</f>
        <v>160.461</v>
      </c>
      <c r="K134" s="37">
        <f>IF(K$5&lt;=$C$71,$C$91,0)</f>
        <v>160.461</v>
      </c>
      <c r="L134" s="37">
        <f>IF(L$5&lt;=$C$71,$C$91,0)</f>
        <v>160.461</v>
      </c>
      <c r="M134" s="37">
        <f>IF(M$5&lt;=$C$71,$C$91,0)</f>
        <v>160.461</v>
      </c>
      <c r="N134" s="37">
        <f>IF(N$5&lt;=$C$71,$C$91,0)</f>
        <v>160.461</v>
      </c>
      <c r="O134" s="37">
        <f>IF(O$5&lt;=$C$71,$C$91,0)</f>
        <v>160.461</v>
      </c>
      <c r="P134" s="37">
        <f>IF(P$5&lt;=$C$71,$C$91,0)</f>
        <v>160.461</v>
      </c>
      <c r="Q134" s="37">
        <f>IF(Q$5&lt;=$C$71,$C$91,0)</f>
        <v>160.461</v>
      </c>
      <c r="R134" s="37">
        <f>IF(R$5&lt;=$C$71,$C$91,0)</f>
        <v>160.461</v>
      </c>
      <c r="S134" s="37">
        <f>IF(S$5&lt;=$C$71,$C$91,0)</f>
        <v>160.461</v>
      </c>
      <c r="T134" s="37">
        <f>IF(T$5&lt;=$C$71,$C$91,0)</f>
        <v>160.461</v>
      </c>
      <c r="U134" s="37">
        <f>IF(U$5&lt;=$C$71,$C$91,0)</f>
        <v>160.461</v>
      </c>
      <c r="V134" s="37">
        <f>IF(V$5&lt;=$C$71,$C$91,0)</f>
        <v>160.461</v>
      </c>
      <c r="W134" s="37">
        <f>IF(W$5&lt;=$C$71,$C$91,0)</f>
        <v>160.461</v>
      </c>
      <c r="X134" s="37">
        <f>IF(X$5&lt;=$C$71,$C$91,0)</f>
        <v>160.461</v>
      </c>
      <c r="Y134" s="37">
        <f>IF(Y$5&lt;=$C$71,$C$91,0)</f>
        <v>160.461</v>
      </c>
      <c r="Z134" s="37">
        <f>IF(Z$5&lt;=$C$71,$C$91,0)</f>
        <v>160.461</v>
      </c>
      <c r="AA134" s="37">
        <f>IF(AA$5&lt;=$C$71,$C$91,0)</f>
        <v>160.461</v>
      </c>
      <c r="AB134" s="37">
        <f>IF(AB$5&lt;=$C$71,$C$91,0)</f>
        <v>160.461</v>
      </c>
      <c r="AC134" s="37">
        <f>IF(AC$5&lt;=$C$71,$C$91,0)</f>
        <v>160.461</v>
      </c>
    </row>
    <row r="135" spans="1:29" x14ac:dyDescent="0.25">
      <c r="A135" s="33" t="s">
        <v>187</v>
      </c>
      <c r="B135" s="26" t="s">
        <v>68</v>
      </c>
      <c r="E135" s="37">
        <f>E131/MAX(1,$C$86-E$5+1)</f>
        <v>0</v>
      </c>
      <c r="F135" s="37">
        <f>F131/MAX(1,$C$86-F$5+1)</f>
        <v>0.582</v>
      </c>
      <c r="G135" s="37">
        <f>G131/MAX(1,$C$86-G$5+1)</f>
        <v>0.5890852173913043</v>
      </c>
      <c r="H135" s="37">
        <f>H131/MAX(1,$C$86-H$5+1)</f>
        <v>0.5973859636363635</v>
      </c>
      <c r="I135" s="37">
        <f>I131/MAX(1,$C$86-I$5+1)</f>
        <v>0.6070579268571428</v>
      </c>
      <c r="J135" s="37">
        <f>J131/MAX(1,$C$86-J$5+1)</f>
        <v>0.6182884985039998</v>
      </c>
      <c r="K135" s="37">
        <f>K131/MAX(1,$C$86-K$5+1)</f>
        <v>0.6313050984725052</v>
      </c>
      <c r="L135" s="37">
        <f>L131/MAX(1,$C$86-L$5+1)</f>
        <v>0.6463862758249037</v>
      </c>
      <c r="M135" s="37">
        <f>M131/MAX(1,$C$86-M$5+1)</f>
        <v>0.6638767279942835</v>
      </c>
      <c r="N135" s="37">
        <f>N131/MAX(1,$C$86-N$5+1)</f>
        <v>0.6842079527891084</v>
      </c>
      <c r="O135" s="37">
        <f>O131/MAX(1,$C$86-O$5+1)</f>
        <v>0.7079271618191308</v>
      </c>
      <c r="P135" s="37">
        <f>P131/MAX(1,$C$86-P$5+1)</f>
        <v>0.735738586033454</v>
      </c>
      <c r="Q135" s="37">
        <f>Q131/MAX(1,$C$86-Q$5+1)</f>
        <v>0.7685638460257157</v>
      </c>
      <c r="R135" s="37">
        <f>R131/MAX(1,$C$86-R$5+1)</f>
        <v>0.8076325081986896</v>
      </c>
      <c r="S135" s="37">
        <f>S131/MAX(1,$C$86-S$5+1)</f>
        <v>0.8546220359484313</v>
      </c>
      <c r="T135" s="37">
        <f>T131/MAX(1,$C$86-T$5+1)</f>
        <v>0.9118817123569765</v>
      </c>
      <c r="U135" s="37">
        <f>U131/MAX(1,$C$86-U$5+1)</f>
        <v>0.9828058455402966</v>
      </c>
      <c r="V135" s="37">
        <f>V131/MAX(1,$C$86-V$5+1)</f>
        <v>1.0724868789458488</v>
      </c>
      <c r="W135" s="37">
        <f>W131/MAX(1,$C$86-W$5+1)</f>
        <v>1.188928311517112</v>
      </c>
      <c r="X135" s="37">
        <f>X131/MAX(1,$C$86-X$5+1)</f>
        <v>1.3454705392001987</v>
      </c>
      <c r="Y135" s="37">
        <f>Y131/MAX(1,$C$86-Y$5+1)</f>
        <v>1.5661277076290312</v>
      </c>
      <c r="Z135" s="37">
        <f>Z131/MAX(1,$C$86-Z$5+1)</f>
        <v>1.8989298455002004</v>
      </c>
      <c r="AA135" s="37">
        <f>AA131/MAX(1,$C$86-AA$5+1)</f>
        <v>2.455949266846926</v>
      </c>
      <c r="AB135" s="37">
        <f>AB131/MAX(1,$C$86-AB$5+1)</f>
        <v>3.5734061832622763</v>
      </c>
      <c r="AC135" s="37">
        <f>AC131/MAX(1,$C$86-AC$5+1)</f>
        <v>6.932407995528816</v>
      </c>
    </row>
    <row r="136" spans="1:29" x14ac:dyDescent="0.25">
      <c r="A136" s="33" t="s">
        <v>188</v>
      </c>
      <c r="B136" s="26" t="s">
        <v>68</v>
      </c>
      <c r="C136" s="55">
        <f>SUM(E136:AC136)</f>
        <v>241.45214147790134</v>
      </c>
      <c r="E136" s="37">
        <f>E135</f>
        <v>0</v>
      </c>
      <c r="F136" s="37">
        <f>E136+F135</f>
        <v>0.582</v>
      </c>
      <c r="G136" s="37">
        <f>F136+G135</f>
        <v>1.1710852173913042</v>
      </c>
      <c r="H136" s="37">
        <f>G136+H135</f>
        <v>1.7684711810276679</v>
      </c>
      <c r="I136" s="37">
        <f>H136+I135</f>
        <v>2.3755291078848106</v>
      </c>
      <c r="J136" s="37">
        <f>I136+J135</f>
        <v>2.9938176063888102</v>
      </c>
      <c r="K136" s="37">
        <f>J136+K135</f>
        <v>3.6251227048613153</v>
      </c>
      <c r="L136" s="37">
        <f>K136+L135</f>
        <v>4.271508980686219</v>
      </c>
      <c r="M136" s="37">
        <f>L136+M135</f>
        <v>4.935385708680503</v>
      </c>
      <c r="N136" s="37">
        <f>M136+N135</f>
        <v>5.619593661469612</v>
      </c>
      <c r="O136" s="37">
        <f>N136+O135</f>
        <v>6.327520823288743</v>
      </c>
      <c r="P136" s="37">
        <f>O136+P135</f>
        <v>7.063259409322197</v>
      </c>
      <c r="Q136" s="37">
        <f>P136+Q135</f>
        <v>7.831823255347913</v>
      </c>
      <c r="R136" s="37">
        <f>Q136+R135</f>
        <v>8.639455763546602</v>
      </c>
      <c r="S136" s="37">
        <f>R136+S135</f>
        <v>9.494077799495033</v>
      </c>
      <c r="T136" s="37">
        <f>S136+T135</f>
        <v>10.405959511852009</v>
      </c>
      <c r="U136" s="37">
        <f>T136+U135</f>
        <v>11.388765357392305</v>
      </c>
      <c r="V136" s="37">
        <f>U136+V135</f>
        <v>12.461252236338154</v>
      </c>
      <c r="W136" s="37">
        <f>V136+W135</f>
        <v>13.650180547855266</v>
      </c>
      <c r="X136" s="37">
        <f>W136+X135</f>
        <v>14.995651087055464</v>
      </c>
      <c r="Y136" s="37">
        <f>X136+Y135</f>
        <v>16.561778794684496</v>
      </c>
      <c r="Z136" s="37">
        <f>Y136+Z135</f>
        <v>18.4607086401847</v>
      </c>
      <c r="AA136" s="37">
        <f>Z136+AA135</f>
        <v>20.916657907031624</v>
      </c>
      <c r="AB136" s="37">
        <f>AA136+AB135</f>
        <v>24.4900640902939</v>
      </c>
      <c r="AC136" s="37">
        <f>AB136+AC135</f>
        <v>31.422472085822715</v>
      </c>
    </row>
    <row r="137" spans="1:29" x14ac:dyDescent="0.25">
      <c r="A137" s="59" t="s">
        <v>185</v>
      </c>
      <c r="B137" s="60" t="s">
        <v>68</v>
      </c>
      <c r="C137" s="61">
        <f>SUM(E137:AC137)</f>
        <v>4252.9771414779025</v>
      </c>
      <c r="D137" s="62"/>
      <c r="E137" s="61">
        <f>E134+E136</f>
        <v>160.461</v>
      </c>
      <c r="F137" s="61">
        <f>F134+F136</f>
        <v>161.043</v>
      </c>
      <c r="G137" s="61">
        <f>G134+G136</f>
        <v>161.6320852173913</v>
      </c>
      <c r="H137" s="61">
        <f>H134+H136</f>
        <v>162.2294711810277</v>
      </c>
      <c r="I137" s="61">
        <f>I134+I136</f>
        <v>162.83652910788481</v>
      </c>
      <c r="J137" s="61">
        <f>J134+J136</f>
        <v>163.45481760638881</v>
      </c>
      <c r="K137" s="61">
        <f>K134+K136</f>
        <v>164.08612270486134</v>
      </c>
      <c r="L137" s="61">
        <f>L134+L136</f>
        <v>164.73250898068622</v>
      </c>
      <c r="M137" s="61">
        <f>M134+M136</f>
        <v>165.39638570868053</v>
      </c>
      <c r="N137" s="61">
        <f>N134+N136</f>
        <v>166.08059366146963</v>
      </c>
      <c r="O137" s="61">
        <f>O134+O136</f>
        <v>166.78852082328876</v>
      </c>
      <c r="P137" s="61">
        <f>P134+P136</f>
        <v>167.5242594093222</v>
      </c>
      <c r="Q137" s="61">
        <f>Q134+Q136</f>
        <v>168.2928232553479</v>
      </c>
      <c r="R137" s="61">
        <f>R134+R136</f>
        <v>169.10045576354662</v>
      </c>
      <c r="S137" s="61">
        <f>S134+S136</f>
        <v>169.95507779949506</v>
      </c>
      <c r="T137" s="61">
        <f>T134+T136</f>
        <v>170.86695951185203</v>
      </c>
      <c r="U137" s="61">
        <f>U134+U136</f>
        <v>171.84976535739233</v>
      </c>
      <c r="V137" s="61">
        <f>V134+V136</f>
        <v>172.92225223633818</v>
      </c>
      <c r="W137" s="61">
        <f>W134+W136</f>
        <v>174.11118054785527</v>
      </c>
      <c r="X137" s="61">
        <f>X134+X136</f>
        <v>175.4566510870555</v>
      </c>
      <c r="Y137" s="61">
        <f>Y134+Y136</f>
        <v>177.0227787946845</v>
      </c>
      <c r="Z137" s="61">
        <f>Z134+Z136</f>
        <v>178.9217086401847</v>
      </c>
      <c r="AA137" s="61">
        <f>AA134+AA136</f>
        <v>181.37765790703165</v>
      </c>
      <c r="AB137" s="61">
        <f>AB134+AB136</f>
        <v>184.95106409029393</v>
      </c>
      <c r="AC137" s="61">
        <f>AC134+AC136</f>
        <v>191.88347208582272</v>
      </c>
    </row>
    <row r="139" ht="20" customHeight="1" spans="1:29" x14ac:dyDescent="0.25">
      <c r="A139" s="21" t="s">
        <v>76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x14ac:dyDescent="0.25">
      <c r="A140" s="33" t="s">
        <v>189</v>
      </c>
      <c r="B140" s="26" t="s">
        <v>68</v>
      </c>
      <c r="E140" s="37">
        <f>$C$84</f>
        <v>3120.075</v>
      </c>
      <c r="F140" s="37">
        <f>E143</f>
        <v>2912.0699999999997</v>
      </c>
      <c r="G140" s="37">
        <f>F143</f>
        <v>2704.0649999999996</v>
      </c>
      <c r="H140" s="37">
        <f>G143</f>
        <v>2496.0599999999995</v>
      </c>
      <c r="I140" s="37">
        <f>H143</f>
        <v>2288.0549999999994</v>
      </c>
      <c r="J140" s="37">
        <f>I143</f>
        <v>2080.0499999999993</v>
      </c>
      <c r="K140" s="37">
        <f>J143</f>
        <v>1872.0449999999992</v>
      </c>
      <c r="L140" s="37">
        <f>K143</f>
        <v>1664.039999999999</v>
      </c>
      <c r="M140" s="37">
        <f>L143</f>
        <v>1456.034999999999</v>
      </c>
      <c r="N140" s="37">
        <f>M143</f>
        <v>1248.0299999999988</v>
      </c>
      <c r="O140" s="37">
        <f>N143</f>
        <v>1040.0249999999987</v>
      </c>
      <c r="P140" s="37">
        <f>O143</f>
        <v>832.0199999999987</v>
      </c>
      <c r="Q140" s="37">
        <f>P143</f>
        <v>624.0149999999987</v>
      </c>
      <c r="R140" s="37">
        <f>Q143</f>
        <v>416.00999999999874</v>
      </c>
      <c r="S140" s="37">
        <f>R143</f>
        <v>208.00499999999874</v>
      </c>
      <c r="T140" s="37">
        <f>S143</f>
        <v>0</v>
      </c>
      <c r="U140" s="37">
        <f>T143</f>
        <v>0</v>
      </c>
      <c r="V140" s="37">
        <f>U143</f>
        <v>0</v>
      </c>
      <c r="W140" s="37">
        <f>V143</f>
        <v>0</v>
      </c>
      <c r="X140" s="37">
        <f>W143</f>
        <v>0</v>
      </c>
      <c r="Y140" s="37">
        <f>X143</f>
        <v>0</v>
      </c>
      <c r="Z140" s="37">
        <f>Y143</f>
        <v>0</v>
      </c>
      <c r="AA140" s="37">
        <f>Z143</f>
        <v>0</v>
      </c>
      <c r="AB140" s="37">
        <f>AA143</f>
        <v>0</v>
      </c>
      <c r="AC140" s="37">
        <f>AB143</f>
        <v>0</v>
      </c>
    </row>
    <row r="141" spans="1:29" x14ac:dyDescent="0.25">
      <c r="A141" s="33" t="s">
        <v>190</v>
      </c>
      <c r="B141" s="26" t="s">
        <v>68</v>
      </c>
      <c r="C141" s="55">
        <f>SUM(E141:AC141)</f>
        <v>2246.453999999999</v>
      </c>
      <c r="E141" s="37">
        <f>E140*$C$62</f>
        <v>280.80674999999997</v>
      </c>
      <c r="F141" s="37">
        <f>F140*$C$62</f>
        <v>262.08629999999994</v>
      </c>
      <c r="G141" s="37">
        <f>G140*$C$62</f>
        <v>243.36584999999997</v>
      </c>
      <c r="H141" s="37">
        <f>H140*$C$62</f>
        <v>224.64539999999994</v>
      </c>
      <c r="I141" s="37">
        <f>I140*$C$62</f>
        <v>205.92494999999994</v>
      </c>
      <c r="J141" s="37">
        <f>J140*$C$62</f>
        <v>187.20449999999994</v>
      </c>
      <c r="K141" s="37">
        <f>K140*$C$62</f>
        <v>168.4840499999999</v>
      </c>
      <c r="L141" s="37">
        <f>L140*$C$62</f>
        <v>149.7635999999999</v>
      </c>
      <c r="M141" s="37">
        <f>M140*$C$62</f>
        <v>131.0431499999999</v>
      </c>
      <c r="N141" s="37">
        <f>N140*$C$62</f>
        <v>112.3226999999999</v>
      </c>
      <c r="O141" s="37">
        <f>O140*$C$62</f>
        <v>93.60224999999988</v>
      </c>
      <c r="P141" s="37">
        <f>P140*$C$62</f>
        <v>74.88179999999988</v>
      </c>
      <c r="Q141" s="37">
        <f>Q140*$C$62</f>
        <v>56.161349999999885</v>
      </c>
      <c r="R141" s="37">
        <f>R140*$C$62</f>
        <v>37.440899999999885</v>
      </c>
      <c r="S141" s="37">
        <f>S140*$C$62</f>
        <v>18.720449999999886</v>
      </c>
      <c r="T141" s="37">
        <f>T140*$C$62</f>
        <v>0</v>
      </c>
      <c r="U141" s="37">
        <f>U140*$C$62</f>
        <v>0</v>
      </c>
      <c r="V141" s="37">
        <f>V140*$C$62</f>
        <v>0</v>
      </c>
      <c r="W141" s="37">
        <f>W140*$C$62</f>
        <v>0</v>
      </c>
      <c r="X141" s="37">
        <f>X140*$C$62</f>
        <v>0</v>
      </c>
      <c r="Y141" s="37">
        <f>Y140*$C$62</f>
        <v>0</v>
      </c>
      <c r="Z141" s="37">
        <f>Z140*$C$62</f>
        <v>0</v>
      </c>
      <c r="AA141" s="37">
        <f>AA140*$C$62</f>
        <v>0</v>
      </c>
      <c r="AB141" s="37">
        <f>AB140*$C$62</f>
        <v>0</v>
      </c>
      <c r="AC141" s="37">
        <f>AC140*$C$62</f>
        <v>0</v>
      </c>
    </row>
    <row r="142" spans="1:29" x14ac:dyDescent="0.25">
      <c r="A142" s="33" t="s">
        <v>191</v>
      </c>
      <c r="B142" s="26" t="s">
        <v>68</v>
      </c>
      <c r="C142" s="55">
        <f>SUM(E142:AC142)</f>
        <v>3120.075</v>
      </c>
      <c r="E142" s="37">
        <f>IF(AND(E$5&lt;=$C$87,E140&gt;1E-9),IF($C$64="annuity",MIN(E140,$C$88-E141),MIN(E140,$C$89)),0)</f>
        <v>208.005</v>
      </c>
      <c r="F142" s="37">
        <f>IF(AND(F$5&lt;=$C$87,F140&gt;1E-9),IF($C$64="annuity",MIN(F140,$C$88-F141),MIN(F140,$C$89)),0)</f>
        <v>208.005</v>
      </c>
      <c r="G142" s="37">
        <f>IF(AND(G$5&lt;=$C$87,G140&gt;1E-9),IF($C$64="annuity",MIN(G140,$C$88-G141),MIN(G140,$C$89)),0)</f>
        <v>208.005</v>
      </c>
      <c r="H142" s="37">
        <f>IF(AND(H$5&lt;=$C$87,H140&gt;1E-9),IF($C$64="annuity",MIN(H140,$C$88-H141),MIN(H140,$C$89)),0)</f>
        <v>208.005</v>
      </c>
      <c r="I142" s="37">
        <f>IF(AND(I$5&lt;=$C$87,I140&gt;1E-9),IF($C$64="annuity",MIN(I140,$C$88-I141),MIN(I140,$C$89)),0)</f>
        <v>208.005</v>
      </c>
      <c r="J142" s="37">
        <f>IF(AND(J$5&lt;=$C$87,J140&gt;1E-9),IF($C$64="annuity",MIN(J140,$C$88-J141),MIN(J140,$C$89)),0)</f>
        <v>208.005</v>
      </c>
      <c r="K142" s="37">
        <f>IF(AND(K$5&lt;=$C$87,K140&gt;1E-9),IF($C$64="annuity",MIN(K140,$C$88-K141),MIN(K140,$C$89)),0)</f>
        <v>208.005</v>
      </c>
      <c r="L142" s="37">
        <f>IF(AND(L$5&lt;=$C$87,L140&gt;1E-9),IF($C$64="annuity",MIN(L140,$C$88-L141),MIN(L140,$C$89)),0)</f>
        <v>208.005</v>
      </c>
      <c r="M142" s="37">
        <f>IF(AND(M$5&lt;=$C$87,M140&gt;1E-9),IF($C$64="annuity",MIN(M140,$C$88-M141),MIN(M140,$C$89)),0)</f>
        <v>208.005</v>
      </c>
      <c r="N142" s="37">
        <f>IF(AND(N$5&lt;=$C$87,N140&gt;1E-9),IF($C$64="annuity",MIN(N140,$C$88-N141),MIN(N140,$C$89)),0)</f>
        <v>208.005</v>
      </c>
      <c r="O142" s="37">
        <f>IF(AND(O$5&lt;=$C$87,O140&gt;1E-9),IF($C$64="annuity",MIN(O140,$C$88-O141),MIN(O140,$C$89)),0)</f>
        <v>208.005</v>
      </c>
      <c r="P142" s="37">
        <f>IF(AND(P$5&lt;=$C$87,P140&gt;1E-9),IF($C$64="annuity",MIN(P140,$C$88-P141),MIN(P140,$C$89)),0)</f>
        <v>208.005</v>
      </c>
      <c r="Q142" s="37">
        <f>IF(AND(Q$5&lt;=$C$87,Q140&gt;1E-9),IF($C$64="annuity",MIN(Q140,$C$88-Q141),MIN(Q140,$C$89)),0)</f>
        <v>208.005</v>
      </c>
      <c r="R142" s="37">
        <f>IF(AND(R$5&lt;=$C$87,R140&gt;1E-9),IF($C$64="annuity",MIN(R140,$C$88-R141),MIN(R140,$C$89)),0)</f>
        <v>208.005</v>
      </c>
      <c r="S142" s="37">
        <f>IF(AND(S$5&lt;=$C$87,S140&gt;1E-9),IF($C$64="annuity",MIN(S140,$C$88-S141),MIN(S140,$C$89)),0)</f>
        <v>208.00499999999874</v>
      </c>
      <c r="T142" s="37">
        <f>IF(AND(T$5&lt;=$C$87,T140&gt;1E-9),IF($C$64="annuity",MIN(T140,$C$88-T141),MIN(T140,$C$89)),0)</f>
        <v>0</v>
      </c>
      <c r="U142" s="37">
        <f>IF(AND(U$5&lt;=$C$87,U140&gt;1E-9),IF($C$64="annuity",MIN(U140,$C$88-U141),MIN(U140,$C$89)),0)</f>
        <v>0</v>
      </c>
      <c r="V142" s="37">
        <f>IF(AND(V$5&lt;=$C$87,V140&gt;1E-9),IF($C$64="annuity",MIN(V140,$C$88-V141),MIN(V140,$C$89)),0)</f>
        <v>0</v>
      </c>
      <c r="W142" s="37">
        <f>IF(AND(W$5&lt;=$C$87,W140&gt;1E-9),IF($C$64="annuity",MIN(W140,$C$88-W141),MIN(W140,$C$89)),0)</f>
        <v>0</v>
      </c>
      <c r="X142" s="37">
        <f>IF(AND(X$5&lt;=$C$87,X140&gt;1E-9),IF($C$64="annuity",MIN(X140,$C$88-X141),MIN(X140,$C$89)),0)</f>
        <v>0</v>
      </c>
      <c r="Y142" s="37">
        <f>IF(AND(Y$5&lt;=$C$87,Y140&gt;1E-9),IF($C$64="annuity",MIN(Y140,$C$88-Y141),MIN(Y140,$C$89)),0)</f>
        <v>0</v>
      </c>
      <c r="Z142" s="37">
        <f>IF(AND(Z$5&lt;=$C$87,Z140&gt;1E-9),IF($C$64="annuity",MIN(Z140,$C$88-Z141),MIN(Z140,$C$89)),0)</f>
        <v>0</v>
      </c>
      <c r="AA142" s="37">
        <f>IF(AND(AA$5&lt;=$C$87,AA140&gt;1E-9),IF($C$64="annuity",MIN(AA140,$C$88-AA141),MIN(AA140,$C$89)),0)</f>
        <v>0</v>
      </c>
      <c r="AB142" s="37">
        <f>IF(AND(AB$5&lt;=$C$87,AB140&gt;1E-9),IF($C$64="annuity",MIN(AB140,$C$88-AB141),MIN(AB140,$C$89)),0)</f>
        <v>0</v>
      </c>
      <c r="AC142" s="37">
        <f>IF(AND(AC$5&lt;=$C$87,AC140&gt;1E-9),IF($C$64="annuity",MIN(AC140,$C$88-AC141),MIN(AC140,$C$89)),0)</f>
        <v>0</v>
      </c>
    </row>
    <row r="143" spans="1:29" x14ac:dyDescent="0.25">
      <c r="A143" s="33" t="s">
        <v>192</v>
      </c>
      <c r="B143" s="26" t="s">
        <v>68</v>
      </c>
      <c r="E143" s="37">
        <f>E140-E142</f>
        <v>2912.0699999999997</v>
      </c>
      <c r="F143" s="37">
        <f>F140-F142</f>
        <v>2704.0649999999996</v>
      </c>
      <c r="G143" s="37">
        <f>G140-G142</f>
        <v>2496.0599999999995</v>
      </c>
      <c r="H143" s="37">
        <f>H140-H142</f>
        <v>2288.0549999999994</v>
      </c>
      <c r="I143" s="37">
        <f>I140-I142</f>
        <v>2080.0499999999993</v>
      </c>
      <c r="J143" s="37">
        <f>J140-J142</f>
        <v>1872.0449999999992</v>
      </c>
      <c r="K143" s="37">
        <f>K140-K142</f>
        <v>1664.039999999999</v>
      </c>
      <c r="L143" s="37">
        <f>L140-L142</f>
        <v>1456.034999999999</v>
      </c>
      <c r="M143" s="37">
        <f>M140-M142</f>
        <v>1248.0299999999988</v>
      </c>
      <c r="N143" s="37">
        <f>N140-N142</f>
        <v>1040.0249999999987</v>
      </c>
      <c r="O143" s="37">
        <f>O140-O142</f>
        <v>832.0199999999987</v>
      </c>
      <c r="P143" s="37">
        <f>P140-P142</f>
        <v>624.0149999999987</v>
      </c>
      <c r="Q143" s="37">
        <f>Q140-Q142</f>
        <v>416.00999999999874</v>
      </c>
      <c r="R143" s="37">
        <f>R140-R142</f>
        <v>208.00499999999874</v>
      </c>
      <c r="S143" s="37">
        <f>S140-S142</f>
        <v>0</v>
      </c>
      <c r="T143" s="37">
        <f>T140-T142</f>
        <v>0</v>
      </c>
      <c r="U143" s="37">
        <f>U140-U142</f>
        <v>0</v>
      </c>
      <c r="V143" s="37">
        <f>V140-V142</f>
        <v>0</v>
      </c>
      <c r="W143" s="37">
        <f>W140-W142</f>
        <v>0</v>
      </c>
      <c r="X143" s="37">
        <f>X140-X142</f>
        <v>0</v>
      </c>
      <c r="Y143" s="37">
        <f>Y140-Y142</f>
        <v>0</v>
      </c>
      <c r="Z143" s="37">
        <f>Z140-Z142</f>
        <v>0</v>
      </c>
      <c r="AA143" s="37">
        <f>AA140-AA142</f>
        <v>0</v>
      </c>
      <c r="AB143" s="37">
        <f>AB140-AB142</f>
        <v>0</v>
      </c>
      <c r="AC143" s="37">
        <f>AC140-AC142</f>
        <v>0</v>
      </c>
    </row>
    <row r="144" spans="1:29" x14ac:dyDescent="0.25">
      <c r="A144" s="59" t="s">
        <v>193</v>
      </c>
      <c r="B144" s="60" t="s">
        <v>68</v>
      </c>
      <c r="C144" s="61">
        <f>SUM(E144:AC144)</f>
        <v>5366.528999999998</v>
      </c>
      <c r="D144" s="62"/>
      <c r="E144" s="61">
        <f>E141+E142</f>
        <v>488.81174999999996</v>
      </c>
      <c r="F144" s="61">
        <f>F141+F142</f>
        <v>470.09129999999993</v>
      </c>
      <c r="G144" s="61">
        <f>G141+G142</f>
        <v>451.37084999999996</v>
      </c>
      <c r="H144" s="61">
        <f>H141+H142</f>
        <v>432.65039999999993</v>
      </c>
      <c r="I144" s="61">
        <f>I141+I142</f>
        <v>413.92994999999996</v>
      </c>
      <c r="J144" s="61">
        <f>J141+J142</f>
        <v>395.20949999999993</v>
      </c>
      <c r="K144" s="61">
        <f>K141+K142</f>
        <v>376.4890499999999</v>
      </c>
      <c r="L144" s="61">
        <f>L141+L142</f>
        <v>357.7685999999999</v>
      </c>
      <c r="M144" s="61">
        <f>M141+M142</f>
        <v>339.0481499999999</v>
      </c>
      <c r="N144" s="61">
        <f>N141+N142</f>
        <v>320.3276999999999</v>
      </c>
      <c r="O144" s="61">
        <f>O141+O142</f>
        <v>301.6072499999999</v>
      </c>
      <c r="P144" s="61">
        <f>P141+P142</f>
        <v>282.8867999999999</v>
      </c>
      <c r="Q144" s="61">
        <f>Q141+Q142</f>
        <v>264.16634999999985</v>
      </c>
      <c r="R144" s="61">
        <f>R141+R142</f>
        <v>245.44589999999988</v>
      </c>
      <c r="S144" s="61">
        <f>S141+S142</f>
        <v>226.72544999999863</v>
      </c>
      <c r="T144" s="61">
        <f>T141+T142</f>
        <v>0</v>
      </c>
      <c r="U144" s="61">
        <f>U141+U142</f>
        <v>0</v>
      </c>
      <c r="V144" s="61">
        <f>V141+V142</f>
        <v>0</v>
      </c>
      <c r="W144" s="61">
        <f>W141+W142</f>
        <v>0</v>
      </c>
      <c r="X144" s="61">
        <f>X141+X142</f>
        <v>0</v>
      </c>
      <c r="Y144" s="61">
        <f>Y141+Y142</f>
        <v>0</v>
      </c>
      <c r="Z144" s="61">
        <f>Z141+Z142</f>
        <v>0</v>
      </c>
      <c r="AA144" s="61">
        <f>AA141+AA142</f>
        <v>0</v>
      </c>
      <c r="AB144" s="61">
        <f>AB141+AB142</f>
        <v>0</v>
      </c>
      <c r="AC144" s="61">
        <f>AC141+AC142</f>
        <v>0</v>
      </c>
    </row>
    <row r="146" ht="20" customHeight="1" spans="1:29" x14ac:dyDescent="0.25">
      <c r="A146" s="21" t="s">
        <v>141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x14ac:dyDescent="0.25">
      <c r="A147" s="33" t="s">
        <v>194</v>
      </c>
      <c r="B147" s="26" t="s">
        <v>68</v>
      </c>
      <c r="E147" s="37">
        <f>$C$83</f>
        <v>4457.25</v>
      </c>
      <c r="F147" s="37">
        <f>E150</f>
        <v>2674.35</v>
      </c>
      <c r="G147" s="37">
        <f>F150</f>
        <v>1612.9907999999998</v>
      </c>
      <c r="H147" s="37">
        <f>G150</f>
        <v>975.9238559999999</v>
      </c>
      <c r="I147" s="37">
        <f>H150</f>
        <v>593.4398083199999</v>
      </c>
      <c r="J147" s="37">
        <f>I150</f>
        <v>363.71281487039994</v>
      </c>
      <c r="K147" s="37">
        <f>J150</f>
        <v>225.64715090428797</v>
      </c>
      <c r="L147" s="37">
        <f>K150</f>
        <v>142.58516866515936</v>
      </c>
      <c r="M147" s="37">
        <f>L150</f>
        <v>92.53207297800456</v>
      </c>
      <c r="N147" s="37">
        <f>M150</f>
        <v>62.290786412344424</v>
      </c>
      <c r="O147" s="37">
        <f>N150</f>
        <v>43.9428681941821</v>
      </c>
      <c r="P147" s="37">
        <f>O150</f>
        <v>32.73706537288143</v>
      </c>
      <c r="Q147" s="37">
        <f>P150</f>
        <v>25.822443346409873</v>
      </c>
      <c r="R147" s="37">
        <f>Q150</f>
        <v>21.488264006846507</v>
      </c>
      <c r="S147" s="37">
        <f>R150</f>
        <v>18.70791246313847</v>
      </c>
      <c r="T147" s="37">
        <f>S150</f>
        <v>16.86525291514273</v>
      </c>
      <c r="U147" s="37">
        <f>T150</f>
        <v>15.590442023227496</v>
      </c>
      <c r="V147" s="37">
        <f>U150</f>
        <v>14.661416779854099</v>
      </c>
      <c r="W147" s="37">
        <f>V150</f>
        <v>13.944787086852534</v>
      </c>
      <c r="X147" s="37">
        <f>W150</f>
        <v>13.36037116048339</v>
      </c>
      <c r="Y147" s="37">
        <f>X150</f>
        <v>12.859916637410748</v>
      </c>
      <c r="Z147" s="37">
        <f>Y150</f>
        <v>12.414333105333542</v>
      </c>
      <c r="AA147" s="37">
        <f>Z150</f>
        <v>12.006031492400604</v>
      </c>
      <c r="AB147" s="37">
        <f>AA150</f>
        <v>11.624327575764829</v>
      </c>
      <c r="AC147" s="37">
        <f>AB150</f>
        <v>11.262683965373629</v>
      </c>
    </row>
    <row r="148" spans="1:29" x14ac:dyDescent="0.25">
      <c r="A148" s="33" t="s">
        <v>195</v>
      </c>
      <c r="B148" s="26" t="s">
        <v>68</v>
      </c>
      <c r="C148" s="55">
        <f>SUM(E148:AC148)</f>
        <v>241.45214147790128</v>
      </c>
      <c r="E148" s="37">
        <f>E131</f>
        <v>0</v>
      </c>
      <c r="F148" s="37">
        <f>F131</f>
        <v>13.968</v>
      </c>
      <c r="G148" s="37">
        <f>G131</f>
        <v>13.548959999999997</v>
      </c>
      <c r="H148" s="37">
        <f>H131</f>
        <v>13.142491199999998</v>
      </c>
      <c r="I148" s="37">
        <f>I131</f>
        <v>12.748216463999999</v>
      </c>
      <c r="J148" s="37">
        <f>J131</f>
        <v>12.365769970079997</v>
      </c>
      <c r="K148" s="37">
        <f>K131</f>
        <v>11.994796870977599</v>
      </c>
      <c r="L148" s="37">
        <f>L131</f>
        <v>11.634952964848267</v>
      </c>
      <c r="M148" s="37">
        <f>M131</f>
        <v>11.28590437590282</v>
      </c>
      <c r="N148" s="37">
        <f>N131</f>
        <v>10.947327244625734</v>
      </c>
      <c r="O148" s="37">
        <f>O131</f>
        <v>10.618907427286963</v>
      </c>
      <c r="P148" s="37">
        <f>P131</f>
        <v>10.300340204468355</v>
      </c>
      <c r="Q148" s="37">
        <f>Q131</f>
        <v>9.991329998334304</v>
      </c>
      <c r="R148" s="37">
        <f>R131</f>
        <v>9.691590098384275</v>
      </c>
      <c r="S148" s="37">
        <f>S131</f>
        <v>9.400842395432745</v>
      </c>
      <c r="T148" s="37">
        <f>T131</f>
        <v>9.118817123569764</v>
      </c>
      <c r="U148" s="37">
        <f>U131</f>
        <v>8.84525260986267</v>
      </c>
      <c r="V148" s="37">
        <f>V131</f>
        <v>8.57989503156679</v>
      </c>
      <c r="W148" s="37">
        <f>W131</f>
        <v>8.322498180619785</v>
      </c>
      <c r="X148" s="37">
        <f>X131</f>
        <v>8.072823235201191</v>
      </c>
      <c r="Y148" s="37">
        <f>Y131</f>
        <v>7.8306385381451555</v>
      </c>
      <c r="Z148" s="37">
        <f>Z131</f>
        <v>7.5957193820008015</v>
      </c>
      <c r="AA148" s="37">
        <f>AA131</f>
        <v>7.367847800540778</v>
      </c>
      <c r="AB148" s="37">
        <f>AB131</f>
        <v>7.146812366524553</v>
      </c>
      <c r="AC148" s="37">
        <f>AC131</f>
        <v>6.932407995528816</v>
      </c>
    </row>
    <row r="149" spans="1:29" x14ac:dyDescent="0.25">
      <c r="A149" s="59" t="s">
        <v>141</v>
      </c>
      <c r="B149" s="60" t="s">
        <v>68</v>
      </c>
      <c r="C149" s="61">
        <f>SUM(E149:AC149)</f>
        <v>4687.78508630136</v>
      </c>
      <c r="D149" s="62"/>
      <c r="E149" s="61">
        <f>IF($C$69="wdv",(E147+E148)*$C$70,E137)</f>
        <v>1782.9</v>
      </c>
      <c r="F149" s="61">
        <f>IF($C$69="wdv",(F147+F148)*$C$70,F137)</f>
        <v>1075.3272</v>
      </c>
      <c r="G149" s="61">
        <f>IF($C$69="wdv",(G147+G148)*$C$70,G137)</f>
        <v>650.615904</v>
      </c>
      <c r="H149" s="61">
        <f>IF($C$69="wdv",(H147+H148)*$C$70,H137)</f>
        <v>395.62653888</v>
      </c>
      <c r="I149" s="61">
        <f>IF($C$69="wdv",(I147+I148)*$C$70,I137)</f>
        <v>242.4752099136</v>
      </c>
      <c r="J149" s="61">
        <f>IF($C$69="wdv",(J147+J148)*$C$70,J137)</f>
        <v>150.43143393619198</v>
      </c>
      <c r="K149" s="61">
        <f>IF($C$69="wdv",(K147+K148)*$C$70,K137)</f>
        <v>95.05677911010623</v>
      </c>
      <c r="L149" s="61">
        <f>IF($C$69="wdv",(L147+L148)*$C$70,L137)</f>
        <v>61.68804865200305</v>
      </c>
      <c r="M149" s="61">
        <f>IF($C$69="wdv",(M147+M148)*$C$70,M137)</f>
        <v>41.52719094156296</v>
      </c>
      <c r="N149" s="61">
        <f>IF($C$69="wdv",(N147+N148)*$C$70,N137)</f>
        <v>29.295245462788063</v>
      </c>
      <c r="O149" s="61">
        <f>IF($C$69="wdv",(O147+O148)*$C$70,O137)</f>
        <v>21.824710248587625</v>
      </c>
      <c r="P149" s="61">
        <f>IF($C$69="wdv",(P147+P148)*$C$70,P137)</f>
        <v>17.214962230939914</v>
      </c>
      <c r="Q149" s="61">
        <f>IF($C$69="wdv",(Q147+Q148)*$C$70,Q137)</f>
        <v>14.325509337897671</v>
      </c>
      <c r="R149" s="61">
        <f>IF($C$69="wdv",(R147+R148)*$C$70,R137)</f>
        <v>12.471941642092313</v>
      </c>
      <c r="S149" s="61">
        <f>IF($C$69="wdv",(S147+S148)*$C$70,S137)</f>
        <v>11.243501943428488</v>
      </c>
      <c r="T149" s="61">
        <f>IF($C$69="wdv",(T147+T148)*$C$70,T137)</f>
        <v>10.393628015485</v>
      </c>
      <c r="U149" s="61">
        <f>IF($C$69="wdv",(U147+U148)*$C$70,U137)</f>
        <v>9.774277853236066</v>
      </c>
      <c r="V149" s="61">
        <f>IF($C$69="wdv",(V147+V148)*$C$70,V137)</f>
        <v>9.296524724568355</v>
      </c>
      <c r="W149" s="61">
        <f>IF($C$69="wdv",(W147+W148)*$C$70,W137)</f>
        <v>8.906914106988927</v>
      </c>
      <c r="X149" s="61">
        <f>IF($C$69="wdv",(X147+X148)*$C$70,X137)</f>
        <v>8.573277758273832</v>
      </c>
      <c r="Y149" s="61">
        <f>IF($C$69="wdv",(Y147+Y148)*$C$70,Y137)</f>
        <v>8.276222070222362</v>
      </c>
      <c r="Z149" s="61">
        <f>IF($C$69="wdv",(Z147+Z148)*$C$70,Z137)</f>
        <v>8.004020994933738</v>
      </c>
      <c r="AA149" s="61">
        <f>IF($C$69="wdv",(AA147+AA148)*$C$70,AA137)</f>
        <v>7.749551717176553</v>
      </c>
      <c r="AB149" s="61">
        <f>IF($C$69="wdv",(AB147+AB148)*$C$70,AB137)</f>
        <v>7.508455976915752</v>
      </c>
      <c r="AC149" s="61">
        <f>IF($C$69="wdv",(AC147+AC148)*$C$70,AC137)</f>
        <v>7.278036784360978</v>
      </c>
    </row>
    <row r="150" spans="1:29" x14ac:dyDescent="0.25">
      <c r="A150" s="33" t="s">
        <v>196</v>
      </c>
      <c r="B150" s="26" t="s">
        <v>68</v>
      </c>
      <c r="E150" s="37">
        <f>E147+E148-IF($C$69="wdv",E149,0)</f>
        <v>2674.35</v>
      </c>
      <c r="F150" s="37">
        <f>F147+F148-IF($C$69="wdv",F149,0)</f>
        <v>1612.9907999999998</v>
      </c>
      <c r="G150" s="37">
        <f>G147+G148-IF($C$69="wdv",G149,0)</f>
        <v>975.9238559999999</v>
      </c>
      <c r="H150" s="37">
        <f>H147+H148-IF($C$69="wdv",H149,0)</f>
        <v>593.4398083199999</v>
      </c>
      <c r="I150" s="37">
        <f>I147+I148-IF($C$69="wdv",I149,0)</f>
        <v>363.71281487039994</v>
      </c>
      <c r="J150" s="37">
        <f>J147+J148-IF($C$69="wdv",J149,0)</f>
        <v>225.64715090428797</v>
      </c>
      <c r="K150" s="37">
        <f>K147+K148-IF($C$69="wdv",K149,0)</f>
        <v>142.58516866515936</v>
      </c>
      <c r="L150" s="37">
        <f>L147+L148-IF($C$69="wdv",L149,0)</f>
        <v>92.53207297800456</v>
      </c>
      <c r="M150" s="37">
        <f>M147+M148-IF($C$69="wdv",M149,0)</f>
        <v>62.290786412344424</v>
      </c>
      <c r="N150" s="37">
        <f>N147+N148-IF($C$69="wdv",N149,0)</f>
        <v>43.9428681941821</v>
      </c>
      <c r="O150" s="37">
        <f>O147+O148-IF($C$69="wdv",O149,0)</f>
        <v>32.73706537288143</v>
      </c>
      <c r="P150" s="37">
        <f>P147+P148-IF($C$69="wdv",P149,0)</f>
        <v>25.822443346409873</v>
      </c>
      <c r="Q150" s="37">
        <f>Q147+Q148-IF($C$69="wdv",Q149,0)</f>
        <v>21.488264006846507</v>
      </c>
      <c r="R150" s="37">
        <f>R147+R148-IF($C$69="wdv",R149,0)</f>
        <v>18.70791246313847</v>
      </c>
      <c r="S150" s="37">
        <f>S147+S148-IF($C$69="wdv",S149,0)</f>
        <v>16.86525291514273</v>
      </c>
      <c r="T150" s="37">
        <f>T147+T148-IF($C$69="wdv",T149,0)</f>
        <v>15.590442023227496</v>
      </c>
      <c r="U150" s="37">
        <f>U147+U148-IF($C$69="wdv",U149,0)</f>
        <v>14.661416779854099</v>
      </c>
      <c r="V150" s="37">
        <f>V147+V148-IF($C$69="wdv",V149,0)</f>
        <v>13.944787086852534</v>
      </c>
      <c r="W150" s="37">
        <f>W147+W148-IF($C$69="wdv",W149,0)</f>
        <v>13.36037116048339</v>
      </c>
      <c r="X150" s="37">
        <f>X147+X148-IF($C$69="wdv",X149,0)</f>
        <v>12.859916637410748</v>
      </c>
      <c r="Y150" s="37">
        <f>Y147+Y148-IF($C$69="wdv",Y149,0)</f>
        <v>12.414333105333542</v>
      </c>
      <c r="Z150" s="37">
        <f>Z147+Z148-IF($C$69="wdv",Z149,0)</f>
        <v>12.006031492400604</v>
      </c>
      <c r="AA150" s="37">
        <f>AA147+AA148-IF($C$69="wdv",AA149,0)</f>
        <v>11.624327575764829</v>
      </c>
      <c r="AB150" s="37">
        <f>AB147+AB148-IF($C$69="wdv",AB149,0)</f>
        <v>11.262683965373629</v>
      </c>
      <c r="AC150" s="37">
        <f>AC147+AC148-IF($C$69="wdv",AC149,0)</f>
        <v>10.917055176541467</v>
      </c>
    </row>
    <row r="152" ht="20" customHeight="1" spans="1:29" x14ac:dyDescent="0.25">
      <c r="A152" s="21" t="s">
        <v>197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x14ac:dyDescent="0.25">
      <c r="A153" s="33" t="s">
        <v>182</v>
      </c>
      <c r="B153" s="26" t="s">
        <v>68</v>
      </c>
      <c r="C153" s="55">
        <f>SUM(E153:AC153)</f>
        <v>14181.739934371444</v>
      </c>
      <c r="E153" s="37">
        <f>E127</f>
        <v>624.3600643473017</v>
      </c>
      <c r="F153" s="37">
        <f>F127</f>
        <v>621.0399483352617</v>
      </c>
      <c r="G153" s="37">
        <f>G127</f>
        <v>617.5646292081508</v>
      </c>
      <c r="H153" s="37">
        <f>H127</f>
        <v>613.9324871815104</v>
      </c>
      <c r="I153" s="37">
        <f>I127</f>
        <v>610.148156632293</v>
      </c>
      <c r="J153" s="37">
        <f>J127</f>
        <v>606.2040925474921</v>
      </c>
      <c r="K153" s="37">
        <f>K127</f>
        <v>602.0923708401841</v>
      </c>
      <c r="L153" s="37">
        <f>L127</f>
        <v>597.8063160355854</v>
      </c>
      <c r="M153" s="37">
        <f>M127</f>
        <v>593.33503363193</v>
      </c>
      <c r="N153" s="37">
        <f>N127</f>
        <v>588.6797312995343</v>
      </c>
      <c r="O153" s="37">
        <f>O127</f>
        <v>583.8175490751156</v>
      </c>
      <c r="P153" s="37">
        <f>P127</f>
        <v>578.7365805790341</v>
      </c>
      <c r="Q153" s="37">
        <f>Q127</f>
        <v>573.4351803336818</v>
      </c>
      <c r="R153" s="37">
        <f>R127</f>
        <v>567.9066323554829</v>
      </c>
      <c r="S153" s="37">
        <f>S127</f>
        <v>562.127640173778</v>
      </c>
      <c r="T153" s="37">
        <f>T127</f>
        <v>556.0842496746727</v>
      </c>
      <c r="U153" s="37">
        <f>U127</f>
        <v>549.7692401371992</v>
      </c>
      <c r="V153" s="37">
        <f>V127</f>
        <v>543.1780880684357</v>
      </c>
      <c r="W153" s="37">
        <f>W127</f>
        <v>536.3050574033527</v>
      </c>
      <c r="X153" s="37">
        <f>X127</f>
        <v>529.1228916987425</v>
      </c>
      <c r="Y153" s="37">
        <f>Y127</f>
        <v>521.6169355053169</v>
      </c>
      <c r="Z153" s="37">
        <f>Z127</f>
        <v>513.7740906107097</v>
      </c>
      <c r="AA153" s="37">
        <f>AA127</f>
        <v>505.58284574825814</v>
      </c>
      <c r="AB153" s="37">
        <f>AB127</f>
        <v>497.02916523001153</v>
      </c>
      <c r="AC153" s="37">
        <f>AC127</f>
        <v>488.0909577184086</v>
      </c>
    </row>
    <row r="154" spans="1:29" x14ac:dyDescent="0.25">
      <c r="A154" s="33" t="s">
        <v>198</v>
      </c>
      <c r="B154" s="26" t="s">
        <v>68</v>
      </c>
      <c r="C154" s="55">
        <f>SUM(E154:AC154)</f>
        <v>4252.9771414779025</v>
      </c>
      <c r="E154" s="37">
        <f>E137</f>
        <v>160.461</v>
      </c>
      <c r="F154" s="37">
        <f>F137</f>
        <v>161.043</v>
      </c>
      <c r="G154" s="37">
        <f>G137</f>
        <v>161.6320852173913</v>
      </c>
      <c r="H154" s="37">
        <f>H137</f>
        <v>162.2294711810277</v>
      </c>
      <c r="I154" s="37">
        <f>I137</f>
        <v>162.83652910788481</v>
      </c>
      <c r="J154" s="37">
        <f>J137</f>
        <v>163.45481760638881</v>
      </c>
      <c r="K154" s="37">
        <f>K137</f>
        <v>164.08612270486134</v>
      </c>
      <c r="L154" s="37">
        <f>L137</f>
        <v>164.73250898068622</v>
      </c>
      <c r="M154" s="37">
        <f>M137</f>
        <v>165.39638570868053</v>
      </c>
      <c r="N154" s="37">
        <f>N137</f>
        <v>166.08059366146963</v>
      </c>
      <c r="O154" s="37">
        <f>O137</f>
        <v>166.78852082328876</v>
      </c>
      <c r="P154" s="37">
        <f>P137</f>
        <v>167.5242594093222</v>
      </c>
      <c r="Q154" s="37">
        <f>Q137</f>
        <v>168.2928232553479</v>
      </c>
      <c r="R154" s="37">
        <f>R137</f>
        <v>169.10045576354662</v>
      </c>
      <c r="S154" s="37">
        <f>S137</f>
        <v>169.95507779949506</v>
      </c>
      <c r="T154" s="37">
        <f>T137</f>
        <v>170.86695951185203</v>
      </c>
      <c r="U154" s="37">
        <f>U137</f>
        <v>171.84976535739233</v>
      </c>
      <c r="V154" s="37">
        <f>V137</f>
        <v>172.92225223633818</v>
      </c>
      <c r="W154" s="37">
        <f>W137</f>
        <v>174.11118054785527</v>
      </c>
      <c r="X154" s="37">
        <f>X137</f>
        <v>175.4566510870555</v>
      </c>
      <c r="Y154" s="37">
        <f>Y137</f>
        <v>177.0227787946845</v>
      </c>
      <c r="Z154" s="37">
        <f>Z137</f>
        <v>178.9217086401847</v>
      </c>
      <c r="AA154" s="37">
        <f>AA137</f>
        <v>181.37765790703165</v>
      </c>
      <c r="AB154" s="37">
        <f>AB137</f>
        <v>184.95106409029393</v>
      </c>
      <c r="AC154" s="37">
        <f>AC137</f>
        <v>191.88347208582272</v>
      </c>
    </row>
    <row r="155" spans="1:29" x14ac:dyDescent="0.25">
      <c r="A155" s="33" t="s">
        <v>199</v>
      </c>
      <c r="B155" s="26" t="s">
        <v>68</v>
      </c>
      <c r="C155" s="55">
        <f>SUM(E155:AC155)</f>
        <v>2246.453999999999</v>
      </c>
      <c r="E155" s="37">
        <f>E141</f>
        <v>280.80674999999997</v>
      </c>
      <c r="F155" s="37">
        <f>F141</f>
        <v>262.08629999999994</v>
      </c>
      <c r="G155" s="37">
        <f>G141</f>
        <v>243.36584999999997</v>
      </c>
      <c r="H155" s="37">
        <f>H141</f>
        <v>224.64539999999994</v>
      </c>
      <c r="I155" s="37">
        <f>I141</f>
        <v>205.92494999999994</v>
      </c>
      <c r="J155" s="37">
        <f>J141</f>
        <v>187.20449999999994</v>
      </c>
      <c r="K155" s="37">
        <f>K141</f>
        <v>168.4840499999999</v>
      </c>
      <c r="L155" s="37">
        <f>L141</f>
        <v>149.7635999999999</v>
      </c>
      <c r="M155" s="37">
        <f>M141</f>
        <v>131.0431499999999</v>
      </c>
      <c r="N155" s="37">
        <f>N141</f>
        <v>112.3226999999999</v>
      </c>
      <c r="O155" s="37">
        <f>O141</f>
        <v>93.60224999999988</v>
      </c>
      <c r="P155" s="37">
        <f>P141</f>
        <v>74.88179999999988</v>
      </c>
      <c r="Q155" s="37">
        <f>Q141</f>
        <v>56.161349999999885</v>
      </c>
      <c r="R155" s="37">
        <f>R141</f>
        <v>37.440899999999885</v>
      </c>
      <c r="S155" s="37">
        <f>S141</f>
        <v>18.720449999999886</v>
      </c>
      <c r="T155" s="37">
        <f>T141</f>
        <v>0</v>
      </c>
      <c r="U155" s="37">
        <f>U141</f>
        <v>0</v>
      </c>
      <c r="V155" s="37">
        <f>V141</f>
        <v>0</v>
      </c>
      <c r="W155" s="37">
        <f>W141</f>
        <v>0</v>
      </c>
      <c r="X155" s="37">
        <f>X141</f>
        <v>0</v>
      </c>
      <c r="Y155" s="37">
        <f>Y141</f>
        <v>0</v>
      </c>
      <c r="Z155" s="37">
        <f>Z141</f>
        <v>0</v>
      </c>
      <c r="AA155" s="37">
        <f>AA141</f>
        <v>0</v>
      </c>
      <c r="AB155" s="37">
        <f>AB141</f>
        <v>0</v>
      </c>
      <c r="AC155" s="37">
        <f>AC141</f>
        <v>0</v>
      </c>
    </row>
    <row r="156" spans="1:29" x14ac:dyDescent="0.25">
      <c r="A156" s="59" t="s">
        <v>200</v>
      </c>
      <c r="B156" s="60" t="s">
        <v>68</v>
      </c>
      <c r="C156" s="61">
        <f>SUM(E156:AC156)</f>
        <v>7682.308792893543</v>
      </c>
      <c r="D156" s="62"/>
      <c r="E156" s="61">
        <f>E153-E154-E155</f>
        <v>183.09231434730168</v>
      </c>
      <c r="F156" s="61">
        <f>F153-F154-F155</f>
        <v>197.91064833526173</v>
      </c>
      <c r="G156" s="61">
        <f>G153-G154-G155</f>
        <v>212.56669399075952</v>
      </c>
      <c r="H156" s="61">
        <f>H153-H154-H155</f>
        <v>227.05761600048277</v>
      </c>
      <c r="I156" s="61">
        <f>I153-I154-I155</f>
        <v>241.3866775244082</v>
      </c>
      <c r="J156" s="61">
        <f>J153-J154-J155</f>
        <v>255.54477494110336</v>
      </c>
      <c r="K156" s="61">
        <f>K153-K154-K155</f>
        <v>269.52219813532287</v>
      </c>
      <c r="L156" s="61">
        <f>L153-L154-L155</f>
        <v>283.31020705489925</v>
      </c>
      <c r="M156" s="61">
        <f>M153-M154-M155</f>
        <v>296.8954979232495</v>
      </c>
      <c r="N156" s="61">
        <f>N153-N154-N155</f>
        <v>310.2764376380648</v>
      </c>
      <c r="O156" s="61">
        <f>O153-O154-O155</f>
        <v>323.42677825182693</v>
      </c>
      <c r="P156" s="61">
        <f>P153-P154-P155</f>
        <v>336.33052116971203</v>
      </c>
      <c r="Q156" s="61">
        <f>Q153-Q154-Q155</f>
        <v>348.9810070783341</v>
      </c>
      <c r="R156" s="61">
        <f>R153-R154-R155</f>
        <v>361.3652765919364</v>
      </c>
      <c r="S156" s="61">
        <f>S153-S154-S155</f>
        <v>373.45211237428305</v>
      </c>
      <c r="T156" s="61">
        <f>T153-T154-T155</f>
        <v>385.2172901628207</v>
      </c>
      <c r="U156" s="61">
        <f>U153-U154-U155</f>
        <v>377.9194747798068</v>
      </c>
      <c r="V156" s="61">
        <f>V153-V154-V155</f>
        <v>370.25583583209755</v>
      </c>
      <c r="W156" s="61">
        <f>W153-W154-W155</f>
        <v>362.1938768554975</v>
      </c>
      <c r="X156" s="61">
        <f>X153-X154-X155</f>
        <v>353.666240611687</v>
      </c>
      <c r="Y156" s="61">
        <f>Y153-Y154-Y155</f>
        <v>344.5941567106323</v>
      </c>
      <c r="Z156" s="61">
        <f>Z153-Z154-Z155</f>
        <v>334.85238197052496</v>
      </c>
      <c r="AA156" s="61">
        <f>AA153-AA154-AA155</f>
        <v>324.20518784122646</v>
      </c>
      <c r="AB156" s="61">
        <f>AB153-AB154-AB155</f>
        <v>312.0781011397176</v>
      </c>
      <c r="AC156" s="61">
        <f>AC153-AC154-AC155</f>
        <v>296.2074856325859</v>
      </c>
    </row>
    <row r="157" spans="1:29" x14ac:dyDescent="0.25">
      <c r="A157" s="33" t="s">
        <v>201</v>
      </c>
      <c r="B157" s="26" t="s">
        <v>68</v>
      </c>
      <c r="E157" s="37">
        <f>E127-E141-E149</f>
        <v>-1439.3466856526984</v>
      </c>
      <c r="F157" s="37">
        <f>F127-F141-F149</f>
        <v>-716.3735516647382</v>
      </c>
      <c r="G157" s="37">
        <f>G127-G141-G149</f>
        <v>-276.4171247918492</v>
      </c>
      <c r="H157" s="37">
        <f>H127-H141-H149</f>
        <v>-6.33945169848954</v>
      </c>
      <c r="I157" s="37">
        <f>I127-I141-I149</f>
        <v>161.747996718693</v>
      </c>
      <c r="J157" s="37">
        <f>J127-J141-J149</f>
        <v>268.5681586113002</v>
      </c>
      <c r="K157" s="37">
        <f>K127-K141-K149</f>
        <v>338.551541730078</v>
      </c>
      <c r="L157" s="37">
        <f>L127-L141-L149</f>
        <v>386.35466738358247</v>
      </c>
      <c r="M157" s="37">
        <f>M127-M141-M149</f>
        <v>420.7646926903671</v>
      </c>
      <c r="N157" s="37">
        <f>N127-N141-N149</f>
        <v>447.06178583674637</v>
      </c>
      <c r="O157" s="37">
        <f>O127-O141-O149</f>
        <v>468.3905888265281</v>
      </c>
      <c r="P157" s="37">
        <f>P127-P141-P149</f>
        <v>486.6398183480943</v>
      </c>
      <c r="Q157" s="37">
        <f>Q127-Q141-Q149</f>
        <v>502.94832099578434</v>
      </c>
      <c r="R157" s="37">
        <f>R127-R141-R149</f>
        <v>517.9937907133906</v>
      </c>
      <c r="S157" s="37">
        <f>S127-S141-S149</f>
        <v>532.1636882303496</v>
      </c>
      <c r="T157" s="37">
        <f>T127-T141-T149</f>
        <v>545.6906216591877</v>
      </c>
      <c r="U157" s="37">
        <f>U127-U141-U149</f>
        <v>539.9949622839631</v>
      </c>
      <c r="V157" s="37">
        <f>V127-V141-V149</f>
        <v>533.8815633438674</v>
      </c>
      <c r="W157" s="37">
        <f>W127-W141-W149</f>
        <v>527.3981432963639</v>
      </c>
      <c r="X157" s="37">
        <f>X127-X141-X149</f>
        <v>520.5496139404686</v>
      </c>
      <c r="Y157" s="37">
        <f>Y127-Y141-Y149</f>
        <v>513.3407134350945</v>
      </c>
      <c r="Z157" s="37">
        <f>Z127-Z141-Z149</f>
        <v>505.7700696157759</v>
      </c>
      <c r="AA157" s="37">
        <f>AA127-AA141-AA149</f>
        <v>497.8332940310816</v>
      </c>
      <c r="AB157" s="37">
        <f>AB127-AB141-AB149</f>
        <v>489.5207092530958</v>
      </c>
      <c r="AC157" s="37">
        <f>AC127-AC141-AC149</f>
        <v>480.8129209340476</v>
      </c>
    </row>
    <row r="158" spans="1:29" x14ac:dyDescent="0.25">
      <c r="A158" s="33" t="s">
        <v>202</v>
      </c>
      <c r="B158" s="26" t="s">
        <v>68</v>
      </c>
      <c r="E158" s="37">
        <f>0</f>
        <v>0</v>
      </c>
      <c r="F158" s="37">
        <f>E161</f>
        <v>1439.3466856526984</v>
      </c>
      <c r="G158" s="37">
        <f>F161</f>
        <v>2155.720237317437</v>
      </c>
      <c r="H158" s="37">
        <f>G161</f>
        <v>2432.137362109286</v>
      </c>
      <c r="I158" s="37">
        <f>H161</f>
        <v>2438.4768138077757</v>
      </c>
      <c r="J158" s="37">
        <f>I161</f>
        <v>2276.7288170890824</v>
      </c>
      <c r="K158" s="37">
        <f>J161</f>
        <v>2008.1606584777824</v>
      </c>
      <c r="L158" s="37">
        <f>K161</f>
        <v>1669.6091167477043</v>
      </c>
      <c r="M158" s="37">
        <f>L161</f>
        <v>1283.254449364122</v>
      </c>
      <c r="N158" s="37">
        <f>M161</f>
        <v>862.4897566737548</v>
      </c>
      <c r="O158" s="37">
        <f>N161</f>
        <v>415.4279708370084</v>
      </c>
      <c r="P158" s="37">
        <f>O161</f>
        <v>0</v>
      </c>
      <c r="Q158" s="37">
        <f>P161</f>
        <v>0</v>
      </c>
      <c r="R158" s="37">
        <f>Q161</f>
        <v>0</v>
      </c>
      <c r="S158" s="37">
        <f>R161</f>
        <v>0</v>
      </c>
      <c r="T158" s="37">
        <f>S161</f>
        <v>0</v>
      </c>
      <c r="U158" s="37">
        <f>T161</f>
        <v>0</v>
      </c>
      <c r="V158" s="37">
        <f>U161</f>
        <v>0</v>
      </c>
      <c r="W158" s="37">
        <f>V161</f>
        <v>0</v>
      </c>
      <c r="X158" s="37">
        <f>W161</f>
        <v>0</v>
      </c>
      <c r="Y158" s="37">
        <f>X161</f>
        <v>0</v>
      </c>
      <c r="Z158" s="37">
        <f>Y161</f>
        <v>0</v>
      </c>
      <c r="AA158" s="37">
        <f>Z161</f>
        <v>0</v>
      </c>
      <c r="AB158" s="37">
        <f>AA161</f>
        <v>0</v>
      </c>
      <c r="AC158" s="37">
        <f>AB161</f>
        <v>0</v>
      </c>
    </row>
    <row r="159" spans="1:29" x14ac:dyDescent="0.25">
      <c r="A159" s="33" t="s">
        <v>203</v>
      </c>
      <c r="B159" s="26" t="s">
        <v>68</v>
      </c>
      <c r="C159" s="55">
        <f>SUM(E159:AC159)</f>
        <v>2438.476813807775</v>
      </c>
      <c r="E159" s="37">
        <f>IF(E157&gt;0,MIN(E158,E157),0)</f>
        <v>0</v>
      </c>
      <c r="F159" s="37">
        <f>IF(F157&gt;0,MIN(F158,F157),0)</f>
        <v>0</v>
      </c>
      <c r="G159" s="37">
        <f>IF(G157&gt;0,MIN(G158,G157),0)</f>
        <v>0</v>
      </c>
      <c r="H159" s="37">
        <f>IF(H157&gt;0,MIN(H158,H157),0)</f>
        <v>0</v>
      </c>
      <c r="I159" s="37">
        <f>IF(I157&gt;0,MIN(I158,I157),0)</f>
        <v>161.747996718693</v>
      </c>
      <c r="J159" s="37">
        <f>IF(J157&gt;0,MIN(J158,J157),0)</f>
        <v>268.5681586113002</v>
      </c>
      <c r="K159" s="37">
        <f>IF(K157&gt;0,MIN(K158,K157),0)</f>
        <v>338.551541730078</v>
      </c>
      <c r="L159" s="37">
        <f>IF(L157&gt;0,MIN(L158,L157),0)</f>
        <v>386.35466738358247</v>
      </c>
      <c r="M159" s="37">
        <f>IF(M157&gt;0,MIN(M158,M157),0)</f>
        <v>420.7646926903671</v>
      </c>
      <c r="N159" s="37">
        <f>IF(N157&gt;0,MIN(N158,N157),0)</f>
        <v>447.06178583674637</v>
      </c>
      <c r="O159" s="37">
        <f>IF(O157&gt;0,MIN(O158,O157),0)</f>
        <v>415.4279708370084</v>
      </c>
      <c r="P159" s="37">
        <f>IF(P157&gt;0,MIN(P158,P157),0)</f>
        <v>0</v>
      </c>
      <c r="Q159" s="37">
        <f>IF(Q157&gt;0,MIN(Q158,Q157),0)</f>
        <v>0</v>
      </c>
      <c r="R159" s="37">
        <f>IF(R157&gt;0,MIN(R158,R157),0)</f>
        <v>0</v>
      </c>
      <c r="S159" s="37">
        <f>IF(S157&gt;0,MIN(S158,S157),0)</f>
        <v>0</v>
      </c>
      <c r="T159" s="37">
        <f>IF(T157&gt;0,MIN(T158,T157),0)</f>
        <v>0</v>
      </c>
      <c r="U159" s="37">
        <f>IF(U157&gt;0,MIN(U158,U157),0)</f>
        <v>0</v>
      </c>
      <c r="V159" s="37">
        <f>IF(V157&gt;0,MIN(V158,V157),0)</f>
        <v>0</v>
      </c>
      <c r="W159" s="37">
        <f>IF(W157&gt;0,MIN(W158,W157),0)</f>
        <v>0</v>
      </c>
      <c r="X159" s="37">
        <f>IF(X157&gt;0,MIN(X158,X157),0)</f>
        <v>0</v>
      </c>
      <c r="Y159" s="37">
        <f>IF(Y157&gt;0,MIN(Y158,Y157),0)</f>
        <v>0</v>
      </c>
      <c r="Z159" s="37">
        <f>IF(Z157&gt;0,MIN(Z158,Z157),0)</f>
        <v>0</v>
      </c>
      <c r="AA159" s="37">
        <f>IF(AA157&gt;0,MIN(AA158,AA157),0)</f>
        <v>0</v>
      </c>
      <c r="AB159" s="37">
        <f>IF(AB157&gt;0,MIN(AB158,AB157),0)</f>
        <v>0</v>
      </c>
      <c r="AC159" s="37">
        <f>IF(AC157&gt;0,MIN(AC158,AC157),0)</f>
        <v>0</v>
      </c>
    </row>
    <row r="160" spans="1:29" x14ac:dyDescent="0.25">
      <c r="A160" s="33" t="s">
        <v>204</v>
      </c>
      <c r="B160" s="26" t="s">
        <v>68</v>
      </c>
      <c r="C160" s="55">
        <f>SUM(E160:AC160)</f>
        <v>7247.500848070085</v>
      </c>
      <c r="E160" s="37">
        <f>MAX(0,E157-E159)</f>
        <v>0</v>
      </c>
      <c r="F160" s="37">
        <f>MAX(0,F157-F159)</f>
        <v>0</v>
      </c>
      <c r="G160" s="37">
        <f>MAX(0,G157-G159)</f>
        <v>0</v>
      </c>
      <c r="H160" s="37">
        <f>MAX(0,H157-H159)</f>
        <v>0</v>
      </c>
      <c r="I160" s="37">
        <f>MAX(0,I157-I159)</f>
        <v>0</v>
      </c>
      <c r="J160" s="37">
        <f>MAX(0,J157-J159)</f>
        <v>0</v>
      </c>
      <c r="K160" s="37">
        <f>MAX(0,K157-K159)</f>
        <v>0</v>
      </c>
      <c r="L160" s="37">
        <f>MAX(0,L157-L159)</f>
        <v>0</v>
      </c>
      <c r="M160" s="37">
        <f>MAX(0,M157-M159)</f>
        <v>0</v>
      </c>
      <c r="N160" s="37">
        <f>MAX(0,N157-N159)</f>
        <v>0</v>
      </c>
      <c r="O160" s="37">
        <f>MAX(0,O157-O159)</f>
        <v>52.962617989519686</v>
      </c>
      <c r="P160" s="37">
        <f>MAX(0,P157-P159)</f>
        <v>486.6398183480943</v>
      </c>
      <c r="Q160" s="37">
        <f>MAX(0,Q157-Q159)</f>
        <v>502.94832099578434</v>
      </c>
      <c r="R160" s="37">
        <f>MAX(0,R157-R159)</f>
        <v>517.9937907133906</v>
      </c>
      <c r="S160" s="37">
        <f>MAX(0,S157-S159)</f>
        <v>532.1636882303496</v>
      </c>
      <c r="T160" s="37">
        <f>MAX(0,T157-T159)</f>
        <v>545.6906216591877</v>
      </c>
      <c r="U160" s="37">
        <f>MAX(0,U157-U159)</f>
        <v>539.9949622839631</v>
      </c>
      <c r="V160" s="37">
        <f>MAX(0,V157-V159)</f>
        <v>533.8815633438674</v>
      </c>
      <c r="W160" s="37">
        <f>MAX(0,W157-W159)</f>
        <v>527.3981432963639</v>
      </c>
      <c r="X160" s="37">
        <f>MAX(0,X157-X159)</f>
        <v>520.5496139404686</v>
      </c>
      <c r="Y160" s="37">
        <f>MAX(0,Y157-Y159)</f>
        <v>513.3407134350945</v>
      </c>
      <c r="Z160" s="37">
        <f>MAX(0,Z157-Z159)</f>
        <v>505.7700696157759</v>
      </c>
      <c r="AA160" s="37">
        <f>MAX(0,AA157-AA159)</f>
        <v>497.8332940310816</v>
      </c>
      <c r="AB160" s="37">
        <f>MAX(0,AB157-AB159)</f>
        <v>489.5207092530958</v>
      </c>
      <c r="AC160" s="37">
        <f>MAX(0,AC157-AC159)</f>
        <v>480.8129209340476</v>
      </c>
    </row>
    <row r="161" spans="1:29" x14ac:dyDescent="0.25">
      <c r="A161" s="33" t="s">
        <v>205</v>
      </c>
      <c r="B161" s="26" t="s">
        <v>68</v>
      </c>
      <c r="E161" s="37">
        <f>E158-E159+MAX(0,-E157)</f>
        <v>1439.3466856526984</v>
      </c>
      <c r="F161" s="37">
        <f>F158-F159+MAX(0,-F157)</f>
        <v>2155.720237317437</v>
      </c>
      <c r="G161" s="37">
        <f>G158-G159+MAX(0,-G157)</f>
        <v>2432.137362109286</v>
      </c>
      <c r="H161" s="37">
        <f>H158-H159+MAX(0,-H157)</f>
        <v>2438.4768138077757</v>
      </c>
      <c r="I161" s="37">
        <f>I158-I159+MAX(0,-I157)</f>
        <v>2276.7288170890824</v>
      </c>
      <c r="J161" s="37">
        <f>J158-J159+MAX(0,-J157)</f>
        <v>2008.1606584777824</v>
      </c>
      <c r="K161" s="37">
        <f>K158-K159+MAX(0,-K157)</f>
        <v>1669.6091167477043</v>
      </c>
      <c r="L161" s="37">
        <f>L158-L159+MAX(0,-L157)</f>
        <v>1283.254449364122</v>
      </c>
      <c r="M161" s="37">
        <f>M158-M159+MAX(0,-M157)</f>
        <v>862.4897566737548</v>
      </c>
      <c r="N161" s="37">
        <f>N158-N159+MAX(0,-N157)</f>
        <v>415.4279708370084</v>
      </c>
      <c r="O161" s="37">
        <f>O158-O159+MAX(0,-O157)</f>
        <v>0</v>
      </c>
      <c r="P161" s="37">
        <f>P158-P159+MAX(0,-P157)</f>
        <v>0</v>
      </c>
      <c r="Q161" s="37">
        <f>Q158-Q159+MAX(0,-Q157)</f>
        <v>0</v>
      </c>
      <c r="R161" s="37">
        <f>R158-R159+MAX(0,-R157)</f>
        <v>0</v>
      </c>
      <c r="S161" s="37">
        <f>S158-S159+MAX(0,-S157)</f>
        <v>0</v>
      </c>
      <c r="T161" s="37">
        <f>T158-T159+MAX(0,-T157)</f>
        <v>0</v>
      </c>
      <c r="U161" s="37">
        <f>U158-U159+MAX(0,-U157)</f>
        <v>0</v>
      </c>
      <c r="V161" s="37">
        <f>V158-V159+MAX(0,-V157)</f>
        <v>0</v>
      </c>
      <c r="W161" s="37">
        <f>W158-W159+MAX(0,-W157)</f>
        <v>0</v>
      </c>
      <c r="X161" s="37">
        <f>X158-X159+MAX(0,-X157)</f>
        <v>0</v>
      </c>
      <c r="Y161" s="37">
        <f>Y158-Y159+MAX(0,-Y157)</f>
        <v>0</v>
      </c>
      <c r="Z161" s="37">
        <f>Z158-Z159+MAX(0,-Z157)</f>
        <v>0</v>
      </c>
      <c r="AA161" s="37">
        <f>AA158-AA159+MAX(0,-AA157)</f>
        <v>0</v>
      </c>
      <c r="AB161" s="37">
        <f>AB158-AB159+MAX(0,-AB157)</f>
        <v>0</v>
      </c>
      <c r="AC161" s="37">
        <f>AC158-AC159+MAX(0,-AC157)</f>
        <v>0</v>
      </c>
    </row>
    <row r="162" spans="1:29" x14ac:dyDescent="0.25">
      <c r="A162" s="33" t="s">
        <v>206</v>
      </c>
      <c r="B162" s="26" t="s">
        <v>68</v>
      </c>
      <c r="C162" s="55">
        <f>SUM(E162:AC162)</f>
        <v>1824.1959634592401</v>
      </c>
      <c r="E162" s="37">
        <f>E160*$C$68</f>
        <v>0</v>
      </c>
      <c r="F162" s="37">
        <f>F160*$C$68</f>
        <v>0</v>
      </c>
      <c r="G162" s="37">
        <f>G160*$C$68</f>
        <v>0</v>
      </c>
      <c r="H162" s="37">
        <f>H160*$C$68</f>
        <v>0</v>
      </c>
      <c r="I162" s="37">
        <f>I160*$C$68</f>
        <v>0</v>
      </c>
      <c r="J162" s="37">
        <f>J160*$C$68</f>
        <v>0</v>
      </c>
      <c r="K162" s="37">
        <f>K160*$C$68</f>
        <v>0</v>
      </c>
      <c r="L162" s="37">
        <f>L160*$C$68</f>
        <v>0</v>
      </c>
      <c r="M162" s="37">
        <f>M160*$C$68</f>
        <v>0</v>
      </c>
      <c r="N162" s="37">
        <f>N160*$C$68</f>
        <v>0</v>
      </c>
      <c r="O162" s="37">
        <f>O160*$C$68</f>
        <v>13.330690947962104</v>
      </c>
      <c r="P162" s="37">
        <f>P160*$C$68</f>
        <v>122.48724227821533</v>
      </c>
      <c r="Q162" s="37">
        <f>Q160*$C$68</f>
        <v>126.59209239463891</v>
      </c>
      <c r="R162" s="37">
        <f>R160*$C$68</f>
        <v>130.3790371225604</v>
      </c>
      <c r="S162" s="37">
        <f>S160*$C$68</f>
        <v>133.945600327579</v>
      </c>
      <c r="T162" s="37">
        <f>T160*$C$68</f>
        <v>137.35032947161756</v>
      </c>
      <c r="U162" s="37">
        <f>U160*$C$68</f>
        <v>135.9167320068735</v>
      </c>
      <c r="V162" s="37">
        <f>V160*$C$68</f>
        <v>134.3779894936514</v>
      </c>
      <c r="W162" s="37">
        <f>W160*$C$68</f>
        <v>132.74611266769477</v>
      </c>
      <c r="X162" s="37">
        <f>X160*$C$68</f>
        <v>131.02233782881592</v>
      </c>
      <c r="Y162" s="37">
        <f>Y160*$C$68</f>
        <v>129.20785757161326</v>
      </c>
      <c r="Z162" s="37">
        <f>Z160*$C$68</f>
        <v>127.30232652229078</v>
      </c>
      <c r="AA162" s="37">
        <f>AA160*$C$68</f>
        <v>125.30464010762323</v>
      </c>
      <c r="AB162" s="37">
        <f>AB160*$C$68</f>
        <v>123.2123625190042</v>
      </c>
      <c r="AC162" s="37">
        <f>AC160*$C$68</f>
        <v>121.02061219909977</v>
      </c>
    </row>
    <row r="163" spans="1:29" x14ac:dyDescent="0.25">
      <c r="A163" s="59" t="s">
        <v>207</v>
      </c>
      <c r="B163" s="60" t="s">
        <v>68</v>
      </c>
      <c r="C163" s="61">
        <f>SUM(E163:AC163)</f>
        <v>5858.112829434302</v>
      </c>
      <c r="D163" s="62"/>
      <c r="E163" s="61">
        <f>E156-E162</f>
        <v>183.09231434730168</v>
      </c>
      <c r="F163" s="61">
        <f>F156-F162</f>
        <v>197.91064833526173</v>
      </c>
      <c r="G163" s="61">
        <f>G156-G162</f>
        <v>212.56669399075952</v>
      </c>
      <c r="H163" s="61">
        <f>H156-H162</f>
        <v>227.05761600048277</v>
      </c>
      <c r="I163" s="61">
        <f>I156-I162</f>
        <v>241.3866775244082</v>
      </c>
      <c r="J163" s="61">
        <f>J156-J162</f>
        <v>255.54477494110336</v>
      </c>
      <c r="K163" s="61">
        <f>K156-K162</f>
        <v>269.52219813532287</v>
      </c>
      <c r="L163" s="61">
        <f>L156-L162</f>
        <v>283.31020705489925</v>
      </c>
      <c r="M163" s="61">
        <f>M156-M162</f>
        <v>296.8954979232495</v>
      </c>
      <c r="N163" s="61">
        <f>N156-N162</f>
        <v>310.2764376380648</v>
      </c>
      <c r="O163" s="61">
        <f>O156-O162</f>
        <v>310.0960873038648</v>
      </c>
      <c r="P163" s="61">
        <f>P156-P162</f>
        <v>213.8432788914967</v>
      </c>
      <c r="Q163" s="61">
        <f>Q156-Q162</f>
        <v>222.38891468369516</v>
      </c>
      <c r="R163" s="61">
        <f>R156-R162</f>
        <v>230.986239469376</v>
      </c>
      <c r="S163" s="61">
        <f>S156-S162</f>
        <v>239.50651204670405</v>
      </c>
      <c r="T163" s="61">
        <f>T156-T162</f>
        <v>247.86696069120313</v>
      </c>
      <c r="U163" s="61">
        <f>U156-U162</f>
        <v>242.00274277293332</v>
      </c>
      <c r="V163" s="61">
        <f>V156-V162</f>
        <v>235.87784633844615</v>
      </c>
      <c r="W163" s="61">
        <f>W156-W162</f>
        <v>229.4477641878027</v>
      </c>
      <c r="X163" s="61">
        <f>X156-X162</f>
        <v>222.64390278287107</v>
      </c>
      <c r="Y163" s="61">
        <f>Y156-Y162</f>
        <v>215.38629913901906</v>
      </c>
      <c r="Z163" s="61">
        <f>Z156-Z162</f>
        <v>207.55005544823416</v>
      </c>
      <c r="AA163" s="61">
        <f>AA156-AA162</f>
        <v>198.90054773360322</v>
      </c>
      <c r="AB163" s="61">
        <f>AB156-AB162</f>
        <v>188.8657386207134</v>
      </c>
      <c r="AC163" s="61">
        <f>AC156-AC162</f>
        <v>175.18687343348608</v>
      </c>
    </row>
    <row r="165" ht="20" customHeight="1" spans="1:29" x14ac:dyDescent="0.25">
      <c r="A165" s="21" t="s">
        <v>208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x14ac:dyDescent="0.25">
      <c r="A166" s="33" t="s">
        <v>209</v>
      </c>
      <c r="B166" s="26" t="s">
        <v>68</v>
      </c>
      <c r="E166" s="37">
        <f>E118*$C$73/365</f>
        <v>84.98158327569472</v>
      </c>
      <c r="F166" s="37">
        <f>F118*$C$73/365</f>
        <v>84.89403472626513</v>
      </c>
      <c r="G166" s="37">
        <f>G118*$C$73/365</f>
        <v>84.80344058730626</v>
      </c>
      <c r="H166" s="37">
        <f>H118*$C$73/365</f>
        <v>84.71040561141909</v>
      </c>
      <c r="I166" s="37">
        <f>I118*$C$73/365</f>
        <v>84.61634583480324</v>
      </c>
      <c r="J166" s="37">
        <f>J118*$C$73/365</f>
        <v>84.52121795876616</v>
      </c>
      <c r="K166" s="37">
        <f>K118*$C$73/365</f>
        <v>84.42497629489428</v>
      </c>
      <c r="L166" s="37">
        <f>L118*$C$73/365</f>
        <v>84.3277756559476</v>
      </c>
      <c r="M166" s="37">
        <f>M118*$C$73/365</f>
        <v>84.22929959149961</v>
      </c>
      <c r="N166" s="37">
        <f>N118*$C$73/365</f>
        <v>84.13077503510296</v>
      </c>
      <c r="O166" s="37">
        <f>O118*$C$73/365</f>
        <v>84.03051557994634</v>
      </c>
      <c r="P166" s="37">
        <f>P118*$C$73/365</f>
        <v>83.92824185827878</v>
      </c>
      <c r="Q166" s="37">
        <f>Q118*$C$73/365</f>
        <v>83.82499897216896</v>
      </c>
      <c r="R166" s="37">
        <f>R118*$C$73/365</f>
        <v>83.72126929127127</v>
      </c>
      <c r="S166" s="37">
        <f>S118*$C$73/365</f>
        <v>83.61555653398126</v>
      </c>
      <c r="T166" s="37">
        <f>T118*$C$73/365</f>
        <v>83.50758501040431</v>
      </c>
      <c r="U166" s="37">
        <f>U118*$C$73/365</f>
        <v>83.39798140899488</v>
      </c>
      <c r="V166" s="37">
        <f>V118*$C$73/365</f>
        <v>83.28778079888833</v>
      </c>
      <c r="W166" s="37">
        <f>W118*$C$73/365</f>
        <v>83.17794839203079</v>
      </c>
      <c r="X166" s="37">
        <f>X118*$C$73/365</f>
        <v>83.06687982296107</v>
      </c>
      <c r="Y166" s="37">
        <f>Y118*$C$73/365</f>
        <v>82.95461207431097</v>
      </c>
      <c r="Z166" s="37">
        <f>Z118*$C$73/365</f>
        <v>82.84146630776821</v>
      </c>
      <c r="AA166" s="37">
        <f>AA118*$C$73/365</f>
        <v>82.72805613635</v>
      </c>
      <c r="AB166" s="37">
        <f>AB118*$C$73/365</f>
        <v>82.61478558356565</v>
      </c>
      <c r="AC166" s="37">
        <f>AC118*$C$73/365</f>
        <v>82.50117223318321</v>
      </c>
    </row>
    <row r="167" spans="1:29" x14ac:dyDescent="0.25">
      <c r="A167" s="33" t="s">
        <v>210</v>
      </c>
      <c r="B167" s="26" t="s">
        <v>68</v>
      </c>
      <c r="C167" s="55">
        <f>SUM(E167:AC167)</f>
        <v>82.50117223318321</v>
      </c>
      <c r="E167" s="37">
        <f>E166</f>
        <v>84.98158327569472</v>
      </c>
      <c r="F167" s="37">
        <f>F166-E166</f>
        <v>-0.08754854942958445</v>
      </c>
      <c r="G167" s="37">
        <f>G166-F166</f>
        <v>-0.09059413895887758</v>
      </c>
      <c r="H167" s="37">
        <f>H166-G166</f>
        <v>-0.09303497588716425</v>
      </c>
      <c r="I167" s="37">
        <f>I166-H166</f>
        <v>-0.09405977661585041</v>
      </c>
      <c r="J167" s="37">
        <f>J166-I166</f>
        <v>-0.09512787603708261</v>
      </c>
      <c r="K167" s="37">
        <f>K166-J166</f>
        <v>-0.09624166387187927</v>
      </c>
      <c r="L167" s="37">
        <f>L166-K166</f>
        <v>-0.09720063894667419</v>
      </c>
      <c r="M167" s="37">
        <f>M166-L166</f>
        <v>-0.0984760644479934</v>
      </c>
      <c r="N167" s="37">
        <f>N166-M166</f>
        <v>-0.09852455639665436</v>
      </c>
      <c r="O167" s="37">
        <f>O166-N166</f>
        <v>-0.1002594551566176</v>
      </c>
      <c r="P167" s="37">
        <f>P166-O166</f>
        <v>-0.10227372166755799</v>
      </c>
      <c r="Q167" s="37">
        <f>Q166-P166</f>
        <v>-0.10324288610982535</v>
      </c>
      <c r="R167" s="37">
        <f>R166-Q166</f>
        <v>-0.1037296808976862</v>
      </c>
      <c r="S167" s="37">
        <f>S166-R166</f>
        <v>-0.10571275729000718</v>
      </c>
      <c r="T167" s="37">
        <f>T166-S166</f>
        <v>-0.10797152357694983</v>
      </c>
      <c r="U167" s="37">
        <f>U166-T166</f>
        <v>-0.10960360140943237</v>
      </c>
      <c r="V167" s="37">
        <f>V166-U166</f>
        <v>-0.11020061010654558</v>
      </c>
      <c r="W167" s="37">
        <f>W166-V166</f>
        <v>-0.10983240685754936</v>
      </c>
      <c r="X167" s="37">
        <f>X166-W166</f>
        <v>-0.1110685690697153</v>
      </c>
      <c r="Y167" s="37">
        <f>Y166-X166</f>
        <v>-0.11226774865009759</v>
      </c>
      <c r="Z167" s="37">
        <f>Z166-Y166</f>
        <v>-0.11314576654275754</v>
      </c>
      <c r="AA167" s="37">
        <f>AA166-Z166</f>
        <v>-0.11341017141820942</v>
      </c>
      <c r="AB167" s="37">
        <f>AB166-AA166</f>
        <v>-0.11327055278435694</v>
      </c>
      <c r="AC167" s="37">
        <f>AC166-AB166</f>
        <v>-0.1136133503824368</v>
      </c>
    </row>
    <row r="168" spans="1:29" x14ac:dyDescent="0.25">
      <c r="A168" s="59" t="s">
        <v>211</v>
      </c>
      <c r="B168" s="60" t="s">
        <v>68</v>
      </c>
      <c r="C168" s="61">
        <f>SUM(E168:AC168)</f>
        <v>12033.590657201119</v>
      </c>
      <c r="D168" s="62"/>
      <c r="E168" s="61">
        <f>E127-E162-E167-E131</f>
        <v>539.378481071607</v>
      </c>
      <c r="F168" s="61">
        <f>F127-F162-F167-F131</f>
        <v>607.1594968846913</v>
      </c>
      <c r="G168" s="61">
        <f>G127-G162-G167-G131</f>
        <v>604.1062633471097</v>
      </c>
      <c r="H168" s="61">
        <f>H127-H162-H167-H131</f>
        <v>600.8830309573975</v>
      </c>
      <c r="I168" s="61">
        <f>I127-I162-I167-I131</f>
        <v>597.4939999449088</v>
      </c>
      <c r="J168" s="61">
        <f>J127-J162-J167-J131</f>
        <v>593.9334504534492</v>
      </c>
      <c r="K168" s="61">
        <f>K127-K162-K167-K131</f>
        <v>590.1938156330784</v>
      </c>
      <c r="L168" s="61">
        <f>L127-L162-L167-L131</f>
        <v>586.2685637096838</v>
      </c>
      <c r="M168" s="61">
        <f>M127-M162-M167-M131</f>
        <v>582.1476053204751</v>
      </c>
      <c r="N168" s="61">
        <f>N127-N162-N167-N131</f>
        <v>577.8309286113052</v>
      </c>
      <c r="O168" s="61">
        <f>O127-O162-O167-O131</f>
        <v>559.9682101550231</v>
      </c>
      <c r="P168" s="61">
        <f>P127-P162-P167-P131</f>
        <v>446.05127181801805</v>
      </c>
      <c r="Q168" s="61">
        <f>Q127-Q162-Q167-Q131</f>
        <v>436.9550008268184</v>
      </c>
      <c r="R168" s="61">
        <f>R127-R162-R167-R131</f>
        <v>427.93973481543594</v>
      </c>
      <c r="S168" s="61">
        <f>S127-S162-S167-S131</f>
        <v>418.8869102080563</v>
      </c>
      <c r="T168" s="61">
        <f>T127-T162-T167-T131</f>
        <v>409.72307460306234</v>
      </c>
      <c r="U168" s="61">
        <f>U127-U162-U167-U131</f>
        <v>405.11685912187244</v>
      </c>
      <c r="V168" s="61">
        <f>V127-V162-V167-V131</f>
        <v>400.3304041533241</v>
      </c>
      <c r="W168" s="61">
        <f>W127-W162-W167-W131</f>
        <v>395.34627896189573</v>
      </c>
      <c r="X168" s="61">
        <f>X127-X162-X167-X131</f>
        <v>390.1387992037951</v>
      </c>
      <c r="Y168" s="61">
        <f>Y127-Y162-Y167-Y131</f>
        <v>384.69070714420855</v>
      </c>
      <c r="Z168" s="61">
        <f>Z127-Z162-Z167-Z131</f>
        <v>378.9891904729608</v>
      </c>
      <c r="AA168" s="61">
        <f>AA127-AA162-AA167-AA131</f>
        <v>373.0237680115123</v>
      </c>
      <c r="AB168" s="61">
        <f>AB127-AB162-AB167-AB131</f>
        <v>366.7832608972671</v>
      </c>
      <c r="AC168" s="61">
        <f>AC127-AC162-AC167-AC131</f>
        <v>360.25155087416243</v>
      </c>
    </row>
    <row r="169" spans="1:29" x14ac:dyDescent="0.25">
      <c r="A169" s="33" t="s">
        <v>212</v>
      </c>
      <c r="B169" s="26" t="s">
        <v>68</v>
      </c>
      <c r="C169" s="55">
        <f>SUM(E169:AC169)</f>
        <v>5366.528999999998</v>
      </c>
      <c r="E169" s="37">
        <f>E144</f>
        <v>488.81174999999996</v>
      </c>
      <c r="F169" s="37">
        <f>F144</f>
        <v>470.09129999999993</v>
      </c>
      <c r="G169" s="37">
        <f>G144</f>
        <v>451.37084999999996</v>
      </c>
      <c r="H169" s="37">
        <f>H144</f>
        <v>432.65039999999993</v>
      </c>
      <c r="I169" s="37">
        <f>I144</f>
        <v>413.92994999999996</v>
      </c>
      <c r="J169" s="37">
        <f>J144</f>
        <v>395.20949999999993</v>
      </c>
      <c r="K169" s="37">
        <f>K144</f>
        <v>376.4890499999999</v>
      </c>
      <c r="L169" s="37">
        <f>L144</f>
        <v>357.7685999999999</v>
      </c>
      <c r="M169" s="37">
        <f>M144</f>
        <v>339.0481499999999</v>
      </c>
      <c r="N169" s="37">
        <f>N144</f>
        <v>320.3276999999999</v>
      </c>
      <c r="O169" s="37">
        <f>O144</f>
        <v>301.6072499999999</v>
      </c>
      <c r="P169" s="37">
        <f>P144</f>
        <v>282.8867999999999</v>
      </c>
      <c r="Q169" s="37">
        <f>Q144</f>
        <v>264.16634999999985</v>
      </c>
      <c r="R169" s="37">
        <f>R144</f>
        <v>245.44589999999988</v>
      </c>
      <c r="S169" s="37">
        <f>S144</f>
        <v>226.72544999999863</v>
      </c>
      <c r="T169" s="37">
        <f>T144</f>
        <v>0</v>
      </c>
      <c r="U169" s="37">
        <f>U144</f>
        <v>0</v>
      </c>
      <c r="V169" s="37">
        <f>V144</f>
        <v>0</v>
      </c>
      <c r="W169" s="37">
        <f>W144</f>
        <v>0</v>
      </c>
      <c r="X169" s="37">
        <f>X144</f>
        <v>0</v>
      </c>
      <c r="Y169" s="37">
        <f>Y144</f>
        <v>0</v>
      </c>
      <c r="Z169" s="37">
        <f>Z144</f>
        <v>0</v>
      </c>
      <c r="AA169" s="37">
        <f>AA144</f>
        <v>0</v>
      </c>
      <c r="AB169" s="37">
        <f>AB144</f>
        <v>0</v>
      </c>
      <c r="AC169" s="37">
        <f>AC144</f>
        <v>0</v>
      </c>
    </row>
    <row r="170" spans="1:29" x14ac:dyDescent="0.25">
      <c r="A170" s="33" t="s">
        <v>213</v>
      </c>
      <c r="B170" s="26" t="s">
        <v>70</v>
      </c>
      <c r="E170" s="40">
        <f>IF(E144&gt;1E-9,E168/E144,"")</f>
        <v>1.1034482724108146</v>
      </c>
      <c r="F170" s="40">
        <f>IF(F144&gt;1E-9,F168/F144,"")</f>
        <v>1.2915778209141318</v>
      </c>
      <c r="G170" s="40">
        <f>IF(G144&gt;1E-9,G168/G144,"")</f>
        <v>1.3383812077078299</v>
      </c>
      <c r="H170" s="40">
        <f>IF(H144&gt;1E-9,H168/H144,"")</f>
        <v>1.3888419632973819</v>
      </c>
      <c r="I170" s="40">
        <f>IF(I144&gt;1E-9,I168/I144,"")</f>
        <v>1.4434664607982794</v>
      </c>
      <c r="J170" s="40">
        <f>IF(J144&gt;1E-9,J168/J144,"")</f>
        <v>1.502831916878135</v>
      </c>
      <c r="K170" s="40">
        <f>IF(K144&gt;1E-9,K168/K144,"")</f>
        <v>1.5676254478930491</v>
      </c>
      <c r="L170" s="40">
        <f>IF(L144&gt;1E-9,L168/L144,"")</f>
        <v>1.6386808783936992</v>
      </c>
      <c r="M170" s="40">
        <f>IF(M144&gt;1E-9,M168/M144,"")</f>
        <v>1.7170056976287151</v>
      </c>
      <c r="N170" s="40">
        <f>IF(N144&gt;1E-9,N168/N144,"")</f>
        <v>1.8038743718114465</v>
      </c>
      <c r="O170" s="40">
        <f>IF(O144&gt;1E-9,O168/O144,"")</f>
        <v>1.8566138915925374</v>
      </c>
      <c r="P170" s="40">
        <f>IF(P144&gt;1E-9,P168/P144,"")</f>
        <v>1.5767836173975536</v>
      </c>
      <c r="Q170" s="40">
        <f>IF(Q144&gt;1E-9,Q168/Q144,"")</f>
        <v>1.6540903140268193</v>
      </c>
      <c r="R170" s="40">
        <f>IF(R144&gt;1E-9,R168/R144,"")</f>
        <v>1.7435195895121334</v>
      </c>
      <c r="S170" s="40">
        <f>IF(S144&gt;1E-9,S168/S144,"")</f>
        <v>1.8475513455064654</v>
      </c>
      <c r="T170" s="40" t="str">
        <f>IF(T144&gt;1E-9,T168/T144,"")</f>
        <v/>
      </c>
      <c r="U170" s="40" t="str">
        <f>IF(U144&gt;1E-9,U168/U144,"")</f>
        <v/>
      </c>
      <c r="V170" s="40" t="str">
        <f>IF(V144&gt;1E-9,V168/V144,"")</f>
        <v/>
      </c>
      <c r="W170" s="40" t="str">
        <f>IF(W144&gt;1E-9,W168/W144,"")</f>
        <v/>
      </c>
      <c r="X170" s="40" t="str">
        <f>IF(X144&gt;1E-9,X168/X144,"")</f>
        <v/>
      </c>
      <c r="Y170" s="40" t="str">
        <f>IF(Y144&gt;1E-9,Y168/Y144,"")</f>
        <v/>
      </c>
      <c r="Z170" s="40" t="str">
        <f>IF(Z144&gt;1E-9,Z168/Z144,"")</f>
        <v/>
      </c>
      <c r="AA170" s="40" t="str">
        <f>IF(AA144&gt;1E-9,AA168/AA144,"")</f>
        <v/>
      </c>
      <c r="AB170" s="40" t="str">
        <f>IF(AB144&gt;1E-9,AB168/AB144,"")</f>
        <v/>
      </c>
      <c r="AC170" s="40" t="str">
        <f>IF(AC144&gt;1E-9,AC168/AC144,"")</f>
        <v/>
      </c>
    </row>
    <row r="171" spans="1:29" x14ac:dyDescent="0.25">
      <c r="A171" s="33" t="s">
        <v>214</v>
      </c>
      <c r="B171" s="26" t="s">
        <v>68</v>
      </c>
      <c r="C171" s="55">
        <f>SUM(E171:AC171)</f>
        <v>528.2261722331832</v>
      </c>
      <c r="E171" s="37">
        <f>IF(E$5=$C$86,$C$83*$C$72+E166,0)</f>
        <v>0</v>
      </c>
      <c r="F171" s="37">
        <f>IF(F$5=$C$86,$C$83*$C$72+F166,0)</f>
        <v>0</v>
      </c>
      <c r="G171" s="37">
        <f>IF(G$5=$C$86,$C$83*$C$72+G166,0)</f>
        <v>0</v>
      </c>
      <c r="H171" s="37">
        <f>IF(H$5=$C$86,$C$83*$C$72+H166,0)</f>
        <v>0</v>
      </c>
      <c r="I171" s="37">
        <f>IF(I$5=$C$86,$C$83*$C$72+I166,0)</f>
        <v>0</v>
      </c>
      <c r="J171" s="37">
        <f>IF(J$5=$C$86,$C$83*$C$72+J166,0)</f>
        <v>0</v>
      </c>
      <c r="K171" s="37">
        <f>IF(K$5=$C$86,$C$83*$C$72+K166,0)</f>
        <v>0</v>
      </c>
      <c r="L171" s="37">
        <f>IF(L$5=$C$86,$C$83*$C$72+L166,0)</f>
        <v>0</v>
      </c>
      <c r="M171" s="37">
        <f>IF(M$5=$C$86,$C$83*$C$72+M166,0)</f>
        <v>0</v>
      </c>
      <c r="N171" s="37">
        <f>IF(N$5=$C$86,$C$83*$C$72+N166,0)</f>
        <v>0</v>
      </c>
      <c r="O171" s="37">
        <f>IF(O$5=$C$86,$C$83*$C$72+O166,0)</f>
        <v>0</v>
      </c>
      <c r="P171" s="37">
        <f>IF(P$5=$C$86,$C$83*$C$72+P166,0)</f>
        <v>0</v>
      </c>
      <c r="Q171" s="37">
        <f>IF(Q$5=$C$86,$C$83*$C$72+Q166,0)</f>
        <v>0</v>
      </c>
      <c r="R171" s="37">
        <f>IF(R$5=$C$86,$C$83*$C$72+R166,0)</f>
        <v>0</v>
      </c>
      <c r="S171" s="37">
        <f>IF(S$5=$C$86,$C$83*$C$72+S166,0)</f>
        <v>0</v>
      </c>
      <c r="T171" s="37">
        <f>IF(T$5=$C$86,$C$83*$C$72+T166,0)</f>
        <v>0</v>
      </c>
      <c r="U171" s="37">
        <f>IF(U$5=$C$86,$C$83*$C$72+U166,0)</f>
        <v>0</v>
      </c>
      <c r="V171" s="37">
        <f>IF(V$5=$C$86,$C$83*$C$72+V166,0)</f>
        <v>0</v>
      </c>
      <c r="W171" s="37">
        <f>IF(W$5=$C$86,$C$83*$C$72+W166,0)</f>
        <v>0</v>
      </c>
      <c r="X171" s="37">
        <f>IF(X$5=$C$86,$C$83*$C$72+X166,0)</f>
        <v>0</v>
      </c>
      <c r="Y171" s="37">
        <f>IF(Y$5=$C$86,$C$83*$C$72+Y166,0)</f>
        <v>0</v>
      </c>
      <c r="Z171" s="37">
        <f>IF(Z$5=$C$86,$C$83*$C$72+Z166,0)</f>
        <v>0</v>
      </c>
      <c r="AA171" s="37">
        <f>IF(AA$5=$C$86,$C$83*$C$72+AA166,0)</f>
        <v>0</v>
      </c>
      <c r="AB171" s="37">
        <f>IF(AB$5=$C$86,$C$83*$C$72+AB166,0)</f>
        <v>0</v>
      </c>
      <c r="AC171" s="37">
        <f>IF(AC$5=$C$86,$C$83*$C$72+AC166,0)</f>
        <v>528.2261722331832</v>
      </c>
    </row>
    <row r="172" spans="1:29" x14ac:dyDescent="0.25">
      <c r="A172" s="33" t="s">
        <v>215</v>
      </c>
      <c r="B172" s="26" t="s">
        <v>68</v>
      </c>
      <c r="C172" s="55">
        <f>SUM(E172:AC172)</f>
        <v>0</v>
      </c>
      <c r="E172" s="37">
        <f>IF(E$5=$C$86,E143,0)</f>
        <v>0</v>
      </c>
      <c r="F172" s="37">
        <f>IF(F$5=$C$86,F143,0)</f>
        <v>0</v>
      </c>
      <c r="G172" s="37">
        <f>IF(G$5=$C$86,G143,0)</f>
        <v>0</v>
      </c>
      <c r="H172" s="37">
        <f>IF(H$5=$C$86,H143,0)</f>
        <v>0</v>
      </c>
      <c r="I172" s="37">
        <f>IF(I$5=$C$86,I143,0)</f>
        <v>0</v>
      </c>
      <c r="J172" s="37">
        <f>IF(J$5=$C$86,J143,0)</f>
        <v>0</v>
      </c>
      <c r="K172" s="37">
        <f>IF(K$5=$C$86,K143,0)</f>
        <v>0</v>
      </c>
      <c r="L172" s="37">
        <f>IF(L$5=$C$86,L143,0)</f>
        <v>0</v>
      </c>
      <c r="M172" s="37">
        <f>IF(M$5=$C$86,M143,0)</f>
        <v>0</v>
      </c>
      <c r="N172" s="37">
        <f>IF(N$5=$C$86,N143,0)</f>
        <v>0</v>
      </c>
      <c r="O172" s="37">
        <f>IF(O$5=$C$86,O143,0)</f>
        <v>0</v>
      </c>
      <c r="P172" s="37">
        <f>IF(P$5=$C$86,P143,0)</f>
        <v>0</v>
      </c>
      <c r="Q172" s="37">
        <f>IF(Q$5=$C$86,Q143,0)</f>
        <v>0</v>
      </c>
      <c r="R172" s="37">
        <f>IF(R$5=$C$86,R143,0)</f>
        <v>0</v>
      </c>
      <c r="S172" s="37">
        <f>IF(S$5=$C$86,S143,0)</f>
        <v>0</v>
      </c>
      <c r="T172" s="37">
        <f>IF(T$5=$C$86,T143,0)</f>
        <v>0</v>
      </c>
      <c r="U172" s="37">
        <f>IF(U$5=$C$86,U143,0)</f>
        <v>0</v>
      </c>
      <c r="V172" s="37">
        <f>IF(V$5=$C$86,V143,0)</f>
        <v>0</v>
      </c>
      <c r="W172" s="37">
        <f>IF(W$5=$C$86,W143,0)</f>
        <v>0</v>
      </c>
      <c r="X172" s="37">
        <f>IF(X$5=$C$86,X143,0)</f>
        <v>0</v>
      </c>
      <c r="Y172" s="37">
        <f>IF(Y$5=$C$86,Y143,0)</f>
        <v>0</v>
      </c>
      <c r="Z172" s="37">
        <f>IF(Z$5=$C$86,Z143,0)</f>
        <v>0</v>
      </c>
      <c r="AA172" s="37">
        <f>IF(AA$5=$C$86,AA143,0)</f>
        <v>0</v>
      </c>
      <c r="AB172" s="37">
        <f>IF(AB$5=$C$86,AB143,0)</f>
        <v>0</v>
      </c>
      <c r="AC172" s="37">
        <f>IF(AC$5=$C$86,AC143,0)</f>
        <v>0</v>
      </c>
    </row>
    <row r="173" spans="1:29" x14ac:dyDescent="0.25">
      <c r="A173" s="59" t="s">
        <v>216</v>
      </c>
      <c r="B173" s="60" t="s">
        <v>68</v>
      </c>
      <c r="C173" s="61">
        <f>SUM(E173:AC173)</f>
        <v>7195.2878294343045</v>
      </c>
      <c r="D173" s="61">
        <f>-$C$85</f>
        <v>-1337.1750000000002</v>
      </c>
      <c r="E173" s="61">
        <f>E168-E144+E171-E172</f>
        <v>50.56673107160702</v>
      </c>
      <c r="F173" s="61">
        <f>F168-F144+F171-F172</f>
        <v>137.06819688469136</v>
      </c>
      <c r="G173" s="61">
        <f>G168-G144+G171-G172</f>
        <v>152.73541334710973</v>
      </c>
      <c r="H173" s="61">
        <f>H168-H144+H171-H172</f>
        <v>168.2326309573976</v>
      </c>
      <c r="I173" s="61">
        <f>I168-I144+I171-I172</f>
        <v>183.5640499449088</v>
      </c>
      <c r="J173" s="61">
        <f>J168-J144+J171-J172</f>
        <v>198.72395045344922</v>
      </c>
      <c r="K173" s="61">
        <f>K168-K144+K171-K172</f>
        <v>213.70476563307852</v>
      </c>
      <c r="L173" s="61">
        <f>L168-L144+L171-L172</f>
        <v>228.49996370968393</v>
      </c>
      <c r="M173" s="61">
        <f>M168-M144+M171-M172</f>
        <v>243.09945532047522</v>
      </c>
      <c r="N173" s="61">
        <f>N168-N144+N171-N172</f>
        <v>257.50322861130536</v>
      </c>
      <c r="O173" s="61">
        <f>O168-O144+O171-O172</f>
        <v>258.36096015502324</v>
      </c>
      <c r="P173" s="61">
        <f>P168-P144+P171-P172</f>
        <v>163.16447181801817</v>
      </c>
      <c r="Q173" s="61">
        <f>Q168-Q144+Q171-Q172</f>
        <v>172.78865082681853</v>
      </c>
      <c r="R173" s="61">
        <f>R168-R144+R171-R172</f>
        <v>182.49383481543606</v>
      </c>
      <c r="S173" s="61">
        <f>S168-S144+S171-S172</f>
        <v>192.16146020805766</v>
      </c>
      <c r="T173" s="61">
        <f>T168-T144+T171-T172</f>
        <v>409.72307460306234</v>
      </c>
      <c r="U173" s="61">
        <f>U168-U144+U171-U172</f>
        <v>405.11685912187244</v>
      </c>
      <c r="V173" s="61">
        <f>V168-V144+V171-V172</f>
        <v>400.3304041533241</v>
      </c>
      <c r="W173" s="61">
        <f>W168-W144+W171-W172</f>
        <v>395.34627896189573</v>
      </c>
      <c r="X173" s="61">
        <f>X168-X144+X171-X172</f>
        <v>390.1387992037951</v>
      </c>
      <c r="Y173" s="61">
        <f>Y168-Y144+Y171-Y172</f>
        <v>384.69070714420855</v>
      </c>
      <c r="Z173" s="61">
        <f>Z168-Z144+Z171-Z172</f>
        <v>378.9891904729608</v>
      </c>
      <c r="AA173" s="61">
        <f>AA168-AA144+AA171-AA172</f>
        <v>373.0237680115123</v>
      </c>
      <c r="AB173" s="61">
        <f>AB168-AB144+AB171-AB172</f>
        <v>366.7832608972671</v>
      </c>
      <c r="AC173" s="61">
        <f>AC168-AC144+AC171-AC172</f>
        <v>888.4777231073456</v>
      </c>
    </row>
    <row r="174" spans="1:29" x14ac:dyDescent="0.25">
      <c r="A174" s="33" t="s">
        <v>217</v>
      </c>
      <c r="B174" s="26" t="s">
        <v>68</v>
      </c>
      <c r="D174" s="37">
        <f>D173</f>
        <v>-1337.1750000000002</v>
      </c>
      <c r="E174" s="37">
        <f>D174+E173</f>
        <v>-1286.608268928393</v>
      </c>
      <c r="F174" s="37">
        <f>E174+F173</f>
        <v>-1149.5400720437017</v>
      </c>
      <c r="G174" s="37">
        <f>F174+G173</f>
        <v>-996.804658696592</v>
      </c>
      <c r="H174" s="37">
        <f>G174+H173</f>
        <v>-828.5720277391945</v>
      </c>
      <c r="I174" s="37">
        <f>H174+I173</f>
        <v>-645.0079777942857</v>
      </c>
      <c r="J174" s="37">
        <f>I174+J173</f>
        <v>-446.2840273408365</v>
      </c>
      <c r="K174" s="37">
        <f>J174+K173</f>
        <v>-232.57926170775795</v>
      </c>
      <c r="L174" s="37">
        <f>K174+L173</f>
        <v>-4.079297998074026</v>
      </c>
      <c r="M174" s="37">
        <f>L174+M173</f>
        <v>239.0201573224012</v>
      </c>
      <c r="N174" s="37">
        <f>M174+N173</f>
        <v>496.52338593370655</v>
      </c>
      <c r="O174" s="37">
        <f>N174+O173</f>
        <v>754.8843460887298</v>
      </c>
      <c r="P174" s="37">
        <f>O174+P173</f>
        <v>918.0488179067479</v>
      </c>
      <c r="Q174" s="37">
        <f>P174+Q173</f>
        <v>1090.8374687335663</v>
      </c>
      <c r="R174" s="37">
        <f>Q174+R173</f>
        <v>1273.3313035490023</v>
      </c>
      <c r="S174" s="37">
        <f>R174+S173</f>
        <v>1465.49276375706</v>
      </c>
      <c r="T174" s="37">
        <f>S174+T173</f>
        <v>1875.2158383601222</v>
      </c>
      <c r="U174" s="37">
        <f>T174+U173</f>
        <v>2280.3326974819947</v>
      </c>
      <c r="V174" s="37">
        <f>U174+V173</f>
        <v>2680.663101635319</v>
      </c>
      <c r="W174" s="37">
        <f>V174+W173</f>
        <v>3076.0093805972147</v>
      </c>
      <c r="X174" s="37">
        <f>W174+X173</f>
        <v>3466.14817980101</v>
      </c>
      <c r="Y174" s="37">
        <f>X174+Y173</f>
        <v>3850.8388869452183</v>
      </c>
      <c r="Z174" s="37">
        <f>Y174+Z173</f>
        <v>4229.828077418179</v>
      </c>
      <c r="AA174" s="37">
        <f>Z174+AA173</f>
        <v>4602.851845429692</v>
      </c>
      <c r="AB174" s="37">
        <f>AA174+AB173</f>
        <v>4969.6351063269585</v>
      </c>
      <c r="AC174" s="37">
        <f>AB174+AC173</f>
        <v>5858.112829434304</v>
      </c>
    </row>
    <row r="175" spans="1:29" x14ac:dyDescent="0.25">
      <c r="A175" s="33" t="s">
        <v>218</v>
      </c>
      <c r="B175" s="26" t="s">
        <v>74</v>
      </c>
      <c r="E175" s="44" t="str">
        <f>IF(E174&gt;=0,E$5,"")</f>
        <v/>
      </c>
      <c r="F175" s="44" t="str">
        <f>IF(F174&gt;=0,F$5,"")</f>
        <v/>
      </c>
      <c r="G175" s="44" t="str">
        <f>IF(G174&gt;=0,G$5,"")</f>
        <v/>
      </c>
      <c r="H175" s="44" t="str">
        <f>IF(H174&gt;=0,H$5,"")</f>
        <v/>
      </c>
      <c r="I175" s="44" t="str">
        <f>IF(I174&gt;=0,I$5,"")</f>
        <v/>
      </c>
      <c r="J175" s="44" t="str">
        <f>IF(J174&gt;=0,J$5,"")</f>
        <v/>
      </c>
      <c r="K175" s="44" t="str">
        <f>IF(K174&gt;=0,K$5,"")</f>
        <v/>
      </c>
      <c r="L175" s="44" t="str">
        <f>IF(L174&gt;=0,L$5,"")</f>
        <v/>
      </c>
      <c r="M175" s="44">
        <f>IF(M174&gt;=0,M$5,"")</f>
        <v>9</v>
      </c>
      <c r="N175" s="44">
        <f>IF(N174&gt;=0,N$5,"")</f>
        <v>10</v>
      </c>
      <c r="O175" s="44">
        <f>IF(O174&gt;=0,O$5,"")</f>
        <v>11</v>
      </c>
      <c r="P175" s="44">
        <f>IF(P174&gt;=0,P$5,"")</f>
        <v>12</v>
      </c>
      <c r="Q175" s="44">
        <f>IF(Q174&gt;=0,Q$5,"")</f>
        <v>13</v>
      </c>
      <c r="R175" s="44">
        <f>IF(R174&gt;=0,R$5,"")</f>
        <v>14</v>
      </c>
      <c r="S175" s="44">
        <f>IF(S174&gt;=0,S$5,"")</f>
        <v>15</v>
      </c>
      <c r="T175" s="44">
        <f>IF(T174&gt;=0,T$5,"")</f>
        <v>16</v>
      </c>
      <c r="U175" s="44">
        <f>IF(U174&gt;=0,U$5,"")</f>
        <v>17</v>
      </c>
      <c r="V175" s="44">
        <f>IF(V174&gt;=0,V$5,"")</f>
        <v>18</v>
      </c>
      <c r="W175" s="44">
        <f>IF(W174&gt;=0,W$5,"")</f>
        <v>19</v>
      </c>
      <c r="X175" s="44">
        <f>IF(X174&gt;=0,X$5,"")</f>
        <v>20</v>
      </c>
      <c r="Y175" s="44">
        <f>IF(Y174&gt;=0,Y$5,"")</f>
        <v>21</v>
      </c>
      <c r="Z175" s="44">
        <f>IF(Z174&gt;=0,Z$5,"")</f>
        <v>22</v>
      </c>
      <c r="AA175" s="44">
        <f>IF(AA174&gt;=0,AA$5,"")</f>
        <v>23</v>
      </c>
      <c r="AB175" s="44">
        <f>IF(AB174&gt;=0,AB$5,"")</f>
        <v>24</v>
      </c>
      <c r="AC175" s="44">
        <f>IF(AC174&gt;=0,AC$5,"")</f>
        <v>25</v>
      </c>
    </row>
    <row r="176" spans="1:29" x14ac:dyDescent="0.25">
      <c r="A176" s="33" t="s">
        <v>219</v>
      </c>
      <c r="B176" s="26" t="s">
        <v>68</v>
      </c>
      <c r="C176" s="55">
        <f>SUM(E176:AC176)</f>
        <v>2803.896044172147</v>
      </c>
      <c r="E176" s="37">
        <f>MAX(0,(E127-E149)*$C$68)</f>
        <v>0</v>
      </c>
      <c r="F176" s="37">
        <f>MAX(0,(F127-F149)*$C$68)</f>
        <v>0</v>
      </c>
      <c r="G176" s="37">
        <f>MAX(0,(G127-G149)*$C$68)</f>
        <v>0</v>
      </c>
      <c r="H176" s="37">
        <f>MAX(0,(H127-H149)*$C$68)</f>
        <v>54.94760718749016</v>
      </c>
      <c r="I176" s="37">
        <f>MAX(0,(I127-I149)*$C$68)</f>
        <v>92.54328068909501</v>
      </c>
      <c r="J176" s="37">
        <f>MAX(0,(J127-J149)*$C$68)</f>
        <v>114.71797817246423</v>
      </c>
      <c r="K176" s="37">
        <f>MAX(0,(K127-K149)*$C$68)</f>
        <v>127.6208584384606</v>
      </c>
      <c r="L176" s="37">
        <f>MAX(0,(L127-L149)*$C$68)</f>
        <v>134.94096790044765</v>
      </c>
      <c r="M176" s="37">
        <f>MAX(0,(M127-M149)*$C$68)</f>
        <v>138.89003400516538</v>
      </c>
      <c r="N176" s="37">
        <f>MAX(0,(N127-N149)*$C$68)</f>
        <v>140.79707508510901</v>
      </c>
      <c r="O176" s="37">
        <f>MAX(0,(O127-O149)*$C$68)</f>
        <v>141.45359753263708</v>
      </c>
      <c r="P176" s="37">
        <f>MAX(0,(P127-P149)*$C$68)</f>
        <v>141.3349913382153</v>
      </c>
      <c r="Q176" s="37">
        <f>MAX(0,(Q127-Q149)*$C$68)</f>
        <v>140.72790418963888</v>
      </c>
      <c r="R176" s="37">
        <f>MAX(0,(R127-R149)*$C$68)</f>
        <v>139.8029116525604</v>
      </c>
      <c r="S176" s="37">
        <f>MAX(0,(S127-S149)*$C$68)</f>
        <v>138.65753759257896</v>
      </c>
      <c r="T176" s="37">
        <f>MAX(0,(T127-T149)*$C$68)</f>
        <v>137.35032947161756</v>
      </c>
      <c r="U176" s="37">
        <f>MAX(0,(U127-U149)*$C$68)</f>
        <v>135.9167320068735</v>
      </c>
      <c r="V176" s="37">
        <f>MAX(0,(V127-V149)*$C$68)</f>
        <v>134.3779894936514</v>
      </c>
      <c r="W176" s="37">
        <f>MAX(0,(W127-W149)*$C$68)</f>
        <v>132.74611266769477</v>
      </c>
      <c r="X176" s="37">
        <f>MAX(0,(X127-X149)*$C$68)</f>
        <v>131.02233782881592</v>
      </c>
      <c r="Y176" s="37">
        <f>MAX(0,(Y127-Y149)*$C$68)</f>
        <v>129.20785757161326</v>
      </c>
      <c r="Z176" s="37">
        <f>MAX(0,(Z127-Z149)*$C$68)</f>
        <v>127.30232652229078</v>
      </c>
      <c r="AA176" s="37">
        <f>MAX(0,(AA127-AA149)*$C$68)</f>
        <v>125.30464010762323</v>
      </c>
      <c r="AB176" s="37">
        <f>MAX(0,(AB127-AB149)*$C$68)</f>
        <v>123.2123625190042</v>
      </c>
      <c r="AC176" s="37">
        <f>MAX(0,(AC127-AC149)*$C$68)</f>
        <v>121.02061219909977</v>
      </c>
    </row>
    <row r="177" spans="1:29" x14ac:dyDescent="0.25">
      <c r="A177" s="59" t="s">
        <v>220</v>
      </c>
      <c r="B177" s="60" t="s">
        <v>68</v>
      </c>
      <c r="C177" s="61">
        <f>SUM(E177:AC177)</f>
        <v>11582.116748721395</v>
      </c>
      <c r="D177" s="61">
        <f>-$C$83</f>
        <v>-4457.25</v>
      </c>
      <c r="E177" s="61">
        <f>E127-E176-E167-E131+E171</f>
        <v>539.378481071607</v>
      </c>
      <c r="F177" s="61">
        <f>F127-F176-F167-F131+F171</f>
        <v>607.1594968846913</v>
      </c>
      <c r="G177" s="61">
        <f>G127-G176-G167-G131+G171</f>
        <v>604.1062633471097</v>
      </c>
      <c r="H177" s="61">
        <f>H127-H176-H167-H131+H171</f>
        <v>545.9354237699074</v>
      </c>
      <c r="I177" s="61">
        <f>I127-I176-I167-I131+I171</f>
        <v>504.9507192558138</v>
      </c>
      <c r="J177" s="61">
        <f>J127-J176-J167-J131+J171</f>
        <v>479.21547228098495</v>
      </c>
      <c r="K177" s="61">
        <f>K127-K176-K167-K131+K171</f>
        <v>462.5729571946178</v>
      </c>
      <c r="L177" s="61">
        <f>L127-L176-L167-L131+L171</f>
        <v>451.3275958092362</v>
      </c>
      <c r="M177" s="61">
        <f>M127-M176-M167-M131+M171</f>
        <v>443.25757131530975</v>
      </c>
      <c r="N177" s="61">
        <f>N127-N176-N167-N131+N171</f>
        <v>437.03385352619625</v>
      </c>
      <c r="O177" s="61">
        <f>O127-O176-O167-O131+O171</f>
        <v>431.84530357034816</v>
      </c>
      <c r="P177" s="61">
        <f>P127-P176-P167-P131+P171</f>
        <v>427.203522758018</v>
      </c>
      <c r="Q177" s="61">
        <f>Q127-Q176-Q167-Q131+Q171</f>
        <v>422.8191890318185</v>
      </c>
      <c r="R177" s="61">
        <f>R127-R176-R167-R131+R171</f>
        <v>418.5158602854359</v>
      </c>
      <c r="S177" s="61">
        <f>S127-S176-S167-S131+S171</f>
        <v>414.17497294305633</v>
      </c>
      <c r="T177" s="61">
        <f>T127-T176-T167-T131+T171</f>
        <v>409.72307460306234</v>
      </c>
      <c r="U177" s="61">
        <f>U127-U176-U167-U131+U171</f>
        <v>405.11685912187244</v>
      </c>
      <c r="V177" s="61">
        <f>V127-V176-V167-V131+V171</f>
        <v>400.3304041533241</v>
      </c>
      <c r="W177" s="61">
        <f>W127-W176-W167-W131+W171</f>
        <v>395.34627896189573</v>
      </c>
      <c r="X177" s="61">
        <f>X127-X176-X167-X131+X171</f>
        <v>390.1387992037951</v>
      </c>
      <c r="Y177" s="61">
        <f>Y127-Y176-Y167-Y131+Y171</f>
        <v>384.69070714420855</v>
      </c>
      <c r="Z177" s="61">
        <f>Z127-Z176-Z167-Z131+Z171</f>
        <v>378.9891904729608</v>
      </c>
      <c r="AA177" s="61">
        <f>AA127-AA176-AA167-AA131+AA171</f>
        <v>373.0237680115123</v>
      </c>
      <c r="AB177" s="61">
        <f>AB127-AB176-AB167-AB131+AB171</f>
        <v>366.7832608972671</v>
      </c>
      <c r="AC177" s="61">
        <f>AC127-AC176-AC167-AC131+AC171</f>
        <v>888.4777231073456</v>
      </c>
    </row>
    <row r="179" ht="20" customHeight="1" spans="1:29" x14ac:dyDescent="0.25">
      <c r="A179" s="21" t="s">
        <v>221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x14ac:dyDescent="0.25">
      <c r="A180" s="33" t="s">
        <v>222</v>
      </c>
      <c r="B180" s="26" t="s">
        <v>68</v>
      </c>
      <c r="C180" s="55">
        <f>SUM(E180:AC180)</f>
        <v>3051.1816997768606</v>
      </c>
      <c r="E180" s="37">
        <f>E126+E131</f>
        <v>64.935</v>
      </c>
      <c r="F180" s="37">
        <f>F126+F131</f>
        <v>81.513</v>
      </c>
      <c r="G180" s="37">
        <f>G126+G131</f>
        <v>83.83445999999999</v>
      </c>
      <c r="H180" s="37">
        <f>H126+H131</f>
        <v>86.3055162</v>
      </c>
      <c r="I180" s="37">
        <f>I126+I131</f>
        <v>88.93264271400001</v>
      </c>
      <c r="J180" s="37">
        <f>J126+J131</f>
        <v>91.72266753258002</v>
      </c>
      <c r="K180" s="37">
        <f>K126+K131</f>
        <v>94.68278931160262</v>
      </c>
      <c r="L180" s="37">
        <f>L126+L131</f>
        <v>97.82059502750454</v>
      </c>
      <c r="M180" s="37">
        <f>M126+M131</f>
        <v>101.1440785416919</v>
      </c>
      <c r="N180" s="37">
        <f>N126+N131</f>
        <v>104.66166011870429</v>
      </c>
      <c r="O180" s="37">
        <f>O126+O131</f>
        <v>108.38220694506944</v>
      </c>
      <c r="P180" s="37">
        <f>P126+P131</f>
        <v>112.31505469813996</v>
      </c>
      <c r="Q180" s="37">
        <f>Q126+Q131</f>
        <v>116.47003021668951</v>
      </c>
      <c r="R180" s="37">
        <f>R126+R131</f>
        <v>120.85747532765723</v>
      </c>
      <c r="S180" s="37">
        <f>S126+S131</f>
        <v>125.48827188616936</v>
      </c>
      <c r="T180" s="37">
        <f>T126+T131</f>
        <v>130.3738680888432</v>
      </c>
      <c r="U180" s="37">
        <f>U126+U131</f>
        <v>135.52630612339976</v>
      </c>
      <c r="V180" s="37">
        <f>V126+V131</f>
        <v>140.9582512207808</v>
      </c>
      <c r="W180" s="37">
        <f>W126+W131</f>
        <v>146.68302217929448</v>
      </c>
      <c r="X180" s="37">
        <f>X126+X131</f>
        <v>152.71462343380963</v>
      </c>
      <c r="Y180" s="37">
        <f>Y126+Y131</f>
        <v>159.067778746684</v>
      </c>
      <c r="Z180" s="37">
        <f>Z126+Z131</f>
        <v>165.75796660096657</v>
      </c>
      <c r="AA180" s="37">
        <f>AA126+AA131</f>
        <v>172.80145738045488</v>
      </c>
      <c r="AB180" s="37">
        <f>AB126+AB131</f>
        <v>180.2153524254344</v>
      </c>
      <c r="AC180" s="37">
        <f>AC126+AC131</f>
        <v>188.01762505738407</v>
      </c>
    </row>
    <row r="181" spans="1:29" x14ac:dyDescent="0.25">
      <c r="A181" s="33" t="s">
        <v>223</v>
      </c>
      <c r="B181" s="26" t="s">
        <v>68</v>
      </c>
      <c r="C181" s="55">
        <f>SUM(E181:AC181)</f>
        <v>926.2012060559243</v>
      </c>
      <c r="E181" s="37">
        <f>E180*E111</f>
        <v>59.03181818181818</v>
      </c>
      <c r="F181" s="37">
        <f>F180*F111</f>
        <v>67.36611570247933</v>
      </c>
      <c r="G181" s="37">
        <f>G180*G111</f>
        <v>62.98607062359126</v>
      </c>
      <c r="H181" s="37">
        <f>H180*H111</f>
        <v>58.94782883682806</v>
      </c>
      <c r="I181" s="37">
        <f>I180*I111</f>
        <v>55.220174177124</v>
      </c>
      <c r="J181" s="37">
        <f>J180*J111</f>
        <v>51.77505461713144</v>
      </c>
      <c r="K181" s="37">
        <f>K180*K111</f>
        <v>48.58724199197645</v>
      </c>
      <c r="L181" s="37">
        <f>L180*L111</f>
        <v>45.63402951683839</v>
      </c>
      <c r="M181" s="37">
        <f>M180*M111</f>
        <v>42.89496282201105</v>
      </c>
      <c r="N181" s="37">
        <f>N180*N111</f>
        <v>40.35160071932086</v>
      </c>
      <c r="O181" s="37">
        <f>O180*O111</f>
        <v>37.98730234657662</v>
      </c>
      <c r="P181" s="37">
        <f>P180*P111</f>
        <v>35.78703771965176</v>
      </c>
      <c r="Q181" s="37">
        <f>Q180*Q111</f>
        <v>33.737219060630636</v>
      </c>
      <c r="R181" s="37">
        <f>R180*R111</f>
        <v>31.825550570298063</v>
      </c>
      <c r="S181" s="37">
        <f>S180*S111</f>
        <v>30.040894578624847</v>
      </c>
      <c r="T181" s="37">
        <f>T180*T111</f>
        <v>28.37315224179377</v>
      </c>
      <c r="U181" s="37">
        <f>U180*U111</f>
        <v>26.813157162242362</v>
      </c>
      <c r="V181" s="37">
        <f>V180*V111</f>
        <v>25.352580492288563</v>
      </c>
      <c r="W181" s="37">
        <f>W180*W111</f>
        <v>23.98384624490386</v>
      </c>
      <c r="X181" s="37">
        <f>X180*X111</f>
        <v>22.700055679542338</v>
      </c>
      <c r="Y181" s="37">
        <f>Y180*Y111</f>
        <v>21.494919758771676</v>
      </c>
      <c r="Z181" s="37">
        <f>Z180*Z111</f>
        <v>20.362698784687986</v>
      </c>
      <c r="AA181" s="37">
        <f>AA180*AA111</f>
        <v>19.29814842441037</v>
      </c>
      <c r="AB181" s="37">
        <f>AB180*AB111</f>
        <v>18.296471422830532</v>
      </c>
      <c r="AC181" s="37">
        <f>AC180*AC111</f>
        <v>17.35327437955223</v>
      </c>
    </row>
    <row r="182" spans="1:29" x14ac:dyDescent="0.25">
      <c r="A182" s="33" t="s">
        <v>224</v>
      </c>
      <c r="B182" s="26" t="s">
        <v>160</v>
      </c>
      <c r="C182" s="56">
        <f>SUM(E182:AC182)</f>
        <v>14809.695679459723</v>
      </c>
      <c r="E182" s="57">
        <f>E95*E111</f>
        <v>1495.943765223804</v>
      </c>
      <c r="F182" s="57">
        <f>F95*F111</f>
        <v>1358.547849783689</v>
      </c>
      <c r="G182" s="57">
        <f>G95*G111</f>
        <v>1233.7255308459087</v>
      </c>
      <c r="H182" s="57">
        <f>H95*H111</f>
        <v>1120.3382294969986</v>
      </c>
      <c r="I182" s="57">
        <f>I95*I111</f>
        <v>1017.3584009794483</v>
      </c>
      <c r="J182" s="57">
        <f>J95*J111</f>
        <v>923.8315095035606</v>
      </c>
      <c r="K182" s="57">
        <f>K95*K111</f>
        <v>838.8905195418638</v>
      </c>
      <c r="L182" s="57">
        <f>L95*L111</f>
        <v>761.7497121697128</v>
      </c>
      <c r="M182" s="57">
        <f>M95*M111</f>
        <v>691.691052842715</v>
      </c>
      <c r="N182" s="57">
        <f>N95*N111</f>
        <v>628.0745173940176</v>
      </c>
      <c r="O182" s="57">
        <f>O95*O111</f>
        <v>570.2963954004863</v>
      </c>
      <c r="P182" s="57">
        <f>P95*P111</f>
        <v>517.8202603892585</v>
      </c>
      <c r="Q182" s="57">
        <f>Q95*Q111</f>
        <v>470.1666115311142</v>
      </c>
      <c r="R182" s="57">
        <f>R95*R111</f>
        <v>426.8952740114934</v>
      </c>
      <c r="S182" s="57">
        <f>S95*S111</f>
        <v>387.59658545735215</v>
      </c>
      <c r="T182" s="57">
        <f>T95*T111</f>
        <v>351.90553432339163</v>
      </c>
      <c r="U182" s="57">
        <f>U95*U111</f>
        <v>319.4942352250026</v>
      </c>
      <c r="V182" s="57">
        <f>V95*V111</f>
        <v>290.06551020188846</v>
      </c>
      <c r="W182" s="57">
        <f>W95*W111</f>
        <v>263.34817999227164</v>
      </c>
      <c r="X182" s="57">
        <f>X95*X111</f>
        <v>239.08775257148702</v>
      </c>
      <c r="Y182" s="57">
        <f>Y95*Y111</f>
        <v>217.05874294585035</v>
      </c>
      <c r="Z182" s="57">
        <f>Z95*Z111</f>
        <v>197.05698739589982</v>
      </c>
      <c r="AA182" s="57">
        <f>AA95*AA111</f>
        <v>178.89746899526645</v>
      </c>
      <c r="AB182" s="57">
        <f>AB95*AB111</f>
        <v>162.4113855437084</v>
      </c>
      <c r="AC182" s="57">
        <f>AC95*AC111</f>
        <v>147.44366769353414</v>
      </c>
    </row>
    <row r="183" spans="1:29" x14ac:dyDescent="0.25">
      <c r="A183" s="33" t="s">
        <v>225</v>
      </c>
      <c r="B183" s="26" t="s">
        <v>68</v>
      </c>
      <c r="C183" s="55">
        <f>SUM(E183:AC183)</f>
        <v>6203.593752925426</v>
      </c>
      <c r="E183" s="37">
        <f>E115*E111</f>
        <v>626.6318766793651</v>
      </c>
      <c r="F183" s="37">
        <f>F115*F111</f>
        <v>569.0784696985633</v>
      </c>
      <c r="G183" s="37">
        <f>G115*G111</f>
        <v>516.7919828761461</v>
      </c>
      <c r="H183" s="37">
        <f>H115*H111</f>
        <v>469.2954799409262</v>
      </c>
      <c r="I183" s="37">
        <f>I115*I111</f>
        <v>426.15853542188046</v>
      </c>
      <c r="J183" s="37">
        <f>J115*J111</f>
        <v>386.981306378946</v>
      </c>
      <c r="K183" s="37">
        <f>K115*K111</f>
        <v>351.4006026225196</v>
      </c>
      <c r="L183" s="37">
        <f>L115*L111</f>
        <v>319.08729645693626</v>
      </c>
      <c r="M183" s="37">
        <f>M115*M111</f>
        <v>289.7406123152706</v>
      </c>
      <c r="N183" s="37">
        <f>N115*N111</f>
        <v>263.0924521886815</v>
      </c>
      <c r="O183" s="37">
        <f>O115*O111</f>
        <v>238.8899294351612</v>
      </c>
      <c r="P183" s="37">
        <f>P115*P111</f>
        <v>216.90834180640041</v>
      </c>
      <c r="Q183" s="37">
        <f>Q115*Q111</f>
        <v>196.94683248447018</v>
      </c>
      <c r="R183" s="37">
        <f>R115*R111</f>
        <v>178.82101782038114</v>
      </c>
      <c r="S183" s="37">
        <f>S115*S111</f>
        <v>162.35929544003804</v>
      </c>
      <c r="T183" s="37">
        <f>T115*T111</f>
        <v>147.40876663497505</v>
      </c>
      <c r="U183" s="37">
        <f>U115*U111</f>
        <v>133.832084374729</v>
      </c>
      <c r="V183" s="37">
        <f>V115*V111</f>
        <v>121.50476457955199</v>
      </c>
      <c r="W183" s="37">
        <f>W115*W111</f>
        <v>110.31321369487699</v>
      </c>
      <c r="X183" s="37">
        <f>X115*X111</f>
        <v>100.15082823819145</v>
      </c>
      <c r="Y183" s="37">
        <f>Y115*Y111</f>
        <v>90.92315540449017</v>
      </c>
      <c r="Z183" s="37">
        <f>Z115*Z111</f>
        <v>82.54467360021442</v>
      </c>
      <c r="AA183" s="37">
        <f>AA115*AA111</f>
        <v>74.93788158067623</v>
      </c>
      <c r="AB183" s="37">
        <f>AB115*AB111</f>
        <v>68.03207024438119</v>
      </c>
      <c r="AC183" s="37">
        <f>AC115*AC111</f>
        <v>61.76228300765392</v>
      </c>
    </row>
    <row r="185" ht="20" customHeight="1" spans="1:29" x14ac:dyDescent="0.25">
      <c r="A185" s="21" t="s">
        <v>226</v>
      </c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3" x14ac:dyDescent="0.25">
      <c r="A186" s="25" t="s">
        <v>7</v>
      </c>
      <c r="B186" s="26" t="s">
        <v>65</v>
      </c>
      <c r="C186" s="63">
        <f>IFERROR(IRR(D173:AC173),"n/a")</f>
        <v>0.14000000022612877</v>
      </c>
    </row>
    <row r="187" spans="1:3" x14ac:dyDescent="0.25">
      <c r="A187" s="33" t="s">
        <v>9</v>
      </c>
      <c r="B187" s="26" t="s">
        <v>65</v>
      </c>
      <c r="C187" s="32">
        <f>IFERROR(IRR(D177:AC177),"n/a")</f>
        <v>0.09977134991473005</v>
      </c>
    </row>
    <row r="188" spans="1:3" x14ac:dyDescent="0.25">
      <c r="A188" s="33" t="s">
        <v>67</v>
      </c>
      <c r="B188" s="26" t="s">
        <v>68</v>
      </c>
      <c r="C188" s="37">
        <f>D173+NPV($C$65,E173:AC173)</f>
        <v>0.0000025618252834647137</v>
      </c>
    </row>
    <row r="189" spans="1:3" x14ac:dyDescent="0.25">
      <c r="A189" s="33" t="s">
        <v>69</v>
      </c>
      <c r="B189" s="26" t="s">
        <v>68</v>
      </c>
      <c r="C189" s="37">
        <f>D177+NPV($C$66,E177:AC177)</f>
        <v>-7.217546308805552</v>
      </c>
    </row>
    <row r="190" spans="1:3" x14ac:dyDescent="0.25">
      <c r="A190" s="33" t="s">
        <v>11</v>
      </c>
      <c r="B190" s="26" t="s">
        <v>70</v>
      </c>
      <c r="C190" s="40">
        <f>IF(COUNT(E170:AC170)=0,"",MIN(E170:AC170))</f>
        <v>1.1034482724108146</v>
      </c>
    </row>
    <row r="191" spans="1:3" x14ac:dyDescent="0.25">
      <c r="A191" s="33" t="s">
        <v>12</v>
      </c>
      <c r="B191" s="26" t="s">
        <v>70</v>
      </c>
      <c r="C191" s="40">
        <f>IF(COUNT(E170:AC170)=0,"",AVERAGE(E170:AC170))</f>
        <v>1.564952853051266</v>
      </c>
    </row>
    <row r="192" spans="1:3" x14ac:dyDescent="0.25">
      <c r="A192" s="33" t="s">
        <v>227</v>
      </c>
      <c r="B192" s="26" t="s">
        <v>64</v>
      </c>
      <c r="C192" s="29">
        <f>IF(C182&gt;0,($C$83+C181)*10/C182,"")</f>
        <v>3.635085637527644</v>
      </c>
    </row>
    <row r="193" spans="1:3" x14ac:dyDescent="0.25">
      <c r="A193" s="33" t="s">
        <v>72</v>
      </c>
      <c r="B193" s="26" t="s">
        <v>64</v>
      </c>
      <c r="C193" s="29">
        <f>IF(C182&gt;0,C183*10/C182,"")</f>
        <v>4.188873213329757</v>
      </c>
    </row>
    <row r="194" spans="1:3" x14ac:dyDescent="0.25">
      <c r="A194" s="33" t="s">
        <v>73</v>
      </c>
      <c r="B194" s="26" t="s">
        <v>74</v>
      </c>
      <c r="C194" s="44">
        <f>IF(COUNT(E175:AC175)=0,"beyond the term",MIN(E175:AC175))</f>
        <v>9</v>
      </c>
    </row>
    <row r="196" ht="20" customHeight="1" spans="1:29" x14ac:dyDescent="0.25">
      <c r="A196" s="21" t="s">
        <v>228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3" x14ac:dyDescent="0.25">
      <c r="A197" s="33" t="s">
        <v>229</v>
      </c>
      <c r="C197" s="64" t="str">
        <f>IF(ABS($C$84+$C$85-$C$83)&lt;0.001,"OK","CHECK")</f>
        <v>OK</v>
      </c>
    </row>
    <row r="198" spans="1:3" x14ac:dyDescent="0.25">
      <c r="A198" s="33" t="s">
        <v>230</v>
      </c>
      <c r="C198" s="64" t="str">
        <f>IF(ABS(INDEX(E143:AC143,1,$C$87))&lt;0.01,"OK","CHECK")</f>
        <v>OK</v>
      </c>
    </row>
    <row r="199" spans="1:3" x14ac:dyDescent="0.25">
      <c r="A199" s="33" t="s">
        <v>231</v>
      </c>
      <c r="C199" s="64" t="str">
        <f>IF(ABS(C118-C126-C127)&lt;0.01,"OK","CHECK")</f>
        <v>OK</v>
      </c>
    </row>
    <row r="200" spans="1:3" x14ac:dyDescent="0.25">
      <c r="A200" s="33" t="s">
        <v>232</v>
      </c>
      <c r="C200" s="64" t="str">
        <f>IF(MIN(E161:AC161)&gt;=-1E-9,"OK","CHECK")</f>
        <v>OK</v>
      </c>
    </row>
    <row r="201" spans="1:3" x14ac:dyDescent="0.25">
      <c r="A201" s="33" t="s">
        <v>233</v>
      </c>
      <c r="C201" s="64" t="str">
        <f>IF(ISNUMBER($C$10),IF($C$10&gt;=$C$65-1E-5,"OK","Below target"),"No IRR")</f>
        <v>OK</v>
      </c>
    </row>
    <row r="202" spans="1:3" x14ac:dyDescent="0.25">
      <c r="A202" s="33" t="s">
        <v>234</v>
      </c>
      <c r="C202" s="64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97:C202">
    <cfRule type="expression" dxfId="2" priority="3">
      <formula>C197="OK"</formula>
    </cfRule>
    <cfRule type="expression" dxfId="3" priority="4">
      <formula>C197&lt;&gt;"OK"</formula>
    </cfRule>
  </conditionalFormatting>
  <dataValidations count="4">
    <dataValidation type="list" showErrorMessage="1" errorTitle="Choose from the list" error="One of: Yes, No" sqref="C51">
      <formula1>"Yes,No"</formula1>
    </dataValidation>
    <dataValidation type="list" showErrorMessage="1" errorTitle="Choose from the list" error="One of: annual, oneTime, none" sqref="C56">
      <formula1>"annual,oneTime,none"</formula1>
    </dataValidation>
    <dataValidation type="list" showErrorMessage="1" errorTitle="Choose from the list" error="One of: annuity, equal" sqref="C64">
      <formula1>"annuity,equal"</formula1>
    </dataValidation>
    <dataValidation type="list" showErrorMessage="1" errorTitle="Choose from the list" error="One of: wdv, slm" sqref="C69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5" customFormat="1" x14ac:dyDescent="0.25">
      <c r="A1" s="65" t="s">
        <v>235</v>
      </c>
      <c r="B1" s="65" t="s">
        <v>51</v>
      </c>
      <c r="C1" s="65" t="s">
        <v>236</v>
      </c>
      <c r="D1" s="65" t="s">
        <v>56</v>
      </c>
      <c r="E1" s="65" t="s">
        <v>237</v>
      </c>
    </row>
    <row r="2" spans="1:5" x14ac:dyDescent="0.25">
      <c r="A2" t="s">
        <v>238</v>
      </c>
      <c r="B2" t="s">
        <v>239</v>
      </c>
      <c r="C2" s="66">
        <v>2455</v>
      </c>
      <c r="D2" t="s">
        <v>160</v>
      </c>
      <c r="E2" t="s">
        <v>85</v>
      </c>
    </row>
    <row r="3" spans="1:5" x14ac:dyDescent="0.25">
      <c r="A3" t="s">
        <v>238</v>
      </c>
      <c r="B3" t="s">
        <v>240</v>
      </c>
      <c r="C3" s="66">
        <v>285</v>
      </c>
      <c r="D3" t="s">
        <v>88</v>
      </c>
      <c r="E3" t="s">
        <v>85</v>
      </c>
    </row>
    <row r="4" spans="1:5" x14ac:dyDescent="0.25">
      <c r="A4" t="s">
        <v>238</v>
      </c>
      <c r="B4" t="s">
        <v>241</v>
      </c>
      <c r="C4" s="67">
        <v>0.85</v>
      </c>
      <c r="D4" t="s">
        <v>65</v>
      </c>
      <c r="E4" t="s">
        <v>85</v>
      </c>
    </row>
    <row r="5" spans="1:5" x14ac:dyDescent="0.25">
      <c r="A5" t="s">
        <v>238</v>
      </c>
      <c r="B5" t="s">
        <v>242</v>
      </c>
      <c r="C5" t="s">
        <v>125</v>
      </c>
      <c r="D5" t="s">
        <v>8</v>
      </c>
      <c r="E5" t="s">
        <v>85</v>
      </c>
    </row>
    <row r="6" spans="1:5" x14ac:dyDescent="0.25">
      <c r="A6" t="s">
        <v>238</v>
      </c>
      <c r="B6" t="s">
        <v>243</v>
      </c>
      <c r="C6" t="s">
        <v>244</v>
      </c>
      <c r="D6" t="s">
        <v>8</v>
      </c>
      <c r="E6" t="s">
        <v>85</v>
      </c>
    </row>
    <row r="7" spans="1:5" x14ac:dyDescent="0.25">
      <c r="A7" t="s">
        <v>238</v>
      </c>
      <c r="B7" t="s">
        <v>245</v>
      </c>
      <c r="C7" s="67">
        <v>0</v>
      </c>
      <c r="D7" t="s">
        <v>65</v>
      </c>
      <c r="E7" t="s">
        <v>85</v>
      </c>
    </row>
    <row r="8" spans="1:5" x14ac:dyDescent="0.25">
      <c r="A8" t="s">
        <v>246</v>
      </c>
      <c r="B8" t="s">
        <v>247</v>
      </c>
      <c r="C8" s="67">
        <v>0</v>
      </c>
      <c r="D8" t="s">
        <v>65</v>
      </c>
      <c r="E8" t="s">
        <v>85</v>
      </c>
    </row>
    <row r="9" spans="1:5" x14ac:dyDescent="0.25">
      <c r="A9" t="s">
        <v>246</v>
      </c>
      <c r="B9" t="s">
        <v>248</v>
      </c>
      <c r="C9" s="67">
        <v>0.004</v>
      </c>
      <c r="D9" t="s">
        <v>65</v>
      </c>
      <c r="E9" t="s">
        <v>85</v>
      </c>
    </row>
    <row r="10" spans="1:5" x14ac:dyDescent="0.25">
      <c r="A10" t="s">
        <v>246</v>
      </c>
      <c r="B10" t="s">
        <v>249</v>
      </c>
      <c r="C10" s="67">
        <v>0.005</v>
      </c>
      <c r="D10" t="s">
        <v>65</v>
      </c>
      <c r="E10" t="s">
        <v>85</v>
      </c>
    </row>
    <row r="11" spans="1:5" x14ac:dyDescent="0.25">
      <c r="A11" t="s">
        <v>25</v>
      </c>
      <c r="B11" t="s">
        <v>87</v>
      </c>
      <c r="C11" s="66">
        <v>450</v>
      </c>
      <c r="D11" t="s">
        <v>88</v>
      </c>
      <c r="E11" t="s">
        <v>85</v>
      </c>
    </row>
    <row r="12" spans="1:5" x14ac:dyDescent="0.25">
      <c r="A12" t="s">
        <v>25</v>
      </c>
      <c r="B12" t="s">
        <v>90</v>
      </c>
      <c r="C12" s="66">
        <v>300</v>
      </c>
      <c r="D12" t="s">
        <v>88</v>
      </c>
      <c r="E12" t="s">
        <v>85</v>
      </c>
    </row>
    <row r="13" spans="1:5" x14ac:dyDescent="0.25">
      <c r="A13" t="s">
        <v>25</v>
      </c>
      <c r="B13" t="s">
        <v>91</v>
      </c>
      <c r="C13" s="66">
        <v>150</v>
      </c>
      <c r="D13" t="s">
        <v>88</v>
      </c>
      <c r="E13" t="s">
        <v>85</v>
      </c>
    </row>
    <row r="14" spans="1:5" x14ac:dyDescent="0.25">
      <c r="A14" t="s">
        <v>25</v>
      </c>
      <c r="B14" t="s">
        <v>92</v>
      </c>
      <c r="C14" s="66">
        <v>600</v>
      </c>
      <c r="D14" t="s">
        <v>93</v>
      </c>
      <c r="E14" t="s">
        <v>85</v>
      </c>
    </row>
    <row r="15" spans="1:5" x14ac:dyDescent="0.25">
      <c r="A15" t="s">
        <v>250</v>
      </c>
      <c r="B15" t="s">
        <v>251</v>
      </c>
      <c r="C15" s="67">
        <v>0.87</v>
      </c>
      <c r="D15" t="s">
        <v>65</v>
      </c>
      <c r="E15" t="s">
        <v>85</v>
      </c>
    </row>
    <row r="16" spans="1:5" x14ac:dyDescent="0.25">
      <c r="A16" t="s">
        <v>250</v>
      </c>
      <c r="B16" t="s">
        <v>252</v>
      </c>
      <c r="C16" s="67">
        <v>0.02</v>
      </c>
      <c r="D16" t="s">
        <v>65</v>
      </c>
      <c r="E16" t="s">
        <v>85</v>
      </c>
    </row>
    <row r="17" spans="1:5" x14ac:dyDescent="0.25">
      <c r="A17" t="s">
        <v>250</v>
      </c>
      <c r="B17" t="s">
        <v>123</v>
      </c>
      <c r="C17" t="s">
        <v>125</v>
      </c>
      <c r="D17" t="s">
        <v>8</v>
      </c>
      <c r="E17" t="s">
        <v>85</v>
      </c>
    </row>
    <row r="18" spans="1:5" x14ac:dyDescent="0.25">
      <c r="A18" t="s">
        <v>250</v>
      </c>
      <c r="B18" t="s">
        <v>127</v>
      </c>
      <c r="C18" s="66">
        <v>12</v>
      </c>
      <c r="D18" t="s">
        <v>74</v>
      </c>
      <c r="E18" t="s">
        <v>85</v>
      </c>
    </row>
    <row r="19" spans="1:5" x14ac:dyDescent="0.25">
      <c r="A19" t="s">
        <v>250</v>
      </c>
      <c r="B19" t="s">
        <v>128</v>
      </c>
      <c r="C19" s="67">
        <v>0.03</v>
      </c>
      <c r="D19" t="s">
        <v>65</v>
      </c>
      <c r="E19" t="s">
        <v>85</v>
      </c>
    </row>
    <row r="20" spans="1:5" x14ac:dyDescent="0.25">
      <c r="A20" t="s">
        <v>40</v>
      </c>
      <c r="B20" t="s">
        <v>87</v>
      </c>
      <c r="C20" s="66">
        <v>3.5</v>
      </c>
      <c r="D20" t="s">
        <v>95</v>
      </c>
      <c r="E20" t="s">
        <v>85</v>
      </c>
    </row>
    <row r="21" spans="1:5" x14ac:dyDescent="0.25">
      <c r="A21" t="s">
        <v>40</v>
      </c>
      <c r="B21" t="s">
        <v>90</v>
      </c>
      <c r="C21" s="66">
        <v>6.5</v>
      </c>
      <c r="D21" t="s">
        <v>95</v>
      </c>
      <c r="E21" t="s">
        <v>85</v>
      </c>
    </row>
    <row r="22" spans="1:5" x14ac:dyDescent="0.25">
      <c r="A22" t="s">
        <v>40</v>
      </c>
      <c r="B22" t="s">
        <v>92</v>
      </c>
      <c r="C22" s="66">
        <v>1.2</v>
      </c>
      <c r="D22" t="s">
        <v>96</v>
      </c>
      <c r="E22" t="s">
        <v>85</v>
      </c>
    </row>
    <row r="23" spans="1:5" x14ac:dyDescent="0.25">
      <c r="A23" t="s">
        <v>40</v>
      </c>
      <c r="B23" t="s">
        <v>97</v>
      </c>
      <c r="C23" s="66">
        <v>0</v>
      </c>
      <c r="D23" t="s">
        <v>95</v>
      </c>
      <c r="E23" t="s">
        <v>85</v>
      </c>
    </row>
    <row r="24" spans="1:5" x14ac:dyDescent="0.25">
      <c r="A24" t="s">
        <v>40</v>
      </c>
      <c r="B24" t="s">
        <v>253</v>
      </c>
      <c r="C24" s="66">
        <v>0</v>
      </c>
      <c r="D24" t="s">
        <v>68</v>
      </c>
      <c r="E24" t="s">
        <v>85</v>
      </c>
    </row>
    <row r="25" spans="1:5" x14ac:dyDescent="0.25">
      <c r="A25" t="s">
        <v>40</v>
      </c>
      <c r="B25" t="s">
        <v>99</v>
      </c>
      <c r="C25" s="67">
        <v>0.05</v>
      </c>
      <c r="D25" t="s">
        <v>65</v>
      </c>
      <c r="E25" t="s">
        <v>85</v>
      </c>
    </row>
    <row r="26" spans="1:5" x14ac:dyDescent="0.25">
      <c r="A26" t="s">
        <v>254</v>
      </c>
      <c r="B26" t="s">
        <v>102</v>
      </c>
      <c r="C26" s="66">
        <v>4</v>
      </c>
      <c r="D26" t="s">
        <v>103</v>
      </c>
      <c r="E26" t="s">
        <v>85</v>
      </c>
    </row>
    <row r="27" spans="1:5" x14ac:dyDescent="0.25">
      <c r="A27" t="s">
        <v>254</v>
      </c>
      <c r="B27" t="s">
        <v>104</v>
      </c>
      <c r="C27" s="66">
        <v>9</v>
      </c>
      <c r="D27" t="s">
        <v>103</v>
      </c>
      <c r="E27" t="s">
        <v>85</v>
      </c>
    </row>
    <row r="28" spans="1:5" x14ac:dyDescent="0.25">
      <c r="A28" t="s">
        <v>254</v>
      </c>
      <c r="B28" t="s">
        <v>105</v>
      </c>
      <c r="C28" s="66">
        <v>1.2</v>
      </c>
      <c r="D28" t="s">
        <v>106</v>
      </c>
      <c r="E28" t="s">
        <v>85</v>
      </c>
    </row>
    <row r="29" spans="1:5" x14ac:dyDescent="0.25">
      <c r="A29" t="s">
        <v>254</v>
      </c>
      <c r="B29" t="s">
        <v>107</v>
      </c>
      <c r="C29" s="67">
        <v>0.05</v>
      </c>
      <c r="D29" t="s">
        <v>65</v>
      </c>
      <c r="E29" t="s">
        <v>85</v>
      </c>
    </row>
    <row r="30" spans="1:5" x14ac:dyDescent="0.25">
      <c r="A30" t="s">
        <v>254</v>
      </c>
      <c r="B30" t="s">
        <v>108</v>
      </c>
      <c r="C30" s="67">
        <v>0.003</v>
      </c>
      <c r="D30" t="s">
        <v>65</v>
      </c>
      <c r="E30" t="s">
        <v>85</v>
      </c>
    </row>
    <row r="31" spans="1:5" x14ac:dyDescent="0.25">
      <c r="A31" t="s">
        <v>254</v>
      </c>
      <c r="B31" t="s">
        <v>110</v>
      </c>
      <c r="C31" s="66">
        <v>0</v>
      </c>
      <c r="D31" t="s">
        <v>111</v>
      </c>
      <c r="E31" t="s">
        <v>85</v>
      </c>
    </row>
    <row r="32" spans="1:5" x14ac:dyDescent="0.25">
      <c r="A32" t="s">
        <v>254</v>
      </c>
      <c r="B32" t="s">
        <v>255</v>
      </c>
      <c r="C32" s="67">
        <v>0.005</v>
      </c>
      <c r="D32" t="s">
        <v>65</v>
      </c>
      <c r="E32" t="s">
        <v>85</v>
      </c>
    </row>
    <row r="33" spans="1:5" x14ac:dyDescent="0.25">
      <c r="A33" t="s">
        <v>254</v>
      </c>
      <c r="B33" t="s">
        <v>256</v>
      </c>
      <c r="C33" s="67">
        <v>0</v>
      </c>
      <c r="D33" t="s">
        <v>65</v>
      </c>
      <c r="E33" t="s">
        <v>85</v>
      </c>
    </row>
    <row r="34" spans="1:5" x14ac:dyDescent="0.25">
      <c r="A34" t="s">
        <v>254</v>
      </c>
      <c r="B34" t="s">
        <v>83</v>
      </c>
      <c r="C34" s="67">
        <v>0</v>
      </c>
      <c r="D34" t="s">
        <v>65</v>
      </c>
      <c r="E34" t="s">
        <v>85</v>
      </c>
    </row>
    <row r="35" spans="1:5" x14ac:dyDescent="0.25">
      <c r="A35" t="s">
        <v>254</v>
      </c>
      <c r="B35" t="s">
        <v>120</v>
      </c>
      <c r="C35" s="66">
        <v>0</v>
      </c>
      <c r="D35" t="s">
        <v>64</v>
      </c>
      <c r="E35" t="s">
        <v>85</v>
      </c>
    </row>
    <row r="36" spans="1:5" x14ac:dyDescent="0.25">
      <c r="A36" t="s">
        <v>254</v>
      </c>
      <c r="B36" t="s">
        <v>257</v>
      </c>
      <c r="C36" s="66">
        <v>2.5</v>
      </c>
      <c r="D36" t="s">
        <v>64</v>
      </c>
      <c r="E36" t="s">
        <v>85</v>
      </c>
    </row>
    <row r="37" spans="1:5" x14ac:dyDescent="0.25">
      <c r="A37" t="s">
        <v>254</v>
      </c>
      <c r="B37" t="s">
        <v>137</v>
      </c>
      <c r="C37" s="67">
        <v>0.14</v>
      </c>
      <c r="D37" t="s">
        <v>65</v>
      </c>
      <c r="E37" t="s">
        <v>85</v>
      </c>
    </row>
    <row r="38" spans="1:5" x14ac:dyDescent="0.25">
      <c r="A38" t="s">
        <v>254</v>
      </c>
      <c r="B38" t="s">
        <v>129</v>
      </c>
      <c r="C38" s="67">
        <v>0.7</v>
      </c>
      <c r="D38" t="s">
        <v>65</v>
      </c>
      <c r="E38" t="s">
        <v>85</v>
      </c>
    </row>
    <row r="39" spans="1:5" x14ac:dyDescent="0.25">
      <c r="A39" t="s">
        <v>254</v>
      </c>
      <c r="B39" t="s">
        <v>131</v>
      </c>
      <c r="C39" s="67">
        <v>0.09</v>
      </c>
      <c r="D39" t="s">
        <v>65</v>
      </c>
      <c r="E39" t="s">
        <v>85</v>
      </c>
    </row>
    <row r="40" spans="1:5" x14ac:dyDescent="0.25">
      <c r="A40" t="s">
        <v>254</v>
      </c>
      <c r="B40" t="s">
        <v>132</v>
      </c>
      <c r="C40" s="66">
        <v>15</v>
      </c>
      <c r="D40" t="s">
        <v>133</v>
      </c>
      <c r="E40" t="s">
        <v>85</v>
      </c>
    </row>
    <row r="41" spans="1:5" x14ac:dyDescent="0.25">
      <c r="A41" t="s">
        <v>254</v>
      </c>
      <c r="B41" t="s">
        <v>134</v>
      </c>
      <c r="C41" t="s">
        <v>136</v>
      </c>
      <c r="D41" t="s">
        <v>8</v>
      </c>
      <c r="E41" t="s">
        <v>85</v>
      </c>
    </row>
    <row r="42" spans="1:5" x14ac:dyDescent="0.25">
      <c r="A42" t="s">
        <v>254</v>
      </c>
      <c r="B42" t="s">
        <v>140</v>
      </c>
      <c r="C42" s="67">
        <v>0.2517</v>
      </c>
      <c r="D42" t="s">
        <v>65</v>
      </c>
      <c r="E42" t="s">
        <v>85</v>
      </c>
    </row>
    <row r="43" spans="1:5" x14ac:dyDescent="0.25">
      <c r="A43" t="s">
        <v>254</v>
      </c>
      <c r="B43" t="s">
        <v>141</v>
      </c>
      <c r="C43" t="s">
        <v>143</v>
      </c>
      <c r="D43" t="s">
        <v>8</v>
      </c>
      <c r="E43" t="s">
        <v>85</v>
      </c>
    </row>
    <row r="44" spans="1:5" x14ac:dyDescent="0.25">
      <c r="A44" t="s">
        <v>254</v>
      </c>
      <c r="B44" t="s">
        <v>144</v>
      </c>
      <c r="C44" s="67">
        <v>0.4</v>
      </c>
      <c r="D44" t="s">
        <v>65</v>
      </c>
      <c r="E44" t="s">
        <v>85</v>
      </c>
    </row>
    <row r="45" spans="1:5" x14ac:dyDescent="0.25">
      <c r="A45" t="s">
        <v>254</v>
      </c>
      <c r="B45" t="s">
        <v>145</v>
      </c>
      <c r="C45" s="66">
        <v>25</v>
      </c>
      <c r="D45" t="s">
        <v>133</v>
      </c>
      <c r="E45" t="s">
        <v>85</v>
      </c>
    </row>
    <row r="46" spans="1:5" x14ac:dyDescent="0.25">
      <c r="A46" t="s">
        <v>254</v>
      </c>
      <c r="B46" t="s">
        <v>146</v>
      </c>
      <c r="C46" s="67">
        <v>0.1</v>
      </c>
      <c r="D46" t="s">
        <v>65</v>
      </c>
      <c r="E46" t="s">
        <v>85</v>
      </c>
    </row>
    <row r="47" spans="1:5" x14ac:dyDescent="0.25">
      <c r="A47" t="s">
        <v>254</v>
      </c>
      <c r="B47" t="s">
        <v>147</v>
      </c>
      <c r="C47" s="66">
        <v>45</v>
      </c>
      <c r="D47" t="s">
        <v>148</v>
      </c>
      <c r="E47" t="s">
        <v>85</v>
      </c>
    </row>
    <row r="48" spans="1:5" x14ac:dyDescent="0.25">
      <c r="A48" t="s">
        <v>254</v>
      </c>
      <c r="B48" t="s">
        <v>258</v>
      </c>
      <c r="C48" s="67">
        <v>0.1</v>
      </c>
      <c r="D48" t="s">
        <v>65</v>
      </c>
      <c r="E48" t="s">
        <v>85</v>
      </c>
    </row>
    <row r="49" spans="1:5" x14ac:dyDescent="0.25">
      <c r="A49" t="s">
        <v>254</v>
      </c>
      <c r="B49" t="s">
        <v>259</v>
      </c>
      <c r="C49" t="s">
        <v>115</v>
      </c>
      <c r="D49" t="s">
        <v>8</v>
      </c>
      <c r="E4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5" customFormat="1" x14ac:dyDescent="0.25">
      <c r="A1" s="65" t="s">
        <v>260</v>
      </c>
      <c r="B1" s="65" t="s">
        <v>236</v>
      </c>
      <c r="C1" s="65" t="s">
        <v>261</v>
      </c>
    </row>
    <row r="2" spans="1:3" x14ac:dyDescent="0.25">
      <c r="A2" t="s">
        <v>26</v>
      </c>
      <c r="B2" s="11">
        <v>285</v>
      </c>
      <c r="C2" t="s">
        <v>8</v>
      </c>
    </row>
    <row r="3" spans="1:3" x14ac:dyDescent="0.25">
      <c r="A3" t="s">
        <v>27</v>
      </c>
      <c r="B3" s="11">
        <v>2455</v>
      </c>
      <c r="C3" t="s">
        <v>28</v>
      </c>
    </row>
    <row r="4" spans="1:3" x14ac:dyDescent="0.25">
      <c r="A4" t="s">
        <v>29</v>
      </c>
      <c r="B4" s="11">
        <v>450</v>
      </c>
      <c r="C4" t="s">
        <v>30</v>
      </c>
    </row>
    <row r="5" spans="1:3" x14ac:dyDescent="0.25">
      <c r="A5" t="s">
        <v>31</v>
      </c>
      <c r="B5" s="11">
        <v>300</v>
      </c>
      <c r="C5" t="s">
        <v>8</v>
      </c>
    </row>
    <row r="6" spans="1:3" x14ac:dyDescent="0.25">
      <c r="A6" t="s">
        <v>32</v>
      </c>
      <c r="B6" s="11">
        <v>150</v>
      </c>
      <c r="C6" t="s">
        <v>8</v>
      </c>
    </row>
    <row r="7" spans="1:3" x14ac:dyDescent="0.25">
      <c r="A7" t="s">
        <v>33</v>
      </c>
      <c r="B7" s="11">
        <v>600</v>
      </c>
      <c r="C7" t="s">
        <v>34</v>
      </c>
    </row>
    <row r="9" spans="1:3" s="65" customFormat="1" x14ac:dyDescent="0.25">
      <c r="A9" s="65" t="s">
        <v>40</v>
      </c>
      <c r="B9" s="65" t="s">
        <v>262</v>
      </c>
      <c r="C9" s="65" t="s">
        <v>261</v>
      </c>
    </row>
    <row r="10" spans="1:3" x14ac:dyDescent="0.25">
      <c r="A10" t="s">
        <v>87</v>
      </c>
      <c r="B10" s="8">
        <v>1653.75</v>
      </c>
      <c r="C10" t="s">
        <v>8</v>
      </c>
    </row>
    <row r="11" spans="1:3" x14ac:dyDescent="0.25">
      <c r="A11" t="s">
        <v>90</v>
      </c>
      <c r="B11" s="8">
        <v>2047.5</v>
      </c>
      <c r="C11" t="s">
        <v>8</v>
      </c>
    </row>
    <row r="12" spans="1:3" x14ac:dyDescent="0.25">
      <c r="A12" t="s">
        <v>92</v>
      </c>
      <c r="B12" s="8">
        <v>756</v>
      </c>
      <c r="C12" t="s">
        <v>8</v>
      </c>
    </row>
    <row r="13" spans="1:3" x14ac:dyDescent="0.25">
      <c r="A13" t="s">
        <v>98</v>
      </c>
      <c r="B13" s="8">
        <v>0</v>
      </c>
      <c r="C13" t="s">
        <v>8</v>
      </c>
    </row>
    <row r="14" spans="1:3" x14ac:dyDescent="0.25">
      <c r="A14" t="s">
        <v>263</v>
      </c>
      <c r="B14" s="8">
        <v>4457.25</v>
      </c>
      <c r="C14" t="s">
        <v>264</v>
      </c>
    </row>
    <row r="15" spans="1:3" x14ac:dyDescent="0.25">
      <c r="A15" t="s">
        <v>76</v>
      </c>
      <c r="B15" s="8">
        <v>3120.075</v>
      </c>
      <c r="C15" t="s">
        <v>265</v>
      </c>
    </row>
    <row r="16" spans="1:3" x14ac:dyDescent="0.25">
      <c r="A16" t="s">
        <v>77</v>
      </c>
      <c r="B16" s="8">
        <v>1337.1750000000002</v>
      </c>
      <c r="C1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5" customFormat="1" x14ac:dyDescent="0.25">
      <c r="A1" s="65" t="s">
        <v>55</v>
      </c>
      <c r="B1" s="65" t="s">
        <v>56</v>
      </c>
      <c r="C1" s="65" t="s">
        <v>266</v>
      </c>
      <c r="D1" s="65" t="s">
        <v>267</v>
      </c>
      <c r="E1" s="65" t="s">
        <v>268</v>
      </c>
      <c r="F1" s="65" t="s">
        <v>269</v>
      </c>
      <c r="G1" s="65" t="s">
        <v>270</v>
      </c>
      <c r="H1" s="65" t="s">
        <v>271</v>
      </c>
      <c r="I1" s="65" t="s">
        <v>272</v>
      </c>
      <c r="J1" s="65" t="s">
        <v>273</v>
      </c>
      <c r="K1" s="65" t="s">
        <v>274</v>
      </c>
      <c r="L1" s="65" t="s">
        <v>275</v>
      </c>
      <c r="M1" s="65" t="s">
        <v>276</v>
      </c>
      <c r="N1" s="65" t="s">
        <v>277</v>
      </c>
      <c r="O1" s="65" t="s">
        <v>278</v>
      </c>
      <c r="P1" s="65" t="s">
        <v>279</v>
      </c>
      <c r="Q1" s="65" t="s">
        <v>280</v>
      </c>
      <c r="R1" s="65" t="s">
        <v>281</v>
      </c>
      <c r="S1" s="65" t="s">
        <v>282</v>
      </c>
      <c r="T1" s="65" t="s">
        <v>283</v>
      </c>
      <c r="U1" s="65" t="s">
        <v>284</v>
      </c>
      <c r="V1" s="65" t="s">
        <v>285</v>
      </c>
      <c r="W1" s="65" t="s">
        <v>286</v>
      </c>
      <c r="X1" s="65" t="s">
        <v>287</v>
      </c>
      <c r="Y1" s="65" t="s">
        <v>288</v>
      </c>
      <c r="Z1" s="65" t="s">
        <v>289</v>
      </c>
      <c r="AA1" s="65" t="s">
        <v>290</v>
      </c>
      <c r="AB1" s="65" t="s">
        <v>291</v>
      </c>
    </row>
    <row r="2" spans="1:1" s="5" customFormat="1" x14ac:dyDescent="0.25">
      <c r="A2" s="5" t="s">
        <v>292</v>
      </c>
    </row>
    <row r="3" spans="1:28" x14ac:dyDescent="0.25">
      <c r="A3" t="s">
        <v>238</v>
      </c>
      <c r="B3" t="s">
        <v>160</v>
      </c>
      <c r="C3" s="68">
        <v>61374.99999999941</v>
      </c>
      <c r="D3" s="68">
        <v>2454.999999999975</v>
      </c>
      <c r="E3" s="68">
        <v>2454.999999999975</v>
      </c>
      <c r="F3" s="68">
        <v>2454.999999999975</v>
      </c>
      <c r="G3" s="68">
        <v>2454.999999999975</v>
      </c>
      <c r="H3" s="68">
        <v>2454.999999999975</v>
      </c>
      <c r="I3" s="68">
        <v>2454.999999999975</v>
      </c>
      <c r="J3" s="68">
        <v>2454.999999999975</v>
      </c>
      <c r="K3" s="68">
        <v>2454.999999999975</v>
      </c>
      <c r="L3" s="68">
        <v>2454.999999999975</v>
      </c>
      <c r="M3" s="68">
        <v>2454.999999999975</v>
      </c>
      <c r="N3" s="68">
        <v>2454.999999999975</v>
      </c>
      <c r="O3" s="68">
        <v>2454.999999999975</v>
      </c>
      <c r="P3" s="68">
        <v>2454.999999999975</v>
      </c>
      <c r="Q3" s="68">
        <v>2454.999999999975</v>
      </c>
      <c r="R3" s="68">
        <v>2454.999999999975</v>
      </c>
      <c r="S3" s="68">
        <v>2454.999999999975</v>
      </c>
      <c r="T3" s="68">
        <v>2454.999999999975</v>
      </c>
      <c r="U3" s="68">
        <v>2454.999999999975</v>
      </c>
      <c r="V3" s="68">
        <v>2454.999999999975</v>
      </c>
      <c r="W3" s="68">
        <v>2454.999999999975</v>
      </c>
      <c r="X3" s="68">
        <v>2454.999999999975</v>
      </c>
      <c r="Y3" s="68">
        <v>2454.999999999975</v>
      </c>
      <c r="Z3" s="68">
        <v>2454.999999999975</v>
      </c>
      <c r="AA3" s="68">
        <v>2454.999999999975</v>
      </c>
      <c r="AB3" s="68">
        <v>2454.999999999975</v>
      </c>
    </row>
    <row r="4" spans="1:28" x14ac:dyDescent="0.25">
      <c r="A4" t="s">
        <v>165</v>
      </c>
      <c r="B4" t="s">
        <v>160</v>
      </c>
      <c r="C4" s="68">
        <v>44431.10231249522</v>
      </c>
      <c r="D4" s="68">
        <v>1833.0299999999916</v>
      </c>
      <c r="E4" s="68">
        <v>1828.2010499999874</v>
      </c>
      <c r="F4" s="68">
        <v>1823.3962447499898</v>
      </c>
      <c r="G4" s="68">
        <v>1818.615463526242</v>
      </c>
      <c r="H4" s="68">
        <v>1813.85858620861</v>
      </c>
      <c r="I4" s="68">
        <v>1809.1254932775664</v>
      </c>
      <c r="J4" s="68">
        <v>1804.4160658111796</v>
      </c>
      <c r="K4" s="68">
        <v>1799.7301854821244</v>
      </c>
      <c r="L4" s="68">
        <v>1795.0677345547126</v>
      </c>
      <c r="M4" s="68">
        <v>1790.4285958819382</v>
      </c>
      <c r="N4" s="68">
        <v>1785.812652902531</v>
      </c>
      <c r="O4" s="68">
        <v>1781.219789638016</v>
      </c>
      <c r="P4" s="68">
        <v>1776.649890689828</v>
      </c>
      <c r="Q4" s="68">
        <v>1772.1028412363776</v>
      </c>
      <c r="R4" s="68">
        <v>1767.5785270301951</v>
      </c>
      <c r="S4" s="68">
        <v>1763.0768343950444</v>
      </c>
      <c r="T4" s="68">
        <v>1758.5976502230683</v>
      </c>
      <c r="U4" s="68">
        <v>1754.1408619719537</v>
      </c>
      <c r="V4" s="68">
        <v>1749.7063576620942</v>
      </c>
      <c r="W4" s="68">
        <v>1745.2940258737858</v>
      </c>
      <c r="X4" s="68">
        <v>1740.9037557444158</v>
      </c>
      <c r="Y4" s="68">
        <v>1736.535436965691</v>
      </c>
      <c r="Z4" s="68">
        <v>1732.188959780861</v>
      </c>
      <c r="AA4" s="68">
        <v>1727.8642149819582</v>
      </c>
      <c r="AB4" s="68">
        <v>1723.561093907048</v>
      </c>
    </row>
    <row r="5" spans="1:28" x14ac:dyDescent="0.25">
      <c r="A5" t="s">
        <v>166</v>
      </c>
      <c r="B5" t="s">
        <v>160</v>
      </c>
      <c r="C5" s="68">
        <v>40930.901056950075</v>
      </c>
      <c r="D5" s="68">
        <v>1660.448973528378</v>
      </c>
      <c r="E5" s="68">
        <v>1658.7383687899137</v>
      </c>
      <c r="F5" s="68">
        <v>1656.9682564991792</v>
      </c>
      <c r="G5" s="68">
        <v>1655.1504528732708</v>
      </c>
      <c r="H5" s="68">
        <v>1653.3126257404772</v>
      </c>
      <c r="I5" s="68">
        <v>1651.4539290907815</v>
      </c>
      <c r="J5" s="68">
        <v>1649.5734702216214</v>
      </c>
      <c r="K5" s="68">
        <v>1647.6742740082243</v>
      </c>
      <c r="L5" s="68">
        <v>1645.750157348748</v>
      </c>
      <c r="M5" s="68">
        <v>1643.8250932086066</v>
      </c>
      <c r="N5" s="68">
        <v>1641.8661310078085</v>
      </c>
      <c r="O5" s="68">
        <v>1639.8678122001788</v>
      </c>
      <c r="P5" s="68">
        <v>1637.8505569590106</v>
      </c>
      <c r="Q5" s="68">
        <v>1635.8237902699084</v>
      </c>
      <c r="R5" s="68">
        <v>1633.7582763954342</v>
      </c>
      <c r="S5" s="68">
        <v>1631.6486286507952</v>
      </c>
      <c r="T5" s="68">
        <v>1629.5070918561053</v>
      </c>
      <c r="U5" s="68">
        <v>1627.3538901519223</v>
      </c>
      <c r="V5" s="68">
        <v>1625.2078827442353</v>
      </c>
      <c r="W5" s="68">
        <v>1623.037722053007</v>
      </c>
      <c r="X5" s="68">
        <v>1620.8441306792006</v>
      </c>
      <c r="Y5" s="68">
        <v>1618.6333837776524</v>
      </c>
      <c r="Z5" s="68">
        <v>1616.4174706884844</v>
      </c>
      <c r="AA5" s="68">
        <v>1614.204285597644</v>
      </c>
      <c r="AB5" s="68">
        <v>1611.9844026094731</v>
      </c>
    </row>
    <row r="6" spans="1:28" x14ac:dyDescent="0.25">
      <c r="A6" t="s">
        <v>167</v>
      </c>
      <c r="B6" t="s">
        <v>160</v>
      </c>
      <c r="C6" s="68">
        <v>163.72360422780022</v>
      </c>
      <c r="D6" s="68">
        <v>6.641795894113512</v>
      </c>
      <c r="E6" s="68">
        <v>6.634953475159655</v>
      </c>
      <c r="F6" s="68">
        <v>6.627873025996717</v>
      </c>
      <c r="G6" s="68">
        <v>6.620601811493083</v>
      </c>
      <c r="H6" s="68">
        <v>6.613250502961908</v>
      </c>
      <c r="I6" s="68">
        <v>6.605815716363126</v>
      </c>
      <c r="J6" s="68">
        <v>6.5982938808864855</v>
      </c>
      <c r="K6" s="68">
        <v>6.590697096032897</v>
      </c>
      <c r="L6" s="68">
        <v>6.583000629394993</v>
      </c>
      <c r="M6" s="68">
        <v>6.575300372834427</v>
      </c>
      <c r="N6" s="68">
        <v>6.567464524031234</v>
      </c>
      <c r="O6" s="68">
        <v>6.559471248800715</v>
      </c>
      <c r="P6" s="68">
        <v>6.551402227836043</v>
      </c>
      <c r="Q6" s="68">
        <v>6.543295161079635</v>
      </c>
      <c r="R6" s="68">
        <v>6.535033105581737</v>
      </c>
      <c r="S6" s="68">
        <v>6.526594514603181</v>
      </c>
      <c r="T6" s="68">
        <v>6.518028367424421</v>
      </c>
      <c r="U6" s="68">
        <v>6.509415560607689</v>
      </c>
      <c r="V6" s="68">
        <v>6.500831530976942</v>
      </c>
      <c r="W6" s="68">
        <v>6.492150888212028</v>
      </c>
      <c r="X6" s="68">
        <v>6.483376522716802</v>
      </c>
      <c r="Y6" s="68">
        <v>6.474533535110609</v>
      </c>
      <c r="Z6" s="68">
        <v>6.465669882753938</v>
      </c>
      <c r="AA6" s="68">
        <v>6.456817142390576</v>
      </c>
      <c r="AB6" s="68">
        <v>6.447937610437893</v>
      </c>
    </row>
    <row r="7" spans="1:28" x14ac:dyDescent="0.25">
      <c r="A7" t="s">
        <v>168</v>
      </c>
      <c r="B7" t="s">
        <v>160</v>
      </c>
      <c r="C7" s="68">
        <v>203.83588726361137</v>
      </c>
      <c r="D7" s="68">
        <v>8.269035888171322</v>
      </c>
      <c r="E7" s="68">
        <v>8.26051707657377</v>
      </c>
      <c r="F7" s="68">
        <v>8.251701917365914</v>
      </c>
      <c r="G7" s="68">
        <v>8.242649255308889</v>
      </c>
      <c r="H7" s="68">
        <v>8.233496876187575</v>
      </c>
      <c r="I7" s="68">
        <v>8.22424056687209</v>
      </c>
      <c r="J7" s="68">
        <v>8.214875881703676</v>
      </c>
      <c r="K7" s="68">
        <v>8.205417884560957</v>
      </c>
      <c r="L7" s="68">
        <v>8.195835783596765</v>
      </c>
      <c r="M7" s="68">
        <v>8.186248964178862</v>
      </c>
      <c r="N7" s="68">
        <v>8.176493332418888</v>
      </c>
      <c r="O7" s="68">
        <v>8.166541704756892</v>
      </c>
      <c r="P7" s="68">
        <v>8.156495773655873</v>
      </c>
      <c r="Q7" s="68">
        <v>8.146402475544145</v>
      </c>
      <c r="R7" s="68">
        <v>8.136116216449263</v>
      </c>
      <c r="S7" s="68">
        <v>8.12561017068096</v>
      </c>
      <c r="T7" s="68">
        <v>8.114945317443405</v>
      </c>
      <c r="U7" s="68">
        <v>8.104222372956572</v>
      </c>
      <c r="V7" s="68">
        <v>8.093535256066293</v>
      </c>
      <c r="W7" s="68">
        <v>8.082727855823975</v>
      </c>
      <c r="X7" s="68">
        <v>8.07180377078242</v>
      </c>
      <c r="Y7" s="68">
        <v>8.060794251212709</v>
      </c>
      <c r="Z7" s="68">
        <v>8.049759004028653</v>
      </c>
      <c r="AA7" s="68">
        <v>8.038737342276267</v>
      </c>
      <c r="AB7" s="68">
        <v>8.027682324995176</v>
      </c>
    </row>
    <row r="8" spans="1:28" x14ac:dyDescent="0.25">
      <c r="A8" t="s">
        <v>169</v>
      </c>
      <c r="B8" t="s">
        <v>160</v>
      </c>
      <c r="C8" s="68">
        <v>40563.34156545866</v>
      </c>
      <c r="D8" s="68">
        <v>1645.538141746093</v>
      </c>
      <c r="E8" s="68">
        <v>1643.8428982381802</v>
      </c>
      <c r="F8" s="68">
        <v>1642.0886815558167</v>
      </c>
      <c r="G8" s="68">
        <v>1640.2872018064688</v>
      </c>
      <c r="H8" s="68">
        <v>1638.4658783613277</v>
      </c>
      <c r="I8" s="68">
        <v>1636.6238728075464</v>
      </c>
      <c r="J8" s="68">
        <v>1634.7603004590312</v>
      </c>
      <c r="K8" s="68">
        <v>1632.8781590276305</v>
      </c>
      <c r="L8" s="68">
        <v>1630.9713209357565</v>
      </c>
      <c r="M8" s="68">
        <v>1629.0635438715935</v>
      </c>
      <c r="N8" s="68">
        <v>1627.1221731513585</v>
      </c>
      <c r="O8" s="68">
        <v>1625.1417992466213</v>
      </c>
      <c r="P8" s="68">
        <v>1623.142658957519</v>
      </c>
      <c r="Q8" s="68">
        <v>1621.1340926332846</v>
      </c>
      <c r="R8" s="68">
        <v>1619.0871270734033</v>
      </c>
      <c r="S8" s="68">
        <v>1616.9964239655112</v>
      </c>
      <c r="T8" s="68">
        <v>1614.8741181712373</v>
      </c>
      <c r="U8" s="68">
        <v>1612.7402522183581</v>
      </c>
      <c r="V8" s="68">
        <v>1610.6135159571922</v>
      </c>
      <c r="W8" s="68">
        <v>1608.462843308971</v>
      </c>
      <c r="X8" s="68">
        <v>1606.2889503857014</v>
      </c>
      <c r="Y8" s="68">
        <v>1604.098055991329</v>
      </c>
      <c r="Z8" s="68">
        <v>1601.9020418017017</v>
      </c>
      <c r="AA8" s="68">
        <v>1599.7087311129771</v>
      </c>
      <c r="AB8" s="68">
        <v>1597.50878267404</v>
      </c>
    </row>
    <row r="9" spans="1:28" x14ac:dyDescent="0.25">
      <c r="A9" t="s">
        <v>293</v>
      </c>
      <c r="B9" t="s">
        <v>160</v>
      </c>
      <c r="C9" s="68">
        <v>40563.34156546074</v>
      </c>
      <c r="D9" s="68">
        <v>1645.5381417461842</v>
      </c>
      <c r="E9" s="68">
        <v>1643.8428982382638</v>
      </c>
      <c r="F9" s="68">
        <v>1642.088681555905</v>
      </c>
      <c r="G9" s="68">
        <v>1640.2872018065561</v>
      </c>
      <c r="H9" s="68">
        <v>1638.465878361412</v>
      </c>
      <c r="I9" s="68">
        <v>1636.623872807638</v>
      </c>
      <c r="J9" s="68">
        <v>1634.7603004591151</v>
      </c>
      <c r="K9" s="68">
        <v>1632.8781590277183</v>
      </c>
      <c r="L9" s="68">
        <v>1630.9713209358401</v>
      </c>
      <c r="M9" s="68">
        <v>1629.0635438716808</v>
      </c>
      <c r="N9" s="68">
        <v>1627.122173151443</v>
      </c>
      <c r="O9" s="68">
        <v>1625.1417992467075</v>
      </c>
      <c r="P9" s="68">
        <v>1623.1426589576104</v>
      </c>
      <c r="Q9" s="68">
        <v>1621.1340926333687</v>
      </c>
      <c r="R9" s="68">
        <v>1619.0871270734833</v>
      </c>
      <c r="S9" s="68">
        <v>1616.9964239655887</v>
      </c>
      <c r="T9" s="68">
        <v>1614.874118171322</v>
      </c>
      <c r="U9" s="68">
        <v>1612.7402522184398</v>
      </c>
      <c r="V9" s="68">
        <v>1610.6135159572718</v>
      </c>
      <c r="W9" s="68">
        <v>1608.4628433090531</v>
      </c>
      <c r="X9" s="68">
        <v>1606.2889503857782</v>
      </c>
      <c r="Y9" s="68">
        <v>1604.0980559914103</v>
      </c>
      <c r="Z9" s="68">
        <v>1601.9020418017803</v>
      </c>
      <c r="AA9" s="68">
        <v>1599.7087311130556</v>
      </c>
      <c r="AB9" s="68">
        <v>1597.5087826741176</v>
      </c>
    </row>
    <row r="10" spans="1:28" x14ac:dyDescent="0.25">
      <c r="A10" t="s">
        <v>294</v>
      </c>
      <c r="B10" t="s">
        <v>8</v>
      </c>
      <c r="D10" s="67">
        <v>0.6702803021369454</v>
      </c>
      <c r="E10" s="67">
        <v>0.6695897752498088</v>
      </c>
      <c r="F10" s="67">
        <v>0.6688752267030231</v>
      </c>
      <c r="G10" s="67">
        <v>0.6681414263977894</v>
      </c>
      <c r="H10" s="67">
        <v>0.667399543120745</v>
      </c>
      <c r="I10" s="67">
        <v>0.6666492353595335</v>
      </c>
      <c r="J10" s="67">
        <v>0.6658901427532106</v>
      </c>
      <c r="K10" s="67">
        <v>0.6651234863656762</v>
      </c>
      <c r="L10" s="67">
        <v>0.6643467702386383</v>
      </c>
      <c r="M10" s="67">
        <v>0.6635696716381659</v>
      </c>
      <c r="N10" s="67">
        <v>0.6627788892673969</v>
      </c>
      <c r="O10" s="67">
        <v>0.6619722196524335</v>
      </c>
      <c r="P10" s="67">
        <v>0.6611579058890538</v>
      </c>
      <c r="Q10" s="67">
        <v>0.660339752600157</v>
      </c>
      <c r="R10" s="67">
        <v>0.6595059580747453</v>
      </c>
      <c r="S10" s="67">
        <v>0.658654347847497</v>
      </c>
      <c r="T10" s="67">
        <v>0.6577898648355758</v>
      </c>
      <c r="U10" s="67">
        <v>0.6569206730014079</v>
      </c>
      <c r="V10" s="67">
        <v>0.6560543853186511</v>
      </c>
      <c r="W10" s="67">
        <v>0.6551783475800691</v>
      </c>
      <c r="X10" s="67">
        <v>0.6542928514809754</v>
      </c>
      <c r="Y10" s="67">
        <v>0.653400430139074</v>
      </c>
      <c r="Z10" s="67">
        <v>0.652505923340854</v>
      </c>
      <c r="AA10" s="67">
        <v>0.6516125177649987</v>
      </c>
      <c r="AB10" s="67">
        <v>0.6507164084212358</v>
      </c>
    </row>
    <row r="11" spans="1:28" x14ac:dyDescent="0.25">
      <c r="A11" t="s">
        <v>295</v>
      </c>
      <c r="B11" t="s">
        <v>160</v>
      </c>
      <c r="C11" s="68">
        <v>0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</row>
    <row r="12" spans="1:28" x14ac:dyDescent="0.25">
      <c r="A12" t="s">
        <v>296</v>
      </c>
      <c r="B12" t="s">
        <v>160</v>
      </c>
      <c r="C12" s="68">
        <v>2993.558494460876</v>
      </c>
      <c r="D12" s="68">
        <v>150.6506941589037</v>
      </c>
      <c r="E12" s="68">
        <v>147.64331924090908</v>
      </c>
      <c r="F12" s="68">
        <v>144.72763360802193</v>
      </c>
      <c r="G12" s="68">
        <v>141.89026114726914</v>
      </c>
      <c r="H12" s="68">
        <v>139.09914522781833</v>
      </c>
      <c r="I12" s="68">
        <v>136.35569193546726</v>
      </c>
      <c r="J12" s="68">
        <v>133.66039066127587</v>
      </c>
      <c r="K12" s="68">
        <v>131.00852815322017</v>
      </c>
      <c r="L12" s="68">
        <v>128.4081174299766</v>
      </c>
      <c r="M12" s="68">
        <v>125.83124087737376</v>
      </c>
      <c r="N12" s="68">
        <v>123.31584759975473</v>
      </c>
      <c r="O12" s="68">
        <v>120.8683805753751</v>
      </c>
      <c r="P12" s="68">
        <v>118.46449567297356</v>
      </c>
      <c r="Q12" s="68">
        <v>116.09353635651776</v>
      </c>
      <c r="R12" s="68">
        <v>113.78887311504373</v>
      </c>
      <c r="S12" s="68">
        <v>111.55604224809919</v>
      </c>
      <c r="T12" s="68">
        <v>109.38201773488115</v>
      </c>
      <c r="U12" s="68">
        <v>107.2427528128776</v>
      </c>
      <c r="V12" s="68">
        <v>105.1164882576984</v>
      </c>
      <c r="W12" s="68">
        <v>103.0395946143584</v>
      </c>
      <c r="X12" s="68">
        <v>101.01052408509257</v>
      </c>
      <c r="Y12" s="68">
        <v>99.02264821404997</v>
      </c>
      <c r="Z12" s="68">
        <v>97.0617323981701</v>
      </c>
      <c r="AA12" s="68">
        <v>95.11833372580939</v>
      </c>
      <c r="AB12" s="68">
        <v>93.20220460993784</v>
      </c>
    </row>
    <row r="13" spans="1:28" x14ac:dyDescent="0.25">
      <c r="A13" t="s">
        <v>297</v>
      </c>
      <c r="B13" t="s">
        <v>160</v>
      </c>
      <c r="C13" s="68">
        <v>11605.408434538722</v>
      </c>
      <c r="D13" s="68">
        <v>441.2118582537943</v>
      </c>
      <c r="E13" s="68">
        <v>442.9071017617148</v>
      </c>
      <c r="F13" s="68">
        <v>444.6613184440737</v>
      </c>
      <c r="G13" s="68">
        <v>446.4627981934224</v>
      </c>
      <c r="H13" s="68">
        <v>448.2841216385665</v>
      </c>
      <c r="I13" s="68">
        <v>450.12612719234056</v>
      </c>
      <c r="J13" s="68">
        <v>451.9896995408635</v>
      </c>
      <c r="K13" s="68">
        <v>453.8718409722603</v>
      </c>
      <c r="L13" s="68">
        <v>455.7786790641383</v>
      </c>
      <c r="M13" s="68">
        <v>457.68645612829783</v>
      </c>
      <c r="N13" s="68">
        <v>459.6278268485358</v>
      </c>
      <c r="O13" s="68">
        <v>461.6082007532711</v>
      </c>
      <c r="P13" s="68">
        <v>463.6073410423682</v>
      </c>
      <c r="Q13" s="68">
        <v>465.6159073666099</v>
      </c>
      <c r="R13" s="68">
        <v>467.66287292649525</v>
      </c>
      <c r="S13" s="68">
        <v>469.7535760343899</v>
      </c>
      <c r="T13" s="68">
        <v>471.87588182865665</v>
      </c>
      <c r="U13" s="68">
        <v>474.00974778153886</v>
      </c>
      <c r="V13" s="68">
        <v>476.1364840427067</v>
      </c>
      <c r="W13" s="68">
        <v>478.28715669092537</v>
      </c>
      <c r="X13" s="68">
        <v>480.46104961420036</v>
      </c>
      <c r="Y13" s="68">
        <v>482.6519440085683</v>
      </c>
      <c r="Z13" s="68">
        <v>484.84795819819834</v>
      </c>
      <c r="AA13" s="68">
        <v>487.0412688869231</v>
      </c>
      <c r="AB13" s="68">
        <v>489.2412173258611</v>
      </c>
    </row>
    <row r="14" spans="1:28" x14ac:dyDescent="0.25">
      <c r="A14" t="s">
        <v>63</v>
      </c>
      <c r="B14" t="s">
        <v>64</v>
      </c>
      <c r="D14" s="69">
        <v>4.188873213329757</v>
      </c>
      <c r="E14" s="69">
        <v>4.188873213329757</v>
      </c>
      <c r="F14" s="69">
        <v>4.188873213329757</v>
      </c>
      <c r="G14" s="69">
        <v>4.188873213329757</v>
      </c>
      <c r="H14" s="69">
        <v>4.188873213329757</v>
      </c>
      <c r="I14" s="69">
        <v>4.188873213329757</v>
      </c>
      <c r="J14" s="69">
        <v>4.188873213329757</v>
      </c>
      <c r="K14" s="69">
        <v>4.188873213329757</v>
      </c>
      <c r="L14" s="69">
        <v>4.188873213329757</v>
      </c>
      <c r="M14" s="69">
        <v>4.188873213329757</v>
      </c>
      <c r="N14" s="69">
        <v>4.188873213329757</v>
      </c>
      <c r="O14" s="69">
        <v>4.188873213329757</v>
      </c>
      <c r="P14" s="69">
        <v>4.188873213329757</v>
      </c>
      <c r="Q14" s="69">
        <v>4.188873213329757</v>
      </c>
      <c r="R14" s="69">
        <v>4.188873213329757</v>
      </c>
      <c r="S14" s="69">
        <v>4.188873213329757</v>
      </c>
      <c r="T14" s="69">
        <v>4.188873213329757</v>
      </c>
      <c r="U14" s="69">
        <v>4.188873213329757</v>
      </c>
      <c r="V14" s="69">
        <v>4.188873213329757</v>
      </c>
      <c r="W14" s="69">
        <v>4.188873213329757</v>
      </c>
      <c r="X14" s="69">
        <v>4.188873213329757</v>
      </c>
      <c r="Y14" s="69">
        <v>4.188873213329757</v>
      </c>
      <c r="Z14" s="69">
        <v>4.188873213329757</v>
      </c>
      <c r="AA14" s="69">
        <v>4.188873213329757</v>
      </c>
      <c r="AB14" s="69">
        <v>4.188873213329757</v>
      </c>
    </row>
    <row r="15" spans="1:1" s="5" customFormat="1" x14ac:dyDescent="0.25">
      <c r="A15" s="5" t="s">
        <v>176</v>
      </c>
    </row>
    <row r="16" spans="1:28" x14ac:dyDescent="0.25">
      <c r="A16" t="s">
        <v>298</v>
      </c>
      <c r="B16" t="s">
        <v>8</v>
      </c>
      <c r="C16" s="70">
        <v>16991.469492670403</v>
      </c>
      <c r="D16" s="70">
        <v>689.2950643473016</v>
      </c>
      <c r="E16" s="70">
        <v>688.5849483352616</v>
      </c>
      <c r="F16" s="70">
        <v>687.8501292081507</v>
      </c>
      <c r="G16" s="70">
        <v>687.0955121815105</v>
      </c>
      <c r="H16" s="70">
        <v>686.3325828822931</v>
      </c>
      <c r="I16" s="70">
        <v>685.5609901099922</v>
      </c>
      <c r="J16" s="70">
        <v>684.7803632808092</v>
      </c>
      <c r="K16" s="70">
        <v>683.9919580982415</v>
      </c>
      <c r="L16" s="70">
        <v>683.1932077977191</v>
      </c>
      <c r="M16" s="70">
        <v>682.3940641736128</v>
      </c>
      <c r="N16" s="70">
        <v>681.5808485928981</v>
      </c>
      <c r="O16" s="70">
        <v>680.7512950727058</v>
      </c>
      <c r="P16" s="70">
        <v>679.9138805520371</v>
      </c>
      <c r="Q16" s="70">
        <v>679.0725175847558</v>
      </c>
      <c r="R16" s="70">
        <v>678.2150696645147</v>
      </c>
      <c r="S16" s="70">
        <v>677.3393006399461</v>
      </c>
      <c r="T16" s="70">
        <v>676.4502936507362</v>
      </c>
      <c r="U16" s="70">
        <v>675.5564442576498</v>
      </c>
      <c r="V16" s="70">
        <v>674.6655814020276</v>
      </c>
      <c r="W16" s="70">
        <v>673.7646918973511</v>
      </c>
      <c r="X16" s="70">
        <v>672.8540757138558</v>
      </c>
      <c r="Y16" s="70">
        <v>671.9363378296755</v>
      </c>
      <c r="Z16" s="70">
        <v>671.0164553281722</v>
      </c>
      <c r="AA16" s="70">
        <v>670.0977052889212</v>
      </c>
      <c r="AB16" s="70">
        <v>669.1761747802639</v>
      </c>
    </row>
    <row r="17" spans="1:28" x14ac:dyDescent="0.25">
      <c r="A17" t="s">
        <v>299</v>
      </c>
      <c r="B17" t="s">
        <v>8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70">
        <v>0</v>
      </c>
    </row>
    <row r="18" spans="1:28" x14ac:dyDescent="0.25">
      <c r="A18" t="s">
        <v>120</v>
      </c>
      <c r="B18" t="s">
        <v>8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  <c r="Z18" s="70">
        <v>0</v>
      </c>
      <c r="AA18" s="70">
        <v>0</v>
      </c>
      <c r="AB18" s="70">
        <v>0</v>
      </c>
    </row>
    <row r="19" spans="1:28" s="14" customFormat="1" x14ac:dyDescent="0.25">
      <c r="A19" s="14" t="s">
        <v>179</v>
      </c>
      <c r="B19" s="14" t="s">
        <v>8</v>
      </c>
      <c r="C19" s="71">
        <v>16991.469492670403</v>
      </c>
      <c r="D19" s="71">
        <v>689.2950643473016</v>
      </c>
      <c r="E19" s="71">
        <v>688.5849483352616</v>
      </c>
      <c r="F19" s="71">
        <v>687.8501292081507</v>
      </c>
      <c r="G19" s="71">
        <v>687.0955121815105</v>
      </c>
      <c r="H19" s="71">
        <v>686.3325828822931</v>
      </c>
      <c r="I19" s="71">
        <v>685.5609901099922</v>
      </c>
      <c r="J19" s="71">
        <v>684.7803632808092</v>
      </c>
      <c r="K19" s="71">
        <v>683.9919580982415</v>
      </c>
      <c r="L19" s="71">
        <v>683.1932077977191</v>
      </c>
      <c r="M19" s="71">
        <v>682.3940641736128</v>
      </c>
      <c r="N19" s="71">
        <v>681.5808485928981</v>
      </c>
      <c r="O19" s="71">
        <v>680.7512950727058</v>
      </c>
      <c r="P19" s="71">
        <v>679.9138805520371</v>
      </c>
      <c r="Q19" s="71">
        <v>679.0725175847558</v>
      </c>
      <c r="R19" s="71">
        <v>678.2150696645147</v>
      </c>
      <c r="S19" s="71">
        <v>677.3393006399461</v>
      </c>
      <c r="T19" s="71">
        <v>676.4502936507362</v>
      </c>
      <c r="U19" s="71">
        <v>675.5564442576498</v>
      </c>
      <c r="V19" s="71">
        <v>674.6655814020276</v>
      </c>
      <c r="W19" s="71">
        <v>673.7646918973511</v>
      </c>
      <c r="X19" s="71">
        <v>672.8540757138558</v>
      </c>
      <c r="Y19" s="71">
        <v>671.9363378296755</v>
      </c>
      <c r="Z19" s="71">
        <v>671.0164553281722</v>
      </c>
      <c r="AA19" s="71">
        <v>670.0977052889212</v>
      </c>
      <c r="AB19" s="71">
        <v>669.1761747802639</v>
      </c>
    </row>
    <row r="20" spans="1:1" s="5" customFormat="1" x14ac:dyDescent="0.25">
      <c r="A20" s="5" t="s">
        <v>180</v>
      </c>
    </row>
    <row r="21" spans="1:28" x14ac:dyDescent="0.25">
      <c r="A21" t="s">
        <v>300</v>
      </c>
      <c r="B21" t="s">
        <v>8</v>
      </c>
      <c r="C21" s="70">
        <v>2491.354558298959</v>
      </c>
      <c r="D21" s="70">
        <v>52.2</v>
      </c>
      <c r="E21" s="70">
        <v>54.81</v>
      </c>
      <c r="F21" s="70">
        <v>57.55050000000001</v>
      </c>
      <c r="G21" s="70">
        <v>60.42802500000001</v>
      </c>
      <c r="H21" s="70">
        <v>63.449426250000016</v>
      </c>
      <c r="I21" s="70">
        <v>66.62189756250002</v>
      </c>
      <c r="J21" s="70">
        <v>69.95299244062502</v>
      </c>
      <c r="K21" s="70">
        <v>73.45064206265627</v>
      </c>
      <c r="L21" s="70">
        <v>77.1231741657891</v>
      </c>
      <c r="M21" s="70">
        <v>80.97933287407855</v>
      </c>
      <c r="N21" s="70">
        <v>85.02829951778247</v>
      </c>
      <c r="O21" s="70">
        <v>89.2797144936716</v>
      </c>
      <c r="P21" s="70">
        <v>93.7437002183552</v>
      </c>
      <c r="Q21" s="70">
        <v>98.43088522927296</v>
      </c>
      <c r="R21" s="70">
        <v>103.35242949073661</v>
      </c>
      <c r="S21" s="70">
        <v>108.52005096527346</v>
      </c>
      <c r="T21" s="70">
        <v>113.94605351353711</v>
      </c>
      <c r="U21" s="70">
        <v>119.64335618921399</v>
      </c>
      <c r="V21" s="70">
        <v>125.62552399867468</v>
      </c>
      <c r="W21" s="70">
        <v>131.90680019860844</v>
      </c>
      <c r="X21" s="70">
        <v>138.50214020853883</v>
      </c>
      <c r="Y21" s="70">
        <v>145.42724721896582</v>
      </c>
      <c r="Z21" s="70">
        <v>152.6986095799141</v>
      </c>
      <c r="AA21" s="70">
        <v>160.33354005890982</v>
      </c>
      <c r="AB21" s="70">
        <v>168.3502170618553</v>
      </c>
    </row>
    <row r="22" spans="1:28" x14ac:dyDescent="0.25">
      <c r="A22" t="s">
        <v>108</v>
      </c>
      <c r="B22" t="s">
        <v>8</v>
      </c>
      <c r="C22" s="70">
        <v>318.37500000000017</v>
      </c>
      <c r="D22" s="70">
        <v>12.735</v>
      </c>
      <c r="E22" s="70">
        <v>12.735</v>
      </c>
      <c r="F22" s="70">
        <v>12.735</v>
      </c>
      <c r="G22" s="70">
        <v>12.735</v>
      </c>
      <c r="H22" s="70">
        <v>12.735</v>
      </c>
      <c r="I22" s="70">
        <v>12.735</v>
      </c>
      <c r="J22" s="70">
        <v>12.735</v>
      </c>
      <c r="K22" s="70">
        <v>12.735</v>
      </c>
      <c r="L22" s="70">
        <v>12.735</v>
      </c>
      <c r="M22" s="70">
        <v>12.735</v>
      </c>
      <c r="N22" s="70">
        <v>12.735</v>
      </c>
      <c r="O22" s="70">
        <v>12.735</v>
      </c>
      <c r="P22" s="70">
        <v>12.735</v>
      </c>
      <c r="Q22" s="70">
        <v>12.735</v>
      </c>
      <c r="R22" s="70">
        <v>12.735</v>
      </c>
      <c r="S22" s="70">
        <v>12.735</v>
      </c>
      <c r="T22" s="70">
        <v>12.735</v>
      </c>
      <c r="U22" s="70">
        <v>12.735</v>
      </c>
      <c r="V22" s="70">
        <v>12.735</v>
      </c>
      <c r="W22" s="70">
        <v>12.735</v>
      </c>
      <c r="X22" s="70">
        <v>12.735</v>
      </c>
      <c r="Y22" s="70">
        <v>12.735</v>
      </c>
      <c r="Z22" s="70">
        <v>12.735</v>
      </c>
      <c r="AA22" s="70">
        <v>12.735</v>
      </c>
      <c r="AB22" s="70">
        <v>12.735</v>
      </c>
    </row>
    <row r="23" spans="1:28" x14ac:dyDescent="0.25">
      <c r="A23" t="s">
        <v>110</v>
      </c>
      <c r="B23" t="s">
        <v>8</v>
      </c>
      <c r="C23" s="70">
        <v>0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0</v>
      </c>
      <c r="AA23" s="70">
        <v>0</v>
      </c>
      <c r="AB23" s="70">
        <v>0</v>
      </c>
    </row>
    <row r="24" spans="1:28" s="14" customFormat="1" x14ac:dyDescent="0.25">
      <c r="A24" s="14" t="s">
        <v>181</v>
      </c>
      <c r="B24" s="14" t="s">
        <v>8</v>
      </c>
      <c r="C24" s="71">
        <v>2809.7295582989595</v>
      </c>
      <c r="D24" s="71">
        <v>64.935</v>
      </c>
      <c r="E24" s="71">
        <v>67.545</v>
      </c>
      <c r="F24" s="71">
        <v>70.28550000000001</v>
      </c>
      <c r="G24" s="71">
        <v>73.163025</v>
      </c>
      <c r="H24" s="71">
        <v>76.18442625000002</v>
      </c>
      <c r="I24" s="71">
        <v>79.35689756250002</v>
      </c>
      <c r="J24" s="71">
        <v>82.68799244062502</v>
      </c>
      <c r="K24" s="71">
        <v>86.18564206265627</v>
      </c>
      <c r="L24" s="71">
        <v>89.8581741657891</v>
      </c>
      <c r="M24" s="71">
        <v>93.71433287407855</v>
      </c>
      <c r="N24" s="71">
        <v>97.76329951778247</v>
      </c>
      <c r="O24" s="71">
        <v>102.0147144936716</v>
      </c>
      <c r="P24" s="71">
        <v>106.4787002183552</v>
      </c>
      <c r="Q24" s="71">
        <v>111.16588522927296</v>
      </c>
      <c r="R24" s="71">
        <v>116.08742949073661</v>
      </c>
      <c r="S24" s="71">
        <v>121.25505096527345</v>
      </c>
      <c r="T24" s="71">
        <v>126.68105351353711</v>
      </c>
      <c r="U24" s="71">
        <v>132.378356189214</v>
      </c>
      <c r="V24" s="71">
        <v>138.3605239986747</v>
      </c>
      <c r="W24" s="71">
        <v>144.64180019860845</v>
      </c>
      <c r="X24" s="71">
        <v>151.23714020853885</v>
      </c>
      <c r="Y24" s="71">
        <v>158.16224721896583</v>
      </c>
      <c r="Z24" s="71">
        <v>165.4336095799141</v>
      </c>
      <c r="AA24" s="71">
        <v>173.06854005890983</v>
      </c>
      <c r="AB24" s="71">
        <v>181.0852170618553</v>
      </c>
    </row>
    <row r="25" spans="1:1" s="5" customFormat="1" x14ac:dyDescent="0.25">
      <c r="A25" s="5" t="s">
        <v>301</v>
      </c>
    </row>
    <row r="26" spans="1:28" x14ac:dyDescent="0.25">
      <c r="A26" t="s">
        <v>122</v>
      </c>
      <c r="B26" t="s">
        <v>8</v>
      </c>
      <c r="C26" s="70">
        <v>241.45214147790128</v>
      </c>
      <c r="D26" s="70">
        <v>0</v>
      </c>
      <c r="E26" s="70">
        <v>13.968</v>
      </c>
      <c r="F26" s="70">
        <v>13.548959999999997</v>
      </c>
      <c r="G26" s="70">
        <v>13.142491199999998</v>
      </c>
      <c r="H26" s="70">
        <v>12.748216463999999</v>
      </c>
      <c r="I26" s="70">
        <v>12.365769970079997</v>
      </c>
      <c r="J26" s="70">
        <v>11.994796870977597</v>
      </c>
      <c r="K26" s="70">
        <v>11.634952964848267</v>
      </c>
      <c r="L26" s="70">
        <v>11.28590437590282</v>
      </c>
      <c r="M26" s="70">
        <v>10.947327244625736</v>
      </c>
      <c r="N26" s="70">
        <v>10.618907427286963</v>
      </c>
      <c r="O26" s="70">
        <v>10.300340204468355</v>
      </c>
      <c r="P26" s="70">
        <v>9.991329998334303</v>
      </c>
      <c r="Q26" s="70">
        <v>9.691590098384275</v>
      </c>
      <c r="R26" s="70">
        <v>9.400842395432745</v>
      </c>
      <c r="S26" s="70">
        <v>9.118817123569764</v>
      </c>
      <c r="T26" s="70">
        <v>8.84525260986267</v>
      </c>
      <c r="U26" s="70">
        <v>8.57989503156679</v>
      </c>
      <c r="V26" s="70">
        <v>8.322498180619785</v>
      </c>
      <c r="W26" s="70">
        <v>8.072823235201191</v>
      </c>
      <c r="X26" s="70">
        <v>7.8306385381451555</v>
      </c>
      <c r="Y26" s="70">
        <v>7.5957193820008015</v>
      </c>
      <c r="Z26" s="70">
        <v>7.367847800540778</v>
      </c>
      <c r="AA26" s="70">
        <v>7.146812366524553</v>
      </c>
      <c r="AB26" s="70">
        <v>6.932407995528816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8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5" customFormat="1" x14ac:dyDescent="0.25">
      <c r="A1" s="65" t="s">
        <v>55</v>
      </c>
      <c r="B1" s="65" t="s">
        <v>56</v>
      </c>
      <c r="C1" s="65" t="s">
        <v>266</v>
      </c>
      <c r="D1" s="65" t="s">
        <v>267</v>
      </c>
      <c r="E1" s="65" t="s">
        <v>268</v>
      </c>
      <c r="F1" s="65" t="s">
        <v>269</v>
      </c>
      <c r="G1" s="65" t="s">
        <v>270</v>
      </c>
      <c r="H1" s="65" t="s">
        <v>271</v>
      </c>
      <c r="I1" s="65" t="s">
        <v>272</v>
      </c>
      <c r="J1" s="65" t="s">
        <v>273</v>
      </c>
      <c r="K1" s="65" t="s">
        <v>274</v>
      </c>
      <c r="L1" s="65" t="s">
        <v>275</v>
      </c>
      <c r="M1" s="65" t="s">
        <v>276</v>
      </c>
      <c r="N1" s="65" t="s">
        <v>277</v>
      </c>
      <c r="O1" s="65" t="s">
        <v>278</v>
      </c>
      <c r="P1" s="65" t="s">
        <v>279</v>
      </c>
      <c r="Q1" s="65" t="s">
        <v>280</v>
      </c>
      <c r="R1" s="65" t="s">
        <v>281</v>
      </c>
      <c r="S1" s="65" t="s">
        <v>282</v>
      </c>
      <c r="T1" s="65" t="s">
        <v>283</v>
      </c>
      <c r="U1" s="65" t="s">
        <v>284</v>
      </c>
      <c r="V1" s="65" t="s">
        <v>285</v>
      </c>
      <c r="W1" s="65" t="s">
        <v>286</v>
      </c>
      <c r="X1" s="65" t="s">
        <v>287</v>
      </c>
      <c r="Y1" s="65" t="s">
        <v>288</v>
      </c>
      <c r="Z1" s="65" t="s">
        <v>289</v>
      </c>
      <c r="AA1" s="65" t="s">
        <v>290</v>
      </c>
      <c r="AB1" s="65" t="s">
        <v>291</v>
      </c>
    </row>
    <row r="2" spans="1:1" s="5" customFormat="1" x14ac:dyDescent="0.25">
      <c r="A2" s="5" t="s">
        <v>292</v>
      </c>
    </row>
    <row r="3" spans="1:28" x14ac:dyDescent="0.25">
      <c r="A3" t="s">
        <v>238</v>
      </c>
      <c r="B3" t="s">
        <v>160</v>
      </c>
      <c r="C3" s="68">
        <v>61374.99999999941</v>
      </c>
      <c r="D3" s="68">
        <v>2454.999999999975</v>
      </c>
      <c r="E3" s="68">
        <v>2454.999999999975</v>
      </c>
      <c r="F3" s="68">
        <v>2454.999999999975</v>
      </c>
      <c r="G3" s="68">
        <v>2454.999999999975</v>
      </c>
      <c r="H3" s="68">
        <v>2454.999999999975</v>
      </c>
      <c r="I3" s="68">
        <v>2454.999999999975</v>
      </c>
      <c r="J3" s="68">
        <v>2454.999999999975</v>
      </c>
      <c r="K3" s="68">
        <v>2454.999999999975</v>
      </c>
      <c r="L3" s="68">
        <v>2454.999999999975</v>
      </c>
      <c r="M3" s="68">
        <v>2454.999999999975</v>
      </c>
      <c r="N3" s="68">
        <v>2454.999999999975</v>
      </c>
      <c r="O3" s="68">
        <v>2454.999999999975</v>
      </c>
      <c r="P3" s="68">
        <v>2454.999999999975</v>
      </c>
      <c r="Q3" s="68">
        <v>2454.999999999975</v>
      </c>
      <c r="R3" s="68">
        <v>2454.999999999975</v>
      </c>
      <c r="S3" s="68">
        <v>2454.999999999975</v>
      </c>
      <c r="T3" s="68">
        <v>2454.999999999975</v>
      </c>
      <c r="U3" s="68">
        <v>2454.999999999975</v>
      </c>
      <c r="V3" s="68">
        <v>2454.999999999975</v>
      </c>
      <c r="W3" s="68">
        <v>2454.999999999975</v>
      </c>
      <c r="X3" s="68">
        <v>2454.999999999975</v>
      </c>
      <c r="Y3" s="68">
        <v>2454.999999999975</v>
      </c>
      <c r="Z3" s="68">
        <v>2454.999999999975</v>
      </c>
      <c r="AA3" s="68">
        <v>2454.999999999975</v>
      </c>
      <c r="AB3" s="68">
        <v>2454.999999999975</v>
      </c>
    </row>
    <row r="4" spans="1:28" x14ac:dyDescent="0.25">
      <c r="A4" t="s">
        <v>165</v>
      </c>
      <c r="B4" t="s">
        <v>160</v>
      </c>
      <c r="C4" s="68">
        <v>44431.10231249522</v>
      </c>
      <c r="D4" s="68">
        <v>1833.0299999999916</v>
      </c>
      <c r="E4" s="68">
        <v>1828.2010499999874</v>
      </c>
      <c r="F4" s="68">
        <v>1823.3962447499898</v>
      </c>
      <c r="G4" s="68">
        <v>1818.615463526242</v>
      </c>
      <c r="H4" s="68">
        <v>1813.85858620861</v>
      </c>
      <c r="I4" s="68">
        <v>1809.1254932775664</v>
      </c>
      <c r="J4" s="68">
        <v>1804.4160658111796</v>
      </c>
      <c r="K4" s="68">
        <v>1799.7301854821244</v>
      </c>
      <c r="L4" s="68">
        <v>1795.0677345547126</v>
      </c>
      <c r="M4" s="68">
        <v>1790.4285958819382</v>
      </c>
      <c r="N4" s="68">
        <v>1785.812652902531</v>
      </c>
      <c r="O4" s="68">
        <v>1781.219789638016</v>
      </c>
      <c r="P4" s="68">
        <v>1776.649890689828</v>
      </c>
      <c r="Q4" s="68">
        <v>1772.1028412363776</v>
      </c>
      <c r="R4" s="68">
        <v>1767.5785270301951</v>
      </c>
      <c r="S4" s="68">
        <v>1763.0768343950444</v>
      </c>
      <c r="T4" s="68">
        <v>1758.5976502230683</v>
      </c>
      <c r="U4" s="68">
        <v>1754.1408619719537</v>
      </c>
      <c r="V4" s="68">
        <v>1749.7063576620942</v>
      </c>
      <c r="W4" s="68">
        <v>1745.2940258737858</v>
      </c>
      <c r="X4" s="68">
        <v>1740.9037557444158</v>
      </c>
      <c r="Y4" s="68">
        <v>1736.535436965691</v>
      </c>
      <c r="Z4" s="68">
        <v>1732.188959780861</v>
      </c>
      <c r="AA4" s="68">
        <v>1727.8642149819582</v>
      </c>
      <c r="AB4" s="68">
        <v>1723.561093907048</v>
      </c>
    </row>
    <row r="5" spans="1:28" x14ac:dyDescent="0.25">
      <c r="A5" t="s">
        <v>166</v>
      </c>
      <c r="B5" t="s">
        <v>160</v>
      </c>
      <c r="C5" s="68">
        <v>40930.901056950075</v>
      </c>
      <c r="D5" s="68">
        <v>1660.448973528378</v>
      </c>
      <c r="E5" s="68">
        <v>1658.7383687899137</v>
      </c>
      <c r="F5" s="68">
        <v>1656.9682564991792</v>
      </c>
      <c r="G5" s="68">
        <v>1655.1504528732708</v>
      </c>
      <c r="H5" s="68">
        <v>1653.3126257404772</v>
      </c>
      <c r="I5" s="68">
        <v>1651.4539290907815</v>
      </c>
      <c r="J5" s="68">
        <v>1649.5734702216214</v>
      </c>
      <c r="K5" s="68">
        <v>1647.6742740082243</v>
      </c>
      <c r="L5" s="68">
        <v>1645.750157348748</v>
      </c>
      <c r="M5" s="68">
        <v>1643.8250932086066</v>
      </c>
      <c r="N5" s="68">
        <v>1641.8661310078085</v>
      </c>
      <c r="O5" s="68">
        <v>1639.8678122001788</v>
      </c>
      <c r="P5" s="68">
        <v>1637.8505569590106</v>
      </c>
      <c r="Q5" s="68">
        <v>1635.8237902699084</v>
      </c>
      <c r="R5" s="68">
        <v>1633.7582763954342</v>
      </c>
      <c r="S5" s="68">
        <v>1631.6486286507952</v>
      </c>
      <c r="T5" s="68">
        <v>1629.5070918561053</v>
      </c>
      <c r="U5" s="68">
        <v>1627.3538901519223</v>
      </c>
      <c r="V5" s="68">
        <v>1625.2078827442353</v>
      </c>
      <c r="W5" s="68">
        <v>1623.037722053007</v>
      </c>
      <c r="X5" s="68">
        <v>1620.8441306792006</v>
      </c>
      <c r="Y5" s="68">
        <v>1618.6333837776524</v>
      </c>
      <c r="Z5" s="68">
        <v>1616.4174706884844</v>
      </c>
      <c r="AA5" s="68">
        <v>1614.204285597644</v>
      </c>
      <c r="AB5" s="68">
        <v>1611.9844026094731</v>
      </c>
    </row>
    <row r="6" spans="1:28" x14ac:dyDescent="0.25">
      <c r="A6" t="s">
        <v>167</v>
      </c>
      <c r="B6" t="s">
        <v>160</v>
      </c>
      <c r="C6" s="68">
        <v>163.72360422780022</v>
      </c>
      <c r="D6" s="68">
        <v>6.641795894113512</v>
      </c>
      <c r="E6" s="68">
        <v>6.634953475159655</v>
      </c>
      <c r="F6" s="68">
        <v>6.627873025996717</v>
      </c>
      <c r="G6" s="68">
        <v>6.620601811493083</v>
      </c>
      <c r="H6" s="68">
        <v>6.613250502961908</v>
      </c>
      <c r="I6" s="68">
        <v>6.605815716363126</v>
      </c>
      <c r="J6" s="68">
        <v>6.5982938808864855</v>
      </c>
      <c r="K6" s="68">
        <v>6.590697096032897</v>
      </c>
      <c r="L6" s="68">
        <v>6.583000629394993</v>
      </c>
      <c r="M6" s="68">
        <v>6.575300372834427</v>
      </c>
      <c r="N6" s="68">
        <v>6.567464524031234</v>
      </c>
      <c r="O6" s="68">
        <v>6.559471248800715</v>
      </c>
      <c r="P6" s="68">
        <v>6.551402227836043</v>
      </c>
      <c r="Q6" s="68">
        <v>6.543295161079635</v>
      </c>
      <c r="R6" s="68">
        <v>6.535033105581737</v>
      </c>
      <c r="S6" s="68">
        <v>6.526594514603181</v>
      </c>
      <c r="T6" s="68">
        <v>6.518028367424421</v>
      </c>
      <c r="U6" s="68">
        <v>6.509415560607689</v>
      </c>
      <c r="V6" s="68">
        <v>6.500831530976942</v>
      </c>
      <c r="W6" s="68">
        <v>6.492150888212028</v>
      </c>
      <c r="X6" s="68">
        <v>6.483376522716802</v>
      </c>
      <c r="Y6" s="68">
        <v>6.474533535110609</v>
      </c>
      <c r="Z6" s="68">
        <v>6.465669882753938</v>
      </c>
      <c r="AA6" s="68">
        <v>6.456817142390576</v>
      </c>
      <c r="AB6" s="68">
        <v>6.447937610437893</v>
      </c>
    </row>
    <row r="7" spans="1:28" x14ac:dyDescent="0.25">
      <c r="A7" t="s">
        <v>168</v>
      </c>
      <c r="B7" t="s">
        <v>160</v>
      </c>
      <c r="C7" s="68">
        <v>203.83588726361137</v>
      </c>
      <c r="D7" s="68">
        <v>8.269035888171322</v>
      </c>
      <c r="E7" s="68">
        <v>8.26051707657377</v>
      </c>
      <c r="F7" s="68">
        <v>8.251701917365914</v>
      </c>
      <c r="G7" s="68">
        <v>8.242649255308889</v>
      </c>
      <c r="H7" s="68">
        <v>8.233496876187575</v>
      </c>
      <c r="I7" s="68">
        <v>8.22424056687209</v>
      </c>
      <c r="J7" s="68">
        <v>8.214875881703676</v>
      </c>
      <c r="K7" s="68">
        <v>8.205417884560957</v>
      </c>
      <c r="L7" s="68">
        <v>8.195835783596765</v>
      </c>
      <c r="M7" s="68">
        <v>8.186248964178862</v>
      </c>
      <c r="N7" s="68">
        <v>8.176493332418888</v>
      </c>
      <c r="O7" s="68">
        <v>8.166541704756892</v>
      </c>
      <c r="P7" s="68">
        <v>8.156495773655873</v>
      </c>
      <c r="Q7" s="68">
        <v>8.146402475544145</v>
      </c>
      <c r="R7" s="68">
        <v>8.136116216449263</v>
      </c>
      <c r="S7" s="68">
        <v>8.12561017068096</v>
      </c>
      <c r="T7" s="68">
        <v>8.114945317443405</v>
      </c>
      <c r="U7" s="68">
        <v>8.104222372956572</v>
      </c>
      <c r="V7" s="68">
        <v>8.093535256066293</v>
      </c>
      <c r="W7" s="68">
        <v>8.082727855823975</v>
      </c>
      <c r="X7" s="68">
        <v>8.07180377078242</v>
      </c>
      <c r="Y7" s="68">
        <v>8.060794251212709</v>
      </c>
      <c r="Z7" s="68">
        <v>8.049759004028653</v>
      </c>
      <c r="AA7" s="68">
        <v>8.038737342276267</v>
      </c>
      <c r="AB7" s="68">
        <v>8.027682324995176</v>
      </c>
    </row>
    <row r="8" spans="1:28" x14ac:dyDescent="0.25">
      <c r="A8" t="s">
        <v>169</v>
      </c>
      <c r="B8" t="s">
        <v>160</v>
      </c>
      <c r="C8" s="68">
        <v>40563.34156545866</v>
      </c>
      <c r="D8" s="68">
        <v>1645.538141746093</v>
      </c>
      <c r="E8" s="68">
        <v>1643.8428982381802</v>
      </c>
      <c r="F8" s="68">
        <v>1642.0886815558167</v>
      </c>
      <c r="G8" s="68">
        <v>1640.2872018064688</v>
      </c>
      <c r="H8" s="68">
        <v>1638.4658783613277</v>
      </c>
      <c r="I8" s="68">
        <v>1636.6238728075464</v>
      </c>
      <c r="J8" s="68">
        <v>1634.7603004590312</v>
      </c>
      <c r="K8" s="68">
        <v>1632.8781590276305</v>
      </c>
      <c r="L8" s="68">
        <v>1630.9713209357565</v>
      </c>
      <c r="M8" s="68">
        <v>1629.0635438715935</v>
      </c>
      <c r="N8" s="68">
        <v>1627.1221731513585</v>
      </c>
      <c r="O8" s="68">
        <v>1625.1417992466213</v>
      </c>
      <c r="P8" s="68">
        <v>1623.142658957519</v>
      </c>
      <c r="Q8" s="68">
        <v>1621.1340926332846</v>
      </c>
      <c r="R8" s="68">
        <v>1619.0871270734033</v>
      </c>
      <c r="S8" s="68">
        <v>1616.9964239655112</v>
      </c>
      <c r="T8" s="68">
        <v>1614.8741181712373</v>
      </c>
      <c r="U8" s="68">
        <v>1612.7402522183581</v>
      </c>
      <c r="V8" s="68">
        <v>1610.6135159571922</v>
      </c>
      <c r="W8" s="68">
        <v>1608.462843308971</v>
      </c>
      <c r="X8" s="68">
        <v>1606.2889503857014</v>
      </c>
      <c r="Y8" s="68">
        <v>1604.098055991329</v>
      </c>
      <c r="Z8" s="68">
        <v>1601.9020418017017</v>
      </c>
      <c r="AA8" s="68">
        <v>1599.7087311129771</v>
      </c>
      <c r="AB8" s="68">
        <v>1597.50878267404</v>
      </c>
    </row>
    <row r="9" spans="1:28" x14ac:dyDescent="0.25">
      <c r="A9" t="s">
        <v>293</v>
      </c>
      <c r="B9" t="s">
        <v>160</v>
      </c>
      <c r="C9" s="68">
        <v>40563.34156546074</v>
      </c>
      <c r="D9" s="68">
        <v>1645.5381417461842</v>
      </c>
      <c r="E9" s="68">
        <v>1643.8428982382638</v>
      </c>
      <c r="F9" s="68">
        <v>1642.088681555905</v>
      </c>
      <c r="G9" s="68">
        <v>1640.2872018065561</v>
      </c>
      <c r="H9" s="68">
        <v>1638.465878361412</v>
      </c>
      <c r="I9" s="68">
        <v>1636.623872807638</v>
      </c>
      <c r="J9" s="68">
        <v>1634.7603004591151</v>
      </c>
      <c r="K9" s="68">
        <v>1632.8781590277183</v>
      </c>
      <c r="L9" s="68">
        <v>1630.9713209358401</v>
      </c>
      <c r="M9" s="68">
        <v>1629.0635438716808</v>
      </c>
      <c r="N9" s="68">
        <v>1627.122173151443</v>
      </c>
      <c r="O9" s="68">
        <v>1625.1417992467075</v>
      </c>
      <c r="P9" s="68">
        <v>1623.1426589576104</v>
      </c>
      <c r="Q9" s="68">
        <v>1621.1340926333687</v>
      </c>
      <c r="R9" s="68">
        <v>1619.0871270734833</v>
      </c>
      <c r="S9" s="68">
        <v>1616.9964239655887</v>
      </c>
      <c r="T9" s="68">
        <v>1614.874118171322</v>
      </c>
      <c r="U9" s="68">
        <v>1612.7402522184398</v>
      </c>
      <c r="V9" s="68">
        <v>1610.6135159572718</v>
      </c>
      <c r="W9" s="68">
        <v>1608.4628433090531</v>
      </c>
      <c r="X9" s="68">
        <v>1606.2889503857782</v>
      </c>
      <c r="Y9" s="68">
        <v>1604.0980559914103</v>
      </c>
      <c r="Z9" s="68">
        <v>1601.9020418017803</v>
      </c>
      <c r="AA9" s="68">
        <v>1599.7087311130556</v>
      </c>
      <c r="AB9" s="68">
        <v>1597.5087826741176</v>
      </c>
    </row>
    <row r="10" spans="1:28" x14ac:dyDescent="0.25">
      <c r="A10" t="s">
        <v>294</v>
      </c>
      <c r="B10" t="s">
        <v>8</v>
      </c>
      <c r="D10" s="67">
        <v>0.6702803021369454</v>
      </c>
      <c r="E10" s="67">
        <v>0.6695897752498088</v>
      </c>
      <c r="F10" s="67">
        <v>0.6688752267030231</v>
      </c>
      <c r="G10" s="67">
        <v>0.6681414263977894</v>
      </c>
      <c r="H10" s="67">
        <v>0.667399543120745</v>
      </c>
      <c r="I10" s="67">
        <v>0.6666492353595335</v>
      </c>
      <c r="J10" s="67">
        <v>0.6658901427532106</v>
      </c>
      <c r="K10" s="67">
        <v>0.6651234863656762</v>
      </c>
      <c r="L10" s="67">
        <v>0.6643467702386383</v>
      </c>
      <c r="M10" s="67">
        <v>0.6635696716381659</v>
      </c>
      <c r="N10" s="67">
        <v>0.6627788892673969</v>
      </c>
      <c r="O10" s="67">
        <v>0.6619722196524335</v>
      </c>
      <c r="P10" s="67">
        <v>0.6611579058890538</v>
      </c>
      <c r="Q10" s="67">
        <v>0.660339752600157</v>
      </c>
      <c r="R10" s="67">
        <v>0.6595059580747453</v>
      </c>
      <c r="S10" s="67">
        <v>0.658654347847497</v>
      </c>
      <c r="T10" s="67">
        <v>0.6577898648355758</v>
      </c>
      <c r="U10" s="67">
        <v>0.6569206730014079</v>
      </c>
      <c r="V10" s="67">
        <v>0.6560543853186511</v>
      </c>
      <c r="W10" s="67">
        <v>0.6551783475800691</v>
      </c>
      <c r="X10" s="67">
        <v>0.6542928514809754</v>
      </c>
      <c r="Y10" s="67">
        <v>0.653400430139074</v>
      </c>
      <c r="Z10" s="67">
        <v>0.652505923340854</v>
      </c>
      <c r="AA10" s="67">
        <v>0.6516125177649987</v>
      </c>
      <c r="AB10" s="67">
        <v>0.6507164084212358</v>
      </c>
    </row>
    <row r="11" spans="1:28" x14ac:dyDescent="0.25">
      <c r="A11" t="s">
        <v>295</v>
      </c>
      <c r="B11" t="s">
        <v>160</v>
      </c>
      <c r="C11" s="68">
        <v>0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</row>
    <row r="12" spans="1:28" x14ac:dyDescent="0.25">
      <c r="A12" t="s">
        <v>296</v>
      </c>
      <c r="B12" t="s">
        <v>160</v>
      </c>
      <c r="C12" s="68">
        <v>2993.558494460876</v>
      </c>
      <c r="D12" s="68">
        <v>150.6506941589037</v>
      </c>
      <c r="E12" s="68">
        <v>147.64331924090908</v>
      </c>
      <c r="F12" s="68">
        <v>144.72763360802193</v>
      </c>
      <c r="G12" s="68">
        <v>141.89026114726914</v>
      </c>
      <c r="H12" s="68">
        <v>139.09914522781833</v>
      </c>
      <c r="I12" s="68">
        <v>136.35569193546726</v>
      </c>
      <c r="J12" s="68">
        <v>133.66039066127587</v>
      </c>
      <c r="K12" s="68">
        <v>131.00852815322017</v>
      </c>
      <c r="L12" s="68">
        <v>128.4081174299766</v>
      </c>
      <c r="M12" s="68">
        <v>125.83124087737376</v>
      </c>
      <c r="N12" s="68">
        <v>123.31584759975473</v>
      </c>
      <c r="O12" s="68">
        <v>120.8683805753751</v>
      </c>
      <c r="P12" s="68">
        <v>118.46449567297356</v>
      </c>
      <c r="Q12" s="68">
        <v>116.09353635651776</v>
      </c>
      <c r="R12" s="68">
        <v>113.78887311504373</v>
      </c>
      <c r="S12" s="68">
        <v>111.55604224809919</v>
      </c>
      <c r="T12" s="68">
        <v>109.38201773488115</v>
      </c>
      <c r="U12" s="68">
        <v>107.2427528128776</v>
      </c>
      <c r="V12" s="68">
        <v>105.1164882576984</v>
      </c>
      <c r="W12" s="68">
        <v>103.0395946143584</v>
      </c>
      <c r="X12" s="68">
        <v>101.01052408509257</v>
      </c>
      <c r="Y12" s="68">
        <v>99.02264821404997</v>
      </c>
      <c r="Z12" s="68">
        <v>97.0617323981701</v>
      </c>
      <c r="AA12" s="68">
        <v>95.11833372580939</v>
      </c>
      <c r="AB12" s="68">
        <v>93.20220460993784</v>
      </c>
    </row>
    <row r="13" spans="1:28" x14ac:dyDescent="0.25">
      <c r="A13" t="s">
        <v>297</v>
      </c>
      <c r="B13" t="s">
        <v>160</v>
      </c>
      <c r="C13" s="68">
        <v>11605.408434538722</v>
      </c>
      <c r="D13" s="68">
        <v>441.2118582537943</v>
      </c>
      <c r="E13" s="68">
        <v>442.9071017617148</v>
      </c>
      <c r="F13" s="68">
        <v>444.6613184440737</v>
      </c>
      <c r="G13" s="68">
        <v>446.4627981934224</v>
      </c>
      <c r="H13" s="68">
        <v>448.2841216385665</v>
      </c>
      <c r="I13" s="68">
        <v>450.12612719234056</v>
      </c>
      <c r="J13" s="68">
        <v>451.9896995408635</v>
      </c>
      <c r="K13" s="68">
        <v>453.8718409722603</v>
      </c>
      <c r="L13" s="68">
        <v>455.7786790641383</v>
      </c>
      <c r="M13" s="68">
        <v>457.68645612829783</v>
      </c>
      <c r="N13" s="68">
        <v>459.6278268485358</v>
      </c>
      <c r="O13" s="68">
        <v>461.6082007532711</v>
      </c>
      <c r="P13" s="68">
        <v>463.6073410423682</v>
      </c>
      <c r="Q13" s="68">
        <v>465.6159073666099</v>
      </c>
      <c r="R13" s="68">
        <v>467.66287292649525</v>
      </c>
      <c r="S13" s="68">
        <v>469.7535760343899</v>
      </c>
      <c r="T13" s="68">
        <v>471.87588182865665</v>
      </c>
      <c r="U13" s="68">
        <v>474.00974778153886</v>
      </c>
      <c r="V13" s="68">
        <v>476.1364840427067</v>
      </c>
      <c r="W13" s="68">
        <v>478.28715669092537</v>
      </c>
      <c r="X13" s="68">
        <v>480.46104961420036</v>
      </c>
      <c r="Y13" s="68">
        <v>482.6519440085683</v>
      </c>
      <c r="Z13" s="68">
        <v>484.84795819819834</v>
      </c>
      <c r="AA13" s="68">
        <v>487.0412688869231</v>
      </c>
      <c r="AB13" s="68">
        <v>489.2412173258611</v>
      </c>
    </row>
    <row r="14" spans="1:28" x14ac:dyDescent="0.25">
      <c r="A14" t="s">
        <v>63</v>
      </c>
      <c r="B14" t="s">
        <v>64</v>
      </c>
      <c r="D14" s="69">
        <v>4.188873213329757</v>
      </c>
      <c r="E14" s="69">
        <v>4.188873213329757</v>
      </c>
      <c r="F14" s="69">
        <v>4.188873213329757</v>
      </c>
      <c r="G14" s="69">
        <v>4.188873213329757</v>
      </c>
      <c r="H14" s="69">
        <v>4.188873213329757</v>
      </c>
      <c r="I14" s="69">
        <v>4.188873213329757</v>
      </c>
      <c r="J14" s="69">
        <v>4.188873213329757</v>
      </c>
      <c r="K14" s="69">
        <v>4.188873213329757</v>
      </c>
      <c r="L14" s="69">
        <v>4.188873213329757</v>
      </c>
      <c r="M14" s="69">
        <v>4.188873213329757</v>
      </c>
      <c r="N14" s="69">
        <v>4.188873213329757</v>
      </c>
      <c r="O14" s="69">
        <v>4.188873213329757</v>
      </c>
      <c r="P14" s="69">
        <v>4.188873213329757</v>
      </c>
      <c r="Q14" s="69">
        <v>4.188873213329757</v>
      </c>
      <c r="R14" s="69">
        <v>4.188873213329757</v>
      </c>
      <c r="S14" s="69">
        <v>4.188873213329757</v>
      </c>
      <c r="T14" s="69">
        <v>4.188873213329757</v>
      </c>
      <c r="U14" s="69">
        <v>4.188873213329757</v>
      </c>
      <c r="V14" s="69">
        <v>4.188873213329757</v>
      </c>
      <c r="W14" s="69">
        <v>4.188873213329757</v>
      </c>
      <c r="X14" s="69">
        <v>4.188873213329757</v>
      </c>
      <c r="Y14" s="69">
        <v>4.188873213329757</v>
      </c>
      <c r="Z14" s="69">
        <v>4.188873213329757</v>
      </c>
      <c r="AA14" s="69">
        <v>4.188873213329757</v>
      </c>
      <c r="AB14" s="69">
        <v>4.188873213329757</v>
      </c>
    </row>
    <row r="15" spans="1:1" s="5" customFormat="1" x14ac:dyDescent="0.25">
      <c r="A15" s="5" t="s">
        <v>176</v>
      </c>
    </row>
    <row r="16" spans="1:28" x14ac:dyDescent="0.25">
      <c r="A16" t="s">
        <v>298</v>
      </c>
      <c r="B16" t="s">
        <v>8</v>
      </c>
      <c r="C16" s="70">
        <v>16991.469492670403</v>
      </c>
      <c r="D16" s="70">
        <v>689.2950643473016</v>
      </c>
      <c r="E16" s="70">
        <v>688.5849483352616</v>
      </c>
      <c r="F16" s="70">
        <v>687.8501292081507</v>
      </c>
      <c r="G16" s="70">
        <v>687.0955121815105</v>
      </c>
      <c r="H16" s="70">
        <v>686.3325828822931</v>
      </c>
      <c r="I16" s="70">
        <v>685.5609901099922</v>
      </c>
      <c r="J16" s="70">
        <v>684.7803632808092</v>
      </c>
      <c r="K16" s="70">
        <v>683.9919580982415</v>
      </c>
      <c r="L16" s="70">
        <v>683.1932077977191</v>
      </c>
      <c r="M16" s="70">
        <v>682.3940641736128</v>
      </c>
      <c r="N16" s="70">
        <v>681.5808485928981</v>
      </c>
      <c r="O16" s="70">
        <v>680.7512950727058</v>
      </c>
      <c r="P16" s="70">
        <v>679.9138805520371</v>
      </c>
      <c r="Q16" s="70">
        <v>679.0725175847558</v>
      </c>
      <c r="R16" s="70">
        <v>678.2150696645147</v>
      </c>
      <c r="S16" s="70">
        <v>677.3393006399461</v>
      </c>
      <c r="T16" s="70">
        <v>676.4502936507362</v>
      </c>
      <c r="U16" s="70">
        <v>675.5564442576498</v>
      </c>
      <c r="V16" s="70">
        <v>674.6655814020276</v>
      </c>
      <c r="W16" s="70">
        <v>673.7646918973511</v>
      </c>
      <c r="X16" s="70">
        <v>672.8540757138558</v>
      </c>
      <c r="Y16" s="70">
        <v>671.9363378296755</v>
      </c>
      <c r="Z16" s="70">
        <v>671.0164553281722</v>
      </c>
      <c r="AA16" s="70">
        <v>670.0977052889212</v>
      </c>
      <c r="AB16" s="70">
        <v>669.1761747802639</v>
      </c>
    </row>
    <row r="17" spans="1:28" x14ac:dyDescent="0.25">
      <c r="A17" t="s">
        <v>299</v>
      </c>
      <c r="B17" t="s">
        <v>8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70">
        <v>0</v>
      </c>
    </row>
    <row r="18" spans="1:28" x14ac:dyDescent="0.25">
      <c r="A18" t="s">
        <v>120</v>
      </c>
      <c r="B18" t="s">
        <v>8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  <c r="Z18" s="70">
        <v>0</v>
      </c>
      <c r="AA18" s="70">
        <v>0</v>
      </c>
      <c r="AB18" s="70">
        <v>0</v>
      </c>
    </row>
    <row r="19" spans="1:28" s="14" customFormat="1" x14ac:dyDescent="0.25">
      <c r="A19" s="14" t="s">
        <v>179</v>
      </c>
      <c r="B19" s="14" t="s">
        <v>8</v>
      </c>
      <c r="C19" s="71">
        <v>16991.469492670403</v>
      </c>
      <c r="D19" s="71">
        <v>689.2950643473016</v>
      </c>
      <c r="E19" s="71">
        <v>688.5849483352616</v>
      </c>
      <c r="F19" s="71">
        <v>687.8501292081507</v>
      </c>
      <c r="G19" s="71">
        <v>687.0955121815105</v>
      </c>
      <c r="H19" s="71">
        <v>686.3325828822931</v>
      </c>
      <c r="I19" s="71">
        <v>685.5609901099922</v>
      </c>
      <c r="J19" s="71">
        <v>684.7803632808092</v>
      </c>
      <c r="K19" s="71">
        <v>683.9919580982415</v>
      </c>
      <c r="L19" s="71">
        <v>683.1932077977191</v>
      </c>
      <c r="M19" s="71">
        <v>682.3940641736128</v>
      </c>
      <c r="N19" s="71">
        <v>681.5808485928981</v>
      </c>
      <c r="O19" s="71">
        <v>680.7512950727058</v>
      </c>
      <c r="P19" s="71">
        <v>679.9138805520371</v>
      </c>
      <c r="Q19" s="71">
        <v>679.0725175847558</v>
      </c>
      <c r="R19" s="71">
        <v>678.2150696645147</v>
      </c>
      <c r="S19" s="71">
        <v>677.3393006399461</v>
      </c>
      <c r="T19" s="71">
        <v>676.4502936507362</v>
      </c>
      <c r="U19" s="71">
        <v>675.5564442576498</v>
      </c>
      <c r="V19" s="71">
        <v>674.6655814020276</v>
      </c>
      <c r="W19" s="71">
        <v>673.7646918973511</v>
      </c>
      <c r="X19" s="71">
        <v>672.8540757138558</v>
      </c>
      <c r="Y19" s="71">
        <v>671.9363378296755</v>
      </c>
      <c r="Z19" s="71">
        <v>671.0164553281722</v>
      </c>
      <c r="AA19" s="71">
        <v>670.0977052889212</v>
      </c>
      <c r="AB19" s="71">
        <v>669.1761747802639</v>
      </c>
    </row>
    <row r="20" spans="1:1" s="5" customFormat="1" x14ac:dyDescent="0.25">
      <c r="A20" s="5" t="s">
        <v>180</v>
      </c>
    </row>
    <row r="21" spans="1:28" x14ac:dyDescent="0.25">
      <c r="A21" t="s">
        <v>300</v>
      </c>
      <c r="B21" t="s">
        <v>8</v>
      </c>
      <c r="C21" s="70">
        <v>2491.354558298959</v>
      </c>
      <c r="D21" s="70">
        <v>52.2</v>
      </c>
      <c r="E21" s="70">
        <v>54.81</v>
      </c>
      <c r="F21" s="70">
        <v>57.55050000000001</v>
      </c>
      <c r="G21" s="70">
        <v>60.42802500000001</v>
      </c>
      <c r="H21" s="70">
        <v>63.449426250000016</v>
      </c>
      <c r="I21" s="70">
        <v>66.62189756250002</v>
      </c>
      <c r="J21" s="70">
        <v>69.95299244062502</v>
      </c>
      <c r="K21" s="70">
        <v>73.45064206265627</v>
      </c>
      <c r="L21" s="70">
        <v>77.1231741657891</v>
      </c>
      <c r="M21" s="70">
        <v>80.97933287407855</v>
      </c>
      <c r="N21" s="70">
        <v>85.02829951778247</v>
      </c>
      <c r="O21" s="70">
        <v>89.2797144936716</v>
      </c>
      <c r="P21" s="70">
        <v>93.7437002183552</v>
      </c>
      <c r="Q21" s="70">
        <v>98.43088522927296</v>
      </c>
      <c r="R21" s="70">
        <v>103.35242949073661</v>
      </c>
      <c r="S21" s="70">
        <v>108.52005096527346</v>
      </c>
      <c r="T21" s="70">
        <v>113.94605351353711</v>
      </c>
      <c r="U21" s="70">
        <v>119.64335618921399</v>
      </c>
      <c r="V21" s="70">
        <v>125.62552399867468</v>
      </c>
      <c r="W21" s="70">
        <v>131.90680019860844</v>
      </c>
      <c r="X21" s="70">
        <v>138.50214020853883</v>
      </c>
      <c r="Y21" s="70">
        <v>145.42724721896582</v>
      </c>
      <c r="Z21" s="70">
        <v>152.6986095799141</v>
      </c>
      <c r="AA21" s="70">
        <v>160.33354005890982</v>
      </c>
      <c r="AB21" s="70">
        <v>168.3502170618553</v>
      </c>
    </row>
    <row r="22" spans="1:28" x14ac:dyDescent="0.25">
      <c r="A22" t="s">
        <v>108</v>
      </c>
      <c r="B22" t="s">
        <v>8</v>
      </c>
      <c r="C22" s="70">
        <v>318.37500000000017</v>
      </c>
      <c r="D22" s="70">
        <v>12.735</v>
      </c>
      <c r="E22" s="70">
        <v>12.735</v>
      </c>
      <c r="F22" s="70">
        <v>12.735</v>
      </c>
      <c r="G22" s="70">
        <v>12.735</v>
      </c>
      <c r="H22" s="70">
        <v>12.735</v>
      </c>
      <c r="I22" s="70">
        <v>12.735</v>
      </c>
      <c r="J22" s="70">
        <v>12.735</v>
      </c>
      <c r="K22" s="70">
        <v>12.735</v>
      </c>
      <c r="L22" s="70">
        <v>12.735</v>
      </c>
      <c r="M22" s="70">
        <v>12.735</v>
      </c>
      <c r="N22" s="70">
        <v>12.735</v>
      </c>
      <c r="O22" s="70">
        <v>12.735</v>
      </c>
      <c r="P22" s="70">
        <v>12.735</v>
      </c>
      <c r="Q22" s="70">
        <v>12.735</v>
      </c>
      <c r="R22" s="70">
        <v>12.735</v>
      </c>
      <c r="S22" s="70">
        <v>12.735</v>
      </c>
      <c r="T22" s="70">
        <v>12.735</v>
      </c>
      <c r="U22" s="70">
        <v>12.735</v>
      </c>
      <c r="V22" s="70">
        <v>12.735</v>
      </c>
      <c r="W22" s="70">
        <v>12.735</v>
      </c>
      <c r="X22" s="70">
        <v>12.735</v>
      </c>
      <c r="Y22" s="70">
        <v>12.735</v>
      </c>
      <c r="Z22" s="70">
        <v>12.735</v>
      </c>
      <c r="AA22" s="70">
        <v>12.735</v>
      </c>
      <c r="AB22" s="70">
        <v>12.735</v>
      </c>
    </row>
    <row r="23" spans="1:28" x14ac:dyDescent="0.25">
      <c r="A23" t="s">
        <v>110</v>
      </c>
      <c r="B23" t="s">
        <v>8</v>
      </c>
      <c r="C23" s="70">
        <v>0</v>
      </c>
      <c r="D23" s="70">
        <v>0</v>
      </c>
      <c r="E23" s="70">
        <v>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0</v>
      </c>
      <c r="AA23" s="70">
        <v>0</v>
      </c>
      <c r="AB23" s="70">
        <v>0</v>
      </c>
    </row>
    <row r="24" spans="1:28" s="14" customFormat="1" x14ac:dyDescent="0.25">
      <c r="A24" s="14" t="s">
        <v>181</v>
      </c>
      <c r="B24" s="14" t="s">
        <v>8</v>
      </c>
      <c r="C24" s="71">
        <v>2809.7295582989595</v>
      </c>
      <c r="D24" s="71">
        <v>64.935</v>
      </c>
      <c r="E24" s="71">
        <v>67.545</v>
      </c>
      <c r="F24" s="71">
        <v>70.28550000000001</v>
      </c>
      <c r="G24" s="71">
        <v>73.163025</v>
      </c>
      <c r="H24" s="71">
        <v>76.18442625000002</v>
      </c>
      <c r="I24" s="71">
        <v>79.35689756250002</v>
      </c>
      <c r="J24" s="71">
        <v>82.68799244062502</v>
      </c>
      <c r="K24" s="71">
        <v>86.18564206265627</v>
      </c>
      <c r="L24" s="71">
        <v>89.8581741657891</v>
      </c>
      <c r="M24" s="71">
        <v>93.71433287407855</v>
      </c>
      <c r="N24" s="71">
        <v>97.76329951778247</v>
      </c>
      <c r="O24" s="71">
        <v>102.0147144936716</v>
      </c>
      <c r="P24" s="71">
        <v>106.4787002183552</v>
      </c>
      <c r="Q24" s="71">
        <v>111.16588522927296</v>
      </c>
      <c r="R24" s="71">
        <v>116.08742949073661</v>
      </c>
      <c r="S24" s="71">
        <v>121.25505096527345</v>
      </c>
      <c r="T24" s="71">
        <v>126.68105351353711</v>
      </c>
      <c r="U24" s="71">
        <v>132.378356189214</v>
      </c>
      <c r="V24" s="71">
        <v>138.3605239986747</v>
      </c>
      <c r="W24" s="71">
        <v>144.64180019860845</v>
      </c>
      <c r="X24" s="71">
        <v>151.23714020853885</v>
      </c>
      <c r="Y24" s="71">
        <v>158.16224721896583</v>
      </c>
      <c r="Z24" s="71">
        <v>165.4336095799141</v>
      </c>
      <c r="AA24" s="71">
        <v>173.06854005890983</v>
      </c>
      <c r="AB24" s="71">
        <v>181.0852170618553</v>
      </c>
    </row>
    <row r="25" spans="1:1" s="5" customFormat="1" x14ac:dyDescent="0.25">
      <c r="A25" s="5" t="s">
        <v>197</v>
      </c>
    </row>
    <row r="26" spans="1:28" s="14" customFormat="1" x14ac:dyDescent="0.25">
      <c r="A26" s="14" t="s">
        <v>182</v>
      </c>
      <c r="B26" s="14" t="s">
        <v>8</v>
      </c>
      <c r="C26" s="71">
        <v>14181.739934371444</v>
      </c>
      <c r="D26" s="71">
        <v>624.3600643473017</v>
      </c>
      <c r="E26" s="71">
        <v>621.0399483352617</v>
      </c>
      <c r="F26" s="71">
        <v>617.5646292081508</v>
      </c>
      <c r="G26" s="71">
        <v>613.9324871815104</v>
      </c>
      <c r="H26" s="71">
        <v>610.1481566322931</v>
      </c>
      <c r="I26" s="71">
        <v>606.2040925474921</v>
      </c>
      <c r="J26" s="71">
        <v>602.0923708401841</v>
      </c>
      <c r="K26" s="71">
        <v>597.8063160355853</v>
      </c>
      <c r="L26" s="71">
        <v>593.33503363193</v>
      </c>
      <c r="M26" s="71">
        <v>588.6797312995343</v>
      </c>
      <c r="N26" s="71">
        <v>583.8175490751156</v>
      </c>
      <c r="O26" s="71">
        <v>578.7365805790342</v>
      </c>
      <c r="P26" s="71">
        <v>573.4351803336818</v>
      </c>
      <c r="Q26" s="71">
        <v>567.9066323554829</v>
      </c>
      <c r="R26" s="71">
        <v>562.127640173778</v>
      </c>
      <c r="S26" s="71">
        <v>556.0842496746727</v>
      </c>
      <c r="T26" s="71">
        <v>549.7692401371991</v>
      </c>
      <c r="U26" s="71">
        <v>543.1780880684357</v>
      </c>
      <c r="V26" s="71">
        <v>536.3050574033529</v>
      </c>
      <c r="W26" s="71">
        <v>529.1228916987427</v>
      </c>
      <c r="X26" s="71">
        <v>521.6169355053169</v>
      </c>
      <c r="Y26" s="71">
        <v>513.7740906107097</v>
      </c>
      <c r="Z26" s="71">
        <v>505.58284574825814</v>
      </c>
      <c r="AA26" s="71">
        <v>497.0291652300114</v>
      </c>
      <c r="AB26" s="71">
        <v>488.09095771840856</v>
      </c>
    </row>
    <row r="27" spans="1:28" x14ac:dyDescent="0.25">
      <c r="A27" t="s">
        <v>185</v>
      </c>
      <c r="B27" t="s">
        <v>8</v>
      </c>
      <c r="C27" s="70">
        <v>4252.9771414779025</v>
      </c>
      <c r="D27" s="70">
        <v>160.461</v>
      </c>
      <c r="E27" s="70">
        <v>161.043</v>
      </c>
      <c r="F27" s="70">
        <v>161.6320852173913</v>
      </c>
      <c r="G27" s="70">
        <v>162.2294711810277</v>
      </c>
      <c r="H27" s="70">
        <v>162.83652910788481</v>
      </c>
      <c r="I27" s="70">
        <v>163.45481760638881</v>
      </c>
      <c r="J27" s="70">
        <v>164.08612270486134</v>
      </c>
      <c r="K27" s="70">
        <v>164.73250898068622</v>
      </c>
      <c r="L27" s="70">
        <v>165.39638570868053</v>
      </c>
      <c r="M27" s="70">
        <v>166.08059366146963</v>
      </c>
      <c r="N27" s="70">
        <v>166.78852082328876</v>
      </c>
      <c r="O27" s="70">
        <v>167.5242594093222</v>
      </c>
      <c r="P27" s="70">
        <v>168.2928232553479</v>
      </c>
      <c r="Q27" s="70">
        <v>169.10045576354662</v>
      </c>
      <c r="R27" s="70">
        <v>169.95507779949506</v>
      </c>
      <c r="S27" s="70">
        <v>170.86695951185203</v>
      </c>
      <c r="T27" s="70">
        <v>171.84976535739233</v>
      </c>
      <c r="U27" s="70">
        <v>172.92225223633818</v>
      </c>
      <c r="V27" s="70">
        <v>174.11118054785527</v>
      </c>
      <c r="W27" s="70">
        <v>175.4566510870555</v>
      </c>
      <c r="X27" s="70">
        <v>177.0227787946845</v>
      </c>
      <c r="Y27" s="70">
        <v>178.9217086401847</v>
      </c>
      <c r="Z27" s="70">
        <v>181.37765790703165</v>
      </c>
      <c r="AA27" s="70">
        <v>184.95106409029393</v>
      </c>
      <c r="AB27" s="70">
        <v>191.88347208582272</v>
      </c>
    </row>
    <row r="28" spans="1:28" x14ac:dyDescent="0.25">
      <c r="A28" t="s">
        <v>190</v>
      </c>
      <c r="B28" t="s">
        <v>8</v>
      </c>
      <c r="C28" s="70">
        <v>2246.453999999999</v>
      </c>
      <c r="D28" s="70">
        <v>280.80674999999997</v>
      </c>
      <c r="E28" s="70">
        <v>262.08629999999994</v>
      </c>
      <c r="F28" s="70">
        <v>243.36584999999997</v>
      </c>
      <c r="G28" s="70">
        <v>224.64539999999994</v>
      </c>
      <c r="H28" s="70">
        <v>205.92494999999994</v>
      </c>
      <c r="I28" s="70">
        <v>187.20449999999994</v>
      </c>
      <c r="J28" s="70">
        <v>168.4840499999999</v>
      </c>
      <c r="K28" s="70">
        <v>149.7635999999999</v>
      </c>
      <c r="L28" s="70">
        <v>131.0431499999999</v>
      </c>
      <c r="M28" s="70">
        <v>112.3226999999999</v>
      </c>
      <c r="N28" s="70">
        <v>93.60224999999988</v>
      </c>
      <c r="O28" s="70">
        <v>74.88179999999988</v>
      </c>
      <c r="P28" s="70">
        <v>56.161349999999885</v>
      </c>
      <c r="Q28" s="70">
        <v>37.440899999999885</v>
      </c>
      <c r="R28" s="70">
        <v>18.720449999999886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</row>
    <row r="29" spans="1:28" x14ac:dyDescent="0.25">
      <c r="A29" t="s">
        <v>200</v>
      </c>
      <c r="B29" t="s">
        <v>8</v>
      </c>
      <c r="C29" s="70">
        <v>7682.308792893544</v>
      </c>
      <c r="D29" s="70">
        <v>183.09231434730168</v>
      </c>
      <c r="E29" s="70">
        <v>197.91064833526173</v>
      </c>
      <c r="F29" s="70">
        <v>212.56669399075952</v>
      </c>
      <c r="G29" s="70">
        <v>227.05761600048277</v>
      </c>
      <c r="H29" s="70">
        <v>241.38667752440833</v>
      </c>
      <c r="I29" s="70">
        <v>255.54477494110336</v>
      </c>
      <c r="J29" s="70">
        <v>269.52219813532287</v>
      </c>
      <c r="K29" s="70">
        <v>283.31020705489914</v>
      </c>
      <c r="L29" s="70">
        <v>296.8954979232495</v>
      </c>
      <c r="M29" s="70">
        <v>310.2764376380648</v>
      </c>
      <c r="N29" s="70">
        <v>323.42677825182693</v>
      </c>
      <c r="O29" s="70">
        <v>336.33052116971214</v>
      </c>
      <c r="P29" s="70">
        <v>348.9810070783341</v>
      </c>
      <c r="Q29" s="70">
        <v>361.3652765919364</v>
      </c>
      <c r="R29" s="70">
        <v>373.45211237428305</v>
      </c>
      <c r="S29" s="70">
        <v>385.2172901628207</v>
      </c>
      <c r="T29" s="70">
        <v>377.9194747798067</v>
      </c>
      <c r="U29" s="70">
        <v>370.25583583209755</v>
      </c>
      <c r="V29" s="70">
        <v>362.1938768554976</v>
      </c>
      <c r="W29" s="70">
        <v>353.6662406116872</v>
      </c>
      <c r="X29" s="70">
        <v>344.5941567106323</v>
      </c>
      <c r="Y29" s="70">
        <v>334.85238197052496</v>
      </c>
      <c r="Z29" s="70">
        <v>324.20518784122646</v>
      </c>
      <c r="AA29" s="70">
        <v>312.0781011397175</v>
      </c>
      <c r="AB29" s="70">
        <v>296.2074856325859</v>
      </c>
    </row>
    <row r="30" spans="1:28" x14ac:dyDescent="0.25">
      <c r="A30" t="s">
        <v>141</v>
      </c>
      <c r="B30" t="s">
        <v>8</v>
      </c>
      <c r="C30" s="70">
        <v>4687.78508630136</v>
      </c>
      <c r="D30" s="70">
        <v>1782.9</v>
      </c>
      <c r="E30" s="70">
        <v>1075.3272</v>
      </c>
      <c r="F30" s="70">
        <v>650.615904</v>
      </c>
      <c r="G30" s="70">
        <v>395.62653888</v>
      </c>
      <c r="H30" s="70">
        <v>242.4752099136</v>
      </c>
      <c r="I30" s="70">
        <v>150.43143393619198</v>
      </c>
      <c r="J30" s="70">
        <v>95.05677911010623</v>
      </c>
      <c r="K30" s="70">
        <v>61.68804865200305</v>
      </c>
      <c r="L30" s="70">
        <v>41.52719094156296</v>
      </c>
      <c r="M30" s="70">
        <v>29.295245462788063</v>
      </c>
      <c r="N30" s="70">
        <v>21.824710248587625</v>
      </c>
      <c r="O30" s="70">
        <v>17.214962230939914</v>
      </c>
      <c r="P30" s="70">
        <v>14.325509337897671</v>
      </c>
      <c r="Q30" s="70">
        <v>12.471941642092313</v>
      </c>
      <c r="R30" s="70">
        <v>11.243501943428488</v>
      </c>
      <c r="S30" s="70">
        <v>10.393628015485</v>
      </c>
      <c r="T30" s="70">
        <v>9.774277853236066</v>
      </c>
      <c r="U30" s="70">
        <v>9.296524724568355</v>
      </c>
      <c r="V30" s="70">
        <v>8.906914106988927</v>
      </c>
      <c r="W30" s="70">
        <v>8.573277758273832</v>
      </c>
      <c r="X30" s="70">
        <v>8.276222070222362</v>
      </c>
      <c r="Y30" s="70">
        <v>8.004020994933738</v>
      </c>
      <c r="Z30" s="70">
        <v>7.749551717176553</v>
      </c>
      <c r="AA30" s="70">
        <v>7.508455976915752</v>
      </c>
      <c r="AB30" s="70">
        <v>7.278036784360978</v>
      </c>
    </row>
    <row r="31" spans="1:28" x14ac:dyDescent="0.25">
      <c r="A31" t="s">
        <v>206</v>
      </c>
      <c r="B31" t="s">
        <v>8</v>
      </c>
      <c r="C31" s="70">
        <v>1824.1959634592404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13.330690947962104</v>
      </c>
      <c r="O31" s="70">
        <v>122.48724227821536</v>
      </c>
      <c r="P31" s="70">
        <v>126.59209239463891</v>
      </c>
      <c r="Q31" s="70">
        <v>130.3790371225604</v>
      </c>
      <c r="R31" s="70">
        <v>133.945600327579</v>
      </c>
      <c r="S31" s="70">
        <v>137.35032947161756</v>
      </c>
      <c r="T31" s="70">
        <v>135.91673200687347</v>
      </c>
      <c r="U31" s="70">
        <v>134.3779894936514</v>
      </c>
      <c r="V31" s="70">
        <v>132.7461126676948</v>
      </c>
      <c r="W31" s="70">
        <v>131.02233782881598</v>
      </c>
      <c r="X31" s="70">
        <v>129.20785757161326</v>
      </c>
      <c r="Y31" s="70">
        <v>127.30232652229078</v>
      </c>
      <c r="Z31" s="70">
        <v>125.30464010762323</v>
      </c>
      <c r="AA31" s="70">
        <v>123.21236251900417</v>
      </c>
      <c r="AB31" s="70">
        <v>121.02061219909977</v>
      </c>
    </row>
    <row r="32" spans="1:28" s="14" customFormat="1" x14ac:dyDescent="0.25">
      <c r="A32" s="14" t="s">
        <v>207</v>
      </c>
      <c r="B32" s="14" t="s">
        <v>8</v>
      </c>
      <c r="C32" s="71">
        <v>5858.112829434301</v>
      </c>
      <c r="D32" s="71">
        <v>183.09231434730168</v>
      </c>
      <c r="E32" s="71">
        <v>197.91064833526173</v>
      </c>
      <c r="F32" s="71">
        <v>212.56669399075952</v>
      </c>
      <c r="G32" s="71">
        <v>227.05761600048277</v>
      </c>
      <c r="H32" s="71">
        <v>241.38667752440833</v>
      </c>
      <c r="I32" s="71">
        <v>255.54477494110336</v>
      </c>
      <c r="J32" s="71">
        <v>269.52219813532287</v>
      </c>
      <c r="K32" s="71">
        <v>283.31020705489914</v>
      </c>
      <c r="L32" s="71">
        <v>296.8954979232495</v>
      </c>
      <c r="M32" s="71">
        <v>310.2764376380648</v>
      </c>
      <c r="N32" s="71">
        <v>310.0960873038648</v>
      </c>
      <c r="O32" s="71">
        <v>213.84327889149677</v>
      </c>
      <c r="P32" s="71">
        <v>222.38891468369516</v>
      </c>
      <c r="Q32" s="71">
        <v>230.986239469376</v>
      </c>
      <c r="R32" s="71">
        <v>239.50651204670405</v>
      </c>
      <c r="S32" s="71">
        <v>247.86696069120313</v>
      </c>
      <c r="T32" s="71">
        <v>242.00274277293323</v>
      </c>
      <c r="U32" s="71">
        <v>235.87784633844615</v>
      </c>
      <c r="V32" s="71">
        <v>229.4477641878028</v>
      </c>
      <c r="W32" s="71">
        <v>222.64390278287124</v>
      </c>
      <c r="X32" s="71">
        <v>215.38629913901906</v>
      </c>
      <c r="Y32" s="71">
        <v>207.55005544823416</v>
      </c>
      <c r="Z32" s="71">
        <v>198.90054773360322</v>
      </c>
      <c r="AA32" s="71">
        <v>188.86573862071333</v>
      </c>
      <c r="AB32" s="71">
        <v>175.18687343348608</v>
      </c>
    </row>
    <row r="33" spans="1:1" s="5" customFormat="1" x14ac:dyDescent="0.25">
      <c r="A33" s="5" t="s">
        <v>208</v>
      </c>
    </row>
    <row r="34" spans="1:28" x14ac:dyDescent="0.25">
      <c r="A34" t="s">
        <v>209</v>
      </c>
      <c r="B34" t="s">
        <v>68</v>
      </c>
      <c r="D34" s="70">
        <v>84.98158327569472</v>
      </c>
      <c r="E34" s="70">
        <v>84.89403472626513</v>
      </c>
      <c r="F34" s="70">
        <v>84.80344058730626</v>
      </c>
      <c r="G34" s="70">
        <v>84.71040561141909</v>
      </c>
      <c r="H34" s="70">
        <v>84.61634583480325</v>
      </c>
      <c r="I34" s="70">
        <v>84.52121795876616</v>
      </c>
      <c r="J34" s="70">
        <v>84.42497629489428</v>
      </c>
      <c r="K34" s="70">
        <v>84.32777565594759</v>
      </c>
      <c r="L34" s="70">
        <v>84.22929959149961</v>
      </c>
      <c r="M34" s="70">
        <v>84.13077503510296</v>
      </c>
      <c r="N34" s="70">
        <v>84.03051557994634</v>
      </c>
      <c r="O34" s="70">
        <v>83.9282418582788</v>
      </c>
      <c r="P34" s="70">
        <v>83.82499897216896</v>
      </c>
      <c r="Q34" s="70">
        <v>83.72126929127127</v>
      </c>
      <c r="R34" s="70">
        <v>83.61555653398126</v>
      </c>
      <c r="S34" s="70">
        <v>83.50758501040431</v>
      </c>
      <c r="T34" s="70">
        <v>83.39798140899487</v>
      </c>
      <c r="U34" s="70">
        <v>83.28778079888833</v>
      </c>
      <c r="V34" s="70">
        <v>83.17794839203079</v>
      </c>
      <c r="W34" s="70">
        <v>83.0668798229611</v>
      </c>
      <c r="X34" s="70">
        <v>82.95461207431099</v>
      </c>
      <c r="Y34" s="70">
        <v>82.84146630776821</v>
      </c>
      <c r="Z34" s="70">
        <v>82.72805613635</v>
      </c>
      <c r="AA34" s="70">
        <v>82.61478558356563</v>
      </c>
      <c r="AB34" s="70">
        <v>82.50117223318321</v>
      </c>
    </row>
    <row r="35" spans="1:28" x14ac:dyDescent="0.25">
      <c r="A35" t="s">
        <v>302</v>
      </c>
      <c r="B35" t="s">
        <v>8</v>
      </c>
      <c r="C35" s="70">
        <v>82.50117223318321</v>
      </c>
      <c r="D35" s="70">
        <v>84.98158327569472</v>
      </c>
      <c r="E35" s="70">
        <v>-0.08754854942958445</v>
      </c>
      <c r="F35" s="70">
        <v>-0.09059413895887758</v>
      </c>
      <c r="G35" s="70">
        <v>-0.09303497588716425</v>
      </c>
      <c r="H35" s="70">
        <v>-0.0940597766158362</v>
      </c>
      <c r="I35" s="70">
        <v>-0.09512787603709683</v>
      </c>
      <c r="J35" s="70">
        <v>-0.09624166387187927</v>
      </c>
      <c r="K35" s="70">
        <v>-0.0972006389466884</v>
      </c>
      <c r="L35" s="70">
        <v>-0.09847606444797918</v>
      </c>
      <c r="M35" s="70">
        <v>-0.09852455639665436</v>
      </c>
      <c r="N35" s="70">
        <v>-0.1002594551566176</v>
      </c>
      <c r="O35" s="70">
        <v>-0.10227372166754378</v>
      </c>
      <c r="P35" s="70">
        <v>-0.10324288610983956</v>
      </c>
      <c r="Q35" s="70">
        <v>-0.1037296808976862</v>
      </c>
      <c r="R35" s="70">
        <v>-0.10571275729000718</v>
      </c>
      <c r="S35" s="70">
        <v>-0.10797152357694983</v>
      </c>
      <c r="T35" s="70">
        <v>-0.10960360140944658</v>
      </c>
      <c r="U35" s="70">
        <v>-0.11020061010653137</v>
      </c>
      <c r="V35" s="70">
        <v>-0.10983240685754936</v>
      </c>
      <c r="W35" s="70">
        <v>-0.11106856906968687</v>
      </c>
      <c r="X35" s="70">
        <v>-0.1122677486501118</v>
      </c>
      <c r="Y35" s="70">
        <v>-0.11314576654277175</v>
      </c>
      <c r="Z35" s="70">
        <v>-0.11341017141820942</v>
      </c>
      <c r="AA35" s="70">
        <v>-0.11327055278437115</v>
      </c>
      <c r="AB35" s="70">
        <v>-0.1136133503824226</v>
      </c>
    </row>
    <row r="36" spans="1:28" x14ac:dyDescent="0.25">
      <c r="A36" t="s">
        <v>122</v>
      </c>
      <c r="B36" t="s">
        <v>8</v>
      </c>
      <c r="C36" s="70">
        <v>241.45214147790128</v>
      </c>
      <c r="D36" s="70">
        <v>0</v>
      </c>
      <c r="E36" s="70">
        <v>13.968</v>
      </c>
      <c r="F36" s="70">
        <v>13.548959999999997</v>
      </c>
      <c r="G36" s="70">
        <v>13.142491199999998</v>
      </c>
      <c r="H36" s="70">
        <v>12.748216463999999</v>
      </c>
      <c r="I36" s="70">
        <v>12.365769970079997</v>
      </c>
      <c r="J36" s="70">
        <v>11.994796870977597</v>
      </c>
      <c r="K36" s="70">
        <v>11.634952964848267</v>
      </c>
      <c r="L36" s="70">
        <v>11.28590437590282</v>
      </c>
      <c r="M36" s="70">
        <v>10.947327244625736</v>
      </c>
      <c r="N36" s="70">
        <v>10.618907427286963</v>
      </c>
      <c r="O36" s="70">
        <v>10.300340204468355</v>
      </c>
      <c r="P36" s="70">
        <v>9.991329998334303</v>
      </c>
      <c r="Q36" s="70">
        <v>9.691590098384275</v>
      </c>
      <c r="R36" s="70">
        <v>9.400842395432745</v>
      </c>
      <c r="S36" s="70">
        <v>9.118817123569764</v>
      </c>
      <c r="T36" s="70">
        <v>8.84525260986267</v>
      </c>
      <c r="U36" s="70">
        <v>8.57989503156679</v>
      </c>
      <c r="V36" s="70">
        <v>8.322498180619785</v>
      </c>
      <c r="W36" s="70">
        <v>8.072823235201191</v>
      </c>
      <c r="X36" s="70">
        <v>7.8306385381451555</v>
      </c>
      <c r="Y36" s="70">
        <v>7.5957193820008015</v>
      </c>
      <c r="Z36" s="70">
        <v>7.367847800540778</v>
      </c>
      <c r="AA36" s="70">
        <v>7.146812366524553</v>
      </c>
      <c r="AB36" s="70">
        <v>6.932407995528816</v>
      </c>
    </row>
    <row r="37" spans="1:28" s="14" customFormat="1" x14ac:dyDescent="0.25">
      <c r="A37" s="14" t="s">
        <v>303</v>
      </c>
      <c r="B37" s="14" t="s">
        <v>8</v>
      </c>
      <c r="C37" s="71">
        <v>12033.590657201119</v>
      </c>
      <c r="D37" s="71">
        <v>539.378481071607</v>
      </c>
      <c r="E37" s="71">
        <v>607.1594968846913</v>
      </c>
      <c r="F37" s="71">
        <v>604.1062633471097</v>
      </c>
      <c r="G37" s="71">
        <v>600.8830309573975</v>
      </c>
      <c r="H37" s="71">
        <v>597.4939999449089</v>
      </c>
      <c r="I37" s="71">
        <v>593.9334504534492</v>
      </c>
      <c r="J37" s="71">
        <v>590.1938156330784</v>
      </c>
      <c r="K37" s="71">
        <v>586.2685637096837</v>
      </c>
      <c r="L37" s="71">
        <v>582.147605320475</v>
      </c>
      <c r="M37" s="71">
        <v>577.8309286113052</v>
      </c>
      <c r="N37" s="71">
        <v>559.9682101550231</v>
      </c>
      <c r="O37" s="71">
        <v>446.05127181801805</v>
      </c>
      <c r="P37" s="71">
        <v>436.95500082681843</v>
      </c>
      <c r="Q37" s="71">
        <v>427.93973481543594</v>
      </c>
      <c r="R37" s="71">
        <v>418.8869102080563</v>
      </c>
      <c r="S37" s="71">
        <v>409.72307460306234</v>
      </c>
      <c r="T37" s="71">
        <v>405.1168591218724</v>
      </c>
      <c r="U37" s="71">
        <v>400.3304041533241</v>
      </c>
      <c r="V37" s="71">
        <v>395.34627896189585</v>
      </c>
      <c r="W37" s="71">
        <v>390.1387992037952</v>
      </c>
      <c r="X37" s="71">
        <v>384.6907071442086</v>
      </c>
      <c r="Y37" s="71">
        <v>378.98919047296084</v>
      </c>
      <c r="Z37" s="71">
        <v>373.0237680115123</v>
      </c>
      <c r="AA37" s="71">
        <v>366.7832608972671</v>
      </c>
      <c r="AB37" s="71">
        <v>360.2515508741624</v>
      </c>
    </row>
    <row r="38" spans="1:28" x14ac:dyDescent="0.25">
      <c r="A38" t="s">
        <v>193</v>
      </c>
      <c r="B38" t="s">
        <v>8</v>
      </c>
      <c r="C38" s="70">
        <v>5366.528999999998</v>
      </c>
      <c r="D38" s="70">
        <v>488.81174999999996</v>
      </c>
      <c r="E38" s="70">
        <v>470.09129999999993</v>
      </c>
      <c r="F38" s="70">
        <v>451.37084999999996</v>
      </c>
      <c r="G38" s="70">
        <v>432.65039999999993</v>
      </c>
      <c r="H38" s="70">
        <v>413.92994999999996</v>
      </c>
      <c r="I38" s="70">
        <v>395.20949999999993</v>
      </c>
      <c r="J38" s="70">
        <v>376.4890499999999</v>
      </c>
      <c r="K38" s="70">
        <v>357.7685999999999</v>
      </c>
      <c r="L38" s="70">
        <v>339.0481499999999</v>
      </c>
      <c r="M38" s="70">
        <v>320.3276999999999</v>
      </c>
      <c r="N38" s="70">
        <v>301.6072499999999</v>
      </c>
      <c r="O38" s="70">
        <v>282.8867999999999</v>
      </c>
      <c r="P38" s="70">
        <v>264.16634999999985</v>
      </c>
      <c r="Q38" s="70">
        <v>245.44589999999988</v>
      </c>
      <c r="R38" s="70">
        <v>226.72544999999863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0</v>
      </c>
      <c r="AA38" s="70">
        <v>0</v>
      </c>
      <c r="AB38" s="70">
        <v>0</v>
      </c>
    </row>
    <row r="39" spans="1:28" s="14" customFormat="1" x14ac:dyDescent="0.25">
      <c r="A39" s="14" t="s">
        <v>304</v>
      </c>
      <c r="B39" s="14" t="s">
        <v>8</v>
      </c>
      <c r="C39" s="71">
        <v>7195.2878294343045</v>
      </c>
      <c r="D39" s="71">
        <v>50.56673107160702</v>
      </c>
      <c r="E39" s="71">
        <v>137.06819688469136</v>
      </c>
      <c r="F39" s="71">
        <v>152.73541334710973</v>
      </c>
      <c r="G39" s="71">
        <v>168.2326309573976</v>
      </c>
      <c r="H39" s="71">
        <v>183.5640499449089</v>
      </c>
      <c r="I39" s="71">
        <v>198.72395045344922</v>
      </c>
      <c r="J39" s="71">
        <v>213.70476563307852</v>
      </c>
      <c r="K39" s="71">
        <v>228.4999637096838</v>
      </c>
      <c r="L39" s="71">
        <v>243.0994553204751</v>
      </c>
      <c r="M39" s="71">
        <v>257.50322861130536</v>
      </c>
      <c r="N39" s="71">
        <v>258.36096015502324</v>
      </c>
      <c r="O39" s="71">
        <v>163.16447181801817</v>
      </c>
      <c r="P39" s="71">
        <v>172.78865082681858</v>
      </c>
      <c r="Q39" s="71">
        <v>182.49383481543606</v>
      </c>
      <c r="R39" s="71">
        <v>192.16146020805766</v>
      </c>
      <c r="S39" s="71">
        <v>409.72307460306234</v>
      </c>
      <c r="T39" s="71">
        <v>405.1168591218724</v>
      </c>
      <c r="U39" s="71">
        <v>400.3304041533241</v>
      </c>
      <c r="V39" s="71">
        <v>395.34627896189585</v>
      </c>
      <c r="W39" s="71">
        <v>390.1387992037952</v>
      </c>
      <c r="X39" s="71">
        <v>384.6907071442086</v>
      </c>
      <c r="Y39" s="71">
        <v>378.98919047296084</v>
      </c>
      <c r="Z39" s="71">
        <v>373.0237680115123</v>
      </c>
      <c r="AA39" s="71">
        <v>366.7832608972671</v>
      </c>
      <c r="AB39" s="71">
        <v>888.4777231073456</v>
      </c>
    </row>
    <row r="40" spans="1:28" x14ac:dyDescent="0.25">
      <c r="A40" t="s">
        <v>217</v>
      </c>
      <c r="B40" t="s">
        <v>68</v>
      </c>
      <c r="D40" s="70">
        <v>-1286.608268928393</v>
      </c>
      <c r="E40" s="70">
        <v>-1149.5400720437017</v>
      </c>
      <c r="F40" s="70">
        <v>-996.804658696592</v>
      </c>
      <c r="G40" s="70">
        <v>-828.5720277391945</v>
      </c>
      <c r="H40" s="70">
        <v>-645.0079777942856</v>
      </c>
      <c r="I40" s="70">
        <v>-446.28402734083636</v>
      </c>
      <c r="J40" s="70">
        <v>-232.57926170775784</v>
      </c>
      <c r="K40" s="70">
        <v>-4.079297998074026</v>
      </c>
      <c r="L40" s="70">
        <v>239.02015732240108</v>
      </c>
      <c r="M40" s="70">
        <v>496.52338593370644</v>
      </c>
      <c r="N40" s="70">
        <v>754.8843460887297</v>
      </c>
      <c r="O40" s="70">
        <v>918.0488179067479</v>
      </c>
      <c r="P40" s="70">
        <v>1090.8374687335665</v>
      </c>
      <c r="Q40" s="70">
        <v>1273.3313035490025</v>
      </c>
      <c r="R40" s="70">
        <v>1465.4927637570602</v>
      </c>
      <c r="S40" s="70">
        <v>1875.2158383601225</v>
      </c>
      <c r="T40" s="70">
        <v>2280.3326974819947</v>
      </c>
      <c r="U40" s="70">
        <v>2680.663101635319</v>
      </c>
      <c r="V40" s="70">
        <v>3076.0093805972147</v>
      </c>
      <c r="W40" s="70">
        <v>3466.14817980101</v>
      </c>
      <c r="X40" s="70">
        <v>3850.8388869452187</v>
      </c>
      <c r="Y40" s="70">
        <v>4229.828077418179</v>
      </c>
      <c r="Z40" s="70">
        <v>4602.851845429692</v>
      </c>
      <c r="AA40" s="70">
        <v>4969.6351063269585</v>
      </c>
      <c r="AB40" s="70">
        <v>5858.112829434304</v>
      </c>
    </row>
    <row r="41" spans="1:28" x14ac:dyDescent="0.25">
      <c r="A41" t="s">
        <v>305</v>
      </c>
      <c r="B41" t="s">
        <v>8</v>
      </c>
      <c r="C41" s="70">
        <v>11582.116748721395</v>
      </c>
      <c r="D41" s="70">
        <v>539.378481071607</v>
      </c>
      <c r="E41" s="70">
        <v>607.1594968846913</v>
      </c>
      <c r="F41" s="70">
        <v>604.1062633471097</v>
      </c>
      <c r="G41" s="70">
        <v>545.9354237699074</v>
      </c>
      <c r="H41" s="70">
        <v>504.9507192558139</v>
      </c>
      <c r="I41" s="70">
        <v>479.215472280985</v>
      </c>
      <c r="J41" s="70">
        <v>462.5729571946178</v>
      </c>
      <c r="K41" s="70">
        <v>451.3275958092361</v>
      </c>
      <c r="L41" s="70">
        <v>443.25757131530975</v>
      </c>
      <c r="M41" s="70">
        <v>437.03385352619625</v>
      </c>
      <c r="N41" s="70">
        <v>431.84530357034816</v>
      </c>
      <c r="O41" s="70">
        <v>427.2035227580181</v>
      </c>
      <c r="P41" s="70">
        <v>422.8191890318185</v>
      </c>
      <c r="Q41" s="70">
        <v>418.5158602854359</v>
      </c>
      <c r="R41" s="70">
        <v>414.17497294305633</v>
      </c>
      <c r="S41" s="70">
        <v>409.72307460306234</v>
      </c>
      <c r="T41" s="70">
        <v>405.1168591218724</v>
      </c>
      <c r="U41" s="70">
        <v>400.3304041533241</v>
      </c>
      <c r="V41" s="70">
        <v>395.34627896189585</v>
      </c>
      <c r="W41" s="70">
        <v>390.1387992037952</v>
      </c>
      <c r="X41" s="70">
        <v>384.6907071442086</v>
      </c>
      <c r="Y41" s="70">
        <v>378.98919047296084</v>
      </c>
      <c r="Z41" s="70">
        <v>373.0237680115123</v>
      </c>
      <c r="AA41" s="70">
        <v>366.7832608972671</v>
      </c>
      <c r="AB41" s="70">
        <v>888.4777231073456</v>
      </c>
    </row>
    <row r="42" spans="1:1" s="5" customFormat="1" x14ac:dyDescent="0.25">
      <c r="A42" s="5" t="s">
        <v>76</v>
      </c>
    </row>
    <row r="43" spans="1:28" x14ac:dyDescent="0.25">
      <c r="A43" t="s">
        <v>189</v>
      </c>
      <c r="B43" t="s">
        <v>68</v>
      </c>
      <c r="D43" s="70">
        <v>3120.075</v>
      </c>
      <c r="E43" s="70">
        <v>2912.0699999999997</v>
      </c>
      <c r="F43" s="70">
        <v>2704.0649999999996</v>
      </c>
      <c r="G43" s="70">
        <v>2496.0599999999995</v>
      </c>
      <c r="H43" s="70">
        <v>2288.0549999999994</v>
      </c>
      <c r="I43" s="70">
        <v>2080.0499999999993</v>
      </c>
      <c r="J43" s="70">
        <v>1872.0449999999992</v>
      </c>
      <c r="K43" s="70">
        <v>1664.039999999999</v>
      </c>
      <c r="L43" s="70">
        <v>1456.034999999999</v>
      </c>
      <c r="M43" s="70">
        <v>1248.0299999999988</v>
      </c>
      <c r="N43" s="70">
        <v>1040.0249999999987</v>
      </c>
      <c r="O43" s="70">
        <v>832.0199999999987</v>
      </c>
      <c r="P43" s="70">
        <v>624.0149999999987</v>
      </c>
      <c r="Q43" s="70">
        <v>416.00999999999874</v>
      </c>
      <c r="R43" s="70">
        <v>208.00499999999874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</row>
    <row r="44" spans="1:28" x14ac:dyDescent="0.25">
      <c r="A44" t="s">
        <v>190</v>
      </c>
      <c r="B44" t="s">
        <v>8</v>
      </c>
      <c r="C44" s="70">
        <v>2246.453999999999</v>
      </c>
      <c r="D44" s="70">
        <v>280.80674999999997</v>
      </c>
      <c r="E44" s="70">
        <v>262.08629999999994</v>
      </c>
      <c r="F44" s="70">
        <v>243.36584999999997</v>
      </c>
      <c r="G44" s="70">
        <v>224.64539999999994</v>
      </c>
      <c r="H44" s="70">
        <v>205.92494999999994</v>
      </c>
      <c r="I44" s="70">
        <v>187.20449999999994</v>
      </c>
      <c r="J44" s="70">
        <v>168.4840499999999</v>
      </c>
      <c r="K44" s="70">
        <v>149.7635999999999</v>
      </c>
      <c r="L44" s="70">
        <v>131.0431499999999</v>
      </c>
      <c r="M44" s="70">
        <v>112.3226999999999</v>
      </c>
      <c r="N44" s="70">
        <v>93.60224999999988</v>
      </c>
      <c r="O44" s="70">
        <v>74.88179999999988</v>
      </c>
      <c r="P44" s="70">
        <v>56.161349999999885</v>
      </c>
      <c r="Q44" s="70">
        <v>37.440899999999885</v>
      </c>
      <c r="R44" s="70">
        <v>18.720449999999886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</row>
    <row r="45" spans="1:28" x14ac:dyDescent="0.25">
      <c r="A45" t="s">
        <v>191</v>
      </c>
      <c r="B45" t="s">
        <v>8</v>
      </c>
      <c r="C45" s="70">
        <v>3120.075</v>
      </c>
      <c r="D45" s="70">
        <v>208.005</v>
      </c>
      <c r="E45" s="70">
        <v>208.005</v>
      </c>
      <c r="F45" s="70">
        <v>208.005</v>
      </c>
      <c r="G45" s="70">
        <v>208.005</v>
      </c>
      <c r="H45" s="70">
        <v>208.005</v>
      </c>
      <c r="I45" s="70">
        <v>208.005</v>
      </c>
      <c r="J45" s="70">
        <v>208.005</v>
      </c>
      <c r="K45" s="70">
        <v>208.005</v>
      </c>
      <c r="L45" s="70">
        <v>208.005</v>
      </c>
      <c r="M45" s="70">
        <v>208.005</v>
      </c>
      <c r="N45" s="70">
        <v>208.005</v>
      </c>
      <c r="O45" s="70">
        <v>208.005</v>
      </c>
      <c r="P45" s="70">
        <v>208.005</v>
      </c>
      <c r="Q45" s="70">
        <v>208.005</v>
      </c>
      <c r="R45" s="70">
        <v>208.00499999999874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</row>
    <row r="46" spans="1:28" x14ac:dyDescent="0.25">
      <c r="A46" t="s">
        <v>192</v>
      </c>
      <c r="B46" t="s">
        <v>68</v>
      </c>
      <c r="D46" s="70">
        <v>2912.0699999999997</v>
      </c>
      <c r="E46" s="70">
        <v>2704.0649999999996</v>
      </c>
      <c r="F46" s="70">
        <v>2496.0599999999995</v>
      </c>
      <c r="G46" s="70">
        <v>2288.0549999999994</v>
      </c>
      <c r="H46" s="70">
        <v>2080.0499999999993</v>
      </c>
      <c r="I46" s="70">
        <v>1872.0449999999992</v>
      </c>
      <c r="J46" s="70">
        <v>1664.039999999999</v>
      </c>
      <c r="K46" s="70">
        <v>1456.034999999999</v>
      </c>
      <c r="L46" s="70">
        <v>1248.0299999999988</v>
      </c>
      <c r="M46" s="70">
        <v>1040.0249999999987</v>
      </c>
      <c r="N46" s="70">
        <v>832.0199999999987</v>
      </c>
      <c r="O46" s="70">
        <v>624.0149999999987</v>
      </c>
      <c r="P46" s="70">
        <v>416.00999999999874</v>
      </c>
      <c r="Q46" s="70">
        <v>208.00499999999874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70">
        <v>0</v>
      </c>
      <c r="AB46" s="70">
        <v>0</v>
      </c>
    </row>
    <row r="47" spans="1:28" x14ac:dyDescent="0.25">
      <c r="A47" t="s">
        <v>213</v>
      </c>
      <c r="B47" t="s">
        <v>70</v>
      </c>
      <c r="D47" s="72">
        <v>1.1034482724108146</v>
      </c>
      <c r="E47" s="72">
        <v>1.2915778209141318</v>
      </c>
      <c r="F47" s="72">
        <v>1.3383812077078299</v>
      </c>
      <c r="G47" s="72">
        <v>1.3888419632973819</v>
      </c>
      <c r="H47" s="72">
        <v>1.44346646079828</v>
      </c>
      <c r="I47" s="72">
        <v>1.502831916878135</v>
      </c>
      <c r="J47" s="72">
        <v>1.5676254478930491</v>
      </c>
      <c r="K47" s="72">
        <v>1.6386808783936988</v>
      </c>
      <c r="L47" s="72">
        <v>1.717005697628715</v>
      </c>
      <c r="M47" s="72">
        <v>1.8038743718114465</v>
      </c>
      <c r="N47" s="72">
        <v>1.8566138915925374</v>
      </c>
      <c r="O47" s="72">
        <v>1.5767836173975536</v>
      </c>
      <c r="P47" s="72">
        <v>1.6540903140268193</v>
      </c>
      <c r="Q47" s="72">
        <v>1.7435195895121334</v>
      </c>
      <c r="R47" s="72">
        <v>1.8475513455064654</v>
      </c>
    </row>
    <row r="49" spans="1:1" s="5" customFormat="1" x14ac:dyDescent="0.25">
      <c r="A49" s="5" t="s">
        <v>306</v>
      </c>
    </row>
    <row r="50" spans="1:28" s="65" customFormat="1" x14ac:dyDescent="0.25">
      <c r="A50" s="65" t="s">
        <v>208</v>
      </c>
      <c r="B50" s="65" t="s">
        <v>56</v>
      </c>
      <c r="C50" s="65" t="s">
        <v>58</v>
      </c>
      <c r="D50" s="65" t="s">
        <v>267</v>
      </c>
      <c r="E50" s="65" t="s">
        <v>268</v>
      </c>
      <c r="F50" s="65" t="s">
        <v>269</v>
      </c>
      <c r="G50" s="65" t="s">
        <v>270</v>
      </c>
      <c r="H50" s="65" t="s">
        <v>271</v>
      </c>
      <c r="I50" s="65" t="s">
        <v>272</v>
      </c>
      <c r="J50" s="65" t="s">
        <v>273</v>
      </c>
      <c r="K50" s="65" t="s">
        <v>274</v>
      </c>
      <c r="L50" s="65" t="s">
        <v>275</v>
      </c>
      <c r="M50" s="65" t="s">
        <v>276</v>
      </c>
      <c r="N50" s="65" t="s">
        <v>277</v>
      </c>
      <c r="O50" s="65" t="s">
        <v>278</v>
      </c>
      <c r="P50" s="65" t="s">
        <v>279</v>
      </c>
      <c r="Q50" s="65" t="s">
        <v>280</v>
      </c>
      <c r="R50" s="65" t="s">
        <v>281</v>
      </c>
      <c r="S50" s="65" t="s">
        <v>282</v>
      </c>
      <c r="T50" s="65" t="s">
        <v>283</v>
      </c>
      <c r="U50" s="65" t="s">
        <v>284</v>
      </c>
      <c r="V50" s="65" t="s">
        <v>285</v>
      </c>
      <c r="W50" s="65" t="s">
        <v>286</v>
      </c>
      <c r="X50" s="65" t="s">
        <v>287</v>
      </c>
      <c r="Y50" s="65" t="s">
        <v>288</v>
      </c>
      <c r="Z50" s="65" t="s">
        <v>289</v>
      </c>
      <c r="AA50" s="65" t="s">
        <v>290</v>
      </c>
      <c r="AB50" s="65" t="s">
        <v>291</v>
      </c>
    </row>
    <row r="51" spans="1:28" x14ac:dyDescent="0.25">
      <c r="A51" t="s">
        <v>307</v>
      </c>
      <c r="B51" t="s">
        <v>68</v>
      </c>
      <c r="C51" s="70">
        <v>-1337.1750000000002</v>
      </c>
      <c r="D51" s="70">
        <v>50.56673107160702</v>
      </c>
      <c r="E51" s="70">
        <v>137.06819688469136</v>
      </c>
      <c r="F51" s="70">
        <v>152.73541334710973</v>
      </c>
      <c r="G51" s="70">
        <v>168.2326309573976</v>
      </c>
      <c r="H51" s="70">
        <v>183.5640499449089</v>
      </c>
      <c r="I51" s="70">
        <v>198.72395045344922</v>
      </c>
      <c r="J51" s="70">
        <v>213.70476563307852</v>
      </c>
      <c r="K51" s="70">
        <v>228.4999637096838</v>
      </c>
      <c r="L51" s="70">
        <v>243.0994553204751</v>
      </c>
      <c r="M51" s="70">
        <v>257.50322861130536</v>
      </c>
      <c r="N51" s="70">
        <v>258.36096015502324</v>
      </c>
      <c r="O51" s="70">
        <v>163.16447181801817</v>
      </c>
      <c r="P51" s="70">
        <v>172.78865082681858</v>
      </c>
      <c r="Q51" s="70">
        <v>182.49383481543606</v>
      </c>
      <c r="R51" s="70">
        <v>192.16146020805766</v>
      </c>
      <c r="S51" s="70">
        <v>409.72307460306234</v>
      </c>
      <c r="T51" s="70">
        <v>405.1168591218724</v>
      </c>
      <c r="U51" s="70">
        <v>400.3304041533241</v>
      </c>
      <c r="V51" s="70">
        <v>395.34627896189585</v>
      </c>
      <c r="W51" s="70">
        <v>390.1387992037952</v>
      </c>
      <c r="X51" s="70">
        <v>384.6907071442086</v>
      </c>
      <c r="Y51" s="70">
        <v>378.98919047296084</v>
      </c>
      <c r="Z51" s="70">
        <v>373.0237680115123</v>
      </c>
      <c r="AA51" s="70">
        <v>366.7832608972671</v>
      </c>
      <c r="AB51" s="70">
        <v>888.4777231073456</v>
      </c>
    </row>
    <row r="52" spans="1:28" x14ac:dyDescent="0.25">
      <c r="A52" t="s">
        <v>305</v>
      </c>
      <c r="B52" t="s">
        <v>68</v>
      </c>
      <c r="C52" s="70">
        <v>-4457.25</v>
      </c>
      <c r="D52" s="70">
        <v>539.378481071607</v>
      </c>
      <c r="E52" s="70">
        <v>607.1594968846913</v>
      </c>
      <c r="F52" s="70">
        <v>604.1062633471097</v>
      </c>
      <c r="G52" s="70">
        <v>545.9354237699074</v>
      </c>
      <c r="H52" s="70">
        <v>504.9507192558139</v>
      </c>
      <c r="I52" s="70">
        <v>479.215472280985</v>
      </c>
      <c r="J52" s="70">
        <v>462.5729571946178</v>
      </c>
      <c r="K52" s="70">
        <v>451.3275958092361</v>
      </c>
      <c r="L52" s="70">
        <v>443.25757131530975</v>
      </c>
      <c r="M52" s="70">
        <v>437.03385352619625</v>
      </c>
      <c r="N52" s="70">
        <v>431.84530357034816</v>
      </c>
      <c r="O52" s="70">
        <v>427.2035227580181</v>
      </c>
      <c r="P52" s="70">
        <v>422.8191890318185</v>
      </c>
      <c r="Q52" s="70">
        <v>418.5158602854359</v>
      </c>
      <c r="R52" s="70">
        <v>414.17497294305633</v>
      </c>
      <c r="S52" s="70">
        <v>409.72307460306234</v>
      </c>
      <c r="T52" s="70">
        <v>405.1168591218724</v>
      </c>
      <c r="U52" s="70">
        <v>400.3304041533241</v>
      </c>
      <c r="V52" s="70">
        <v>395.34627896189585</v>
      </c>
      <c r="W52" s="70">
        <v>390.1387992037952</v>
      </c>
      <c r="X52" s="70">
        <v>384.6907071442086</v>
      </c>
      <c r="Y52" s="70">
        <v>378.98919047296084</v>
      </c>
      <c r="Z52" s="70">
        <v>373.0237680115123</v>
      </c>
      <c r="AA52" s="70">
        <v>366.7832608972671</v>
      </c>
      <c r="AB52" s="70">
        <v>888.4777231073456</v>
      </c>
    </row>
    <row r="53" spans="1:3" x14ac:dyDescent="0.25">
      <c r="A53" t="s">
        <v>7</v>
      </c>
      <c r="B53" s="7">
        <v>0.14000000051571984</v>
      </c>
      <c r="C53" t="s">
        <v>8</v>
      </c>
    </row>
    <row r="54" spans="1:3" x14ac:dyDescent="0.25">
      <c r="A54" t="s">
        <v>9</v>
      </c>
      <c r="B54" s="7">
        <v>0.09977134985500014</v>
      </c>
      <c r="C54" t="s">
        <v>8</v>
      </c>
    </row>
    <row r="55" spans="1:3" x14ac:dyDescent="0.25">
      <c r="A55" t="s">
        <v>10</v>
      </c>
      <c r="B55" s="8">
        <v>0.000002561825425573261</v>
      </c>
      <c r="C55" t="s">
        <v>8</v>
      </c>
    </row>
    <row r="56" spans="1:3" x14ac:dyDescent="0.25">
      <c r="A56" t="s">
        <v>11</v>
      </c>
      <c r="B56" s="9">
        <v>1.1034482724108146</v>
      </c>
      <c r="C56" t="s">
        <v>8</v>
      </c>
    </row>
    <row r="57" spans="1:3" x14ac:dyDescent="0.25">
      <c r="A57" t="s">
        <v>12</v>
      </c>
      <c r="B57" s="9">
        <v>1.564952853051266</v>
      </c>
      <c r="C57" t="s">
        <v>8</v>
      </c>
    </row>
    <row r="58" spans="1:3" x14ac:dyDescent="0.25">
      <c r="A58" t="s">
        <v>13</v>
      </c>
      <c r="B58" s="10">
        <v>9</v>
      </c>
      <c r="C5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Live model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Round the clock</dc:creator>
  <dc:title/>
  <dc:subject/>
  <dc:description/>
  <cp:keywords/>
  <cp:category/>
  <cp:lastModifiedBy>Unknown</cp:lastModifiedBy>
  <dcterms:created xsi:type="dcterms:W3CDTF">2026-10-24T16:57:34Z</dcterms:created>
  <dcterms:modified xsi:type="dcterms:W3CDTF">2026-10-24T16:57:34Z</dcterms:modified>
</cp:coreProperties>
</file>