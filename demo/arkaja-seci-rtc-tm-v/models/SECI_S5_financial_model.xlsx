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<sst xmlns="http://schemas.openxmlformats.org/spreadsheetml/2006/main" count="933" uniqueCount="356">
  <si>
    <t>SECI RTC-TM · bid financial model</t>
  </si>
  <si>
    <t>SECI/C&amp;P/IPP/13/0020/25-26 · 500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</si>
  <si>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</si>
  <si>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</si>
  <si>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</si>
  <si>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</si>
  <si>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</si>
  <si>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</si>
  <si>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</si>
  <si>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</si>
  <si>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</si>
  <si>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</si>
  <si>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</si>
  <si>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</si>
  <si>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</si>
  <si>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₹30.93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</si>
  <si>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</si>
  <si>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</si>
  <si>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</si>
  <si>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</si>
  <si>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</si>
  <si>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</si>
  <si>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</si>
  <si>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89.0%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</si>
  <si>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</si>
  <si>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</si>
  <si>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</si>
  <si>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</si>
  <si>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</si>
  <si>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</si>
  <si>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</si>
  <si>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</si>
  <si>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</si>
  <si>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</si>
  <si>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</si>
  <si>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</si>
  <si>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</si>
  <si>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</si>
  <si>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</si>
  <si>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4 ₹ cr/MW · O&amp;M 4 ₹ lakh/MW/yr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</si>
  <si>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</si>
  <si>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</si>
  <si>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</si>
  <si>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</si>
  <si>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</si>
  <si>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</si>
  <si>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</si>
  <si>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</si>
  <si>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</si>
  <si>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</si>
  <si>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</si>
  <si>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</si>
  <si>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</si>
  <si>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</si>
  <si>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</si>
  <si>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</si>
  <si>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</si>
  <si>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</si>
  <si>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</si>
  <si>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</si>
  <si>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</si>
  <si>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</si>
  <si>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</si>
  <si>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</si>
  <si>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</si>
  <si>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</si>
  <si>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</si>
  <si>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</si>
  <si>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</si>
  <si>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</si>
  <si>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</si>
  <si>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</si>
  <si>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</si>
  <si>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</si>
  <si>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</si>
  <si>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</si>
  <si>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</si>
  <si>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</si>
  <si>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</si>
  <si>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</si>
  <si>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</si>
  <si>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</si>
  <si>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</si>
  <si>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</si>
  <si>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</si>
  <si>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</si>
  <si>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</si>
  <si>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</si>
  <si>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</si>
  <si>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</si>
  <si>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</si>
  <si>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</si>
  <si>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</si>
  <si>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</si>
  <si>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</si>
  <si>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</si>
  <si>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</si>
  <si>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</si>
  <si>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</si>
  <si>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</si>
  <si>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</si>
  <si>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</si>
  <si>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</si>
  <si>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</si>
  <si>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</si>
  <si>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</si>
  <si>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</si>
  <si>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</si>
  <si>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</si>
  <si>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</si>
  <si>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</si>
  <si>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</si>
  <si>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</si>
  <si>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</si>
  <si>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</si>
  <si>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</si>
  <si>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</si>
  <si>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</si>
  <si>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</si>
  <si>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</si>
  <si>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</si>
  <si>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</si>
  <si>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</si>
  <si>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</si>
  <si>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</si>
  <si>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</si>
  <si>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</si>
  <si>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</si>
  <si>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</si>
  <si>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</si>
  <si>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</si>
  <si>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</si>
  <si>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</si>
  <si>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</si>
  <si>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</si>
  <si>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</si>
  <si>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</si>
  <si>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</si>
  <si>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</si>
  <si>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</si>
  <si>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</si>
  <si>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</si>
  <si>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</si>
  <si>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</si>
  <si>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</si>
  <si>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</si>
  <si>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</si>
  <si>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</si>
  <si>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</si>
  <si>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</si>
  <si>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</si>
  <si>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</si>
  <si>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</si>
  <si>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</si>
  <si>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</si>
  <si>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</si>
  <si>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</si>
  <si>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</si>
  <si>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</si>
  <si>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</si>
  <si>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</si>
  <si>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</si>
  <si>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</si>
  <si>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</si>
  <si>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</si>
  <si>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</si>
  <si>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</si>
  <si>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</si>
  <si>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</si>
  <si>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</si>
  <si>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</si>
  <si>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</si>
  <si>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</si>
  <si>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</si>
  <si>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</si>
  <si>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</si>
  <si>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</si>
  <si>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</si>
  <si>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</si>
  <si>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</si>
  <si>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</si>
  <si>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</si>
  <si>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</si>
  <si>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</si>
  <si>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</si>
  <si>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</si>
  <si>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</si>
  <si>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</si>
  <si>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</si>
  <si>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</si>
  <si>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</si>
  <si>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</si>
  <si>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</si>
  <si>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</si>
  <si>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</si>
  <si>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</si>
  <si>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</si>
  <si>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</si>
  <si>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</si>
  <si>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</si>
  <si>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</si>
  <si>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</si>
  <si>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</si>
  <si>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</si>
  <si>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</si>
  <si>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</si>
  <si>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</si>
  <si>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</si>
  <si>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</si>
  <si>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</si>
  <si>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</si>
  <si>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</si>
  <si>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</si>
  <si>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</si>
  <si>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</si>
  <si>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</si>
  <si>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</si>
  <si>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</si>
  <si>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</si>
  <si>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</si>
  <si>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</si>
  <si>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</si>
  <si>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</si>
  <si>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</si>
  <si>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</si>
  <si>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</si>
  <si>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</si>
  <si>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</si>
  <si>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</si>
  <si>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</si>
  <si>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</si>
  <si>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</si>
  <si>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</si>
  <si>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</si>
  <si>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</si>
  <si>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</si>
  <si>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</si>
  <si>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</si>
  <si>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</si>
  <si>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</si>
  <si>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</si>
  <si>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</si>
  <si>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</si>
  <si>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</si>
  <si>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</si>
  <si>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</si>
  <si>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</si>
  <si>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</si>
  <si>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</si>
  <si>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</si>
  <si>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</si>
  <si>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</si>
  <si>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</si>
  <si>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</si>
  <si>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</si>
  <si>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</si>
  <si>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</si>
  <si>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</si>
  <si>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</si>
  <si>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</si>
  <si>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500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</si>
  <si>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</si>
  <si>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</si>
  <si>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</si>
  <si>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</si>
  <si>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84.3% of the hours at the floor; 267.12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</si>
  <si>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</si>
  <si>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</si>
  <si>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</si>
  <si>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</si>
  <si>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99.0% of the hours at the floor; 2.07 MU short in the worst modelled year</t>
  </si>
  <si>
    <t>Peak hours</t>
  </si>
  <si>
    <t>Any 6 of the 16 hours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</si>
  <si>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</si>
  <si>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</si>
  <si>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</si>
  <si>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</si>
  <si>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</si>
  <si>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1,054 MW / 4,216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</si>
  <si>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</si>
  <si>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</si>
  <si>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</si>
  <si>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</si>
  <si>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</si>
  <si>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</si>
  <si>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</si>
  <si>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₹6.863/kWh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</si>
  <si>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</si>
  <si>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</si>
  <si>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</si>
  <si>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</si>
  <si>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</si>
  <si>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</si>
  <si>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</si>
  <si>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</si>
  <si>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</si>
  <si>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</si>
  <si>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</si>
  <si>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</si>
  <si>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</si>
  <si>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Annual degradation</t>
  </si>
  <si>
    <t>Capex</t>
  </si>
  <si>
    <t>O&amp;M</t>
  </si>
  <si>
    <t>CUF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</si>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</sst>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6.862973373281052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0.09960296833771282</v>
      </c>
      <c r="C12" t="s">
        <v>8</v>
      </c>
    </row>
    <row r="13" spans="1:3" x14ac:dyDescent="0.25">
      <c r="A13" t="s">
        <v>10</v>
      </c>
      <c r="B13" s="8">
        <f>'Live model'!$C$13</f>
        <v>7.389644451905042e-13</v>
      </c>
      <c r="C13" t="s">
        <v>8</v>
      </c>
    </row>
    <row r="14" spans="1:3" x14ac:dyDescent="0.25">
      <c r="A14" t="s">
        <v>11</v>
      </c>
      <c r="B14" s="9">
        <f>'Live model'!$C$15</f>
        <v>1.1346102119101058</v>
      </c>
      <c r="C14" t="s">
        <v>8</v>
      </c>
    </row>
    <row r="15" spans="1:3" x14ac:dyDescent="0.25">
      <c r="A15" t="s">
        <v>12</v>
      </c>
      <c r="B15" s="9">
        <f>'Live model'!$C$16</f>
        <v>1.557563401551449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15467.429834361175</v>
      </c>
      <c r="C17" t="s">
        <v>15</v>
      </c>
    </row>
    <row r="18" spans="1:3" x14ac:dyDescent="0.25">
      <c r="A18" t="s">
        <v>16</v>
      </c>
      <c r="B18" s="8">
        <f>'Live model'!$C$21</f>
        <v>10827.200884052821</v>
      </c>
      <c r="C18" t="s">
        <v>8</v>
      </c>
    </row>
    <row r="19" spans="1:3" x14ac:dyDescent="0.25">
      <c r="A19" t="s">
        <v>17</v>
      </c>
      <c r="B19" s="8">
        <f>'Live model'!$C$22</f>
        <v>4640.228950308354</v>
      </c>
      <c r="C19" t="s">
        <v>8</v>
      </c>
    </row>
    <row r="20" spans="1:3" x14ac:dyDescent="0.25">
      <c r="A20" t="s">
        <v>18</v>
      </c>
      <c r="B20" s="6">
        <f>'Live model'!$C$17</f>
        <v>5.405866093427258</v>
      </c>
      <c r="C20" t="s">
        <v>19</v>
      </c>
    </row>
    <row r="21" spans="1:3" x14ac:dyDescent="0.25">
      <c r="A21" t="s">
        <v>20</v>
      </c>
      <c r="B21" s="6">
        <v>6.857349180091002</v>
      </c>
      <c r="C21" t="s">
        <v>21</v>
      </c>
    </row>
    <row r="22" spans="1:3" x14ac:dyDescent="0.25">
      <c r="A22" t="s">
        <v>22</v>
      </c>
      <c r="B22" s="11">
        <v>3898.663779793311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59454.42664333252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500</v>
      </c>
      <c r="C28" t="s">
        <v>30</v>
      </c>
    </row>
    <row r="29" spans="1:3" x14ac:dyDescent="0.25">
      <c r="A29" t="s">
        <v>31</v>
      </c>
      <c r="B29" s="11">
        <v>1276.3570579652207</v>
      </c>
      <c r="C29" t="s">
        <v>32</v>
      </c>
    </row>
    <row r="30" spans="1:3" x14ac:dyDescent="0.25">
      <c r="A30" t="s">
        <v>33</v>
      </c>
      <c r="B30" s="11">
        <v>702.4988869862095</v>
      </c>
      <c r="C30" t="s">
        <v>32</v>
      </c>
    </row>
    <row r="31" spans="1:3" x14ac:dyDescent="0.25">
      <c r="A31" t="s">
        <v>34</v>
      </c>
      <c r="B31" s="11">
        <v>1054.0030331798353</v>
      </c>
      <c r="C31" t="s">
        <v>8</v>
      </c>
    </row>
    <row r="32" spans="1:3" x14ac:dyDescent="0.25">
      <c r="A32" t="s">
        <v>35</v>
      </c>
      <c r="B32" s="11">
        <v>4216.012132719341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500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6.862973373281052</v>
      </c>
      <c r="D9" s="28">
        <v>6.862973373281052</v>
      </c>
      <c r="E9" s="29">
        <f>IF(ISNUMBER(C9),C9-D9,"")</f>
        <v>0</v>
      </c>
      <c r="F9" s="12" t="str">
        <f>IF(ISNUMBER(E9),IF(ABS(E9)&lt;=0.0000068629733732810515,"Yes","Changed"),"")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0.09960296861088525</v>
      </c>
      <c r="D12" s="31">
        <v>0.09960296833771282</v>
      </c>
      <c r="E12" s="32">
        <f>IF(ISNUMBER(C12),C12-D12,"")</f>
        <v>2.731724291216153e-10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-1.5631940186722204e-12</v>
      </c>
      <c r="D13" s="36">
        <v>7.389644451905042e-13</v>
      </c>
      <c r="E13" s="37">
        <f>IF(ISNUMBER(C13),C13-D13,"")</f>
        <v>-2.3021584638627246e-12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-43.21002952722915</v>
      </c>
      <c r="D14" s="36">
        <v>-43.21002952722631</v>
      </c>
      <c r="E14" s="37">
        <f>IF(ISNUMBER(C14),C14-D14,"")</f>
        <v>-2.8421709430404007e-12</v>
      </c>
      <c r="F14" s="12" t="str">
        <f>IF(ISNUMBER(E14),IF(ABS(E14)&lt;=0.00004321002952722631,"Yes","Changed"),"")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1.1346102119101054</v>
      </c>
      <c r="D15" s="39">
        <v>1.1346102119101058</v>
      </c>
      <c r="E15" s="40">
        <f>IF(ISNUMBER(C15),C15-D15,"")</f>
        <v>-4.440892098500626e-16</v>
      </c>
      <c r="F15" s="12" t="str">
        <f>IF(ISNUMBER(E15),IF(ABS(E15)&lt;=0.0000011346102119101058,"Yes","Changed"),"")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1.557563401551449</v>
      </c>
      <c r="D16" s="39">
        <v>1.557563401551449</v>
      </c>
      <c r="E16" s="40">
        <f>IF(ISNUMBER(C16),C16-D16,"")</f>
        <v>0</v>
      </c>
      <c r="F16" s="12" t="str">
        <f>IF(ISNUMBER(E16),IF(ABS(E16)&lt;=0.000001557563401551449,"Yes","Changed"),"")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5.4058660934272575</v>
      </c>
      <c r="D17" s="28">
        <v>5.405866093427258</v>
      </c>
      <c r="E17" s="29">
        <f>IF(ISNUMBER(C17),C17-D17,"")</f>
        <v>-8.881784197001252e-16</v>
      </c>
      <c r="F17" s="12" t="str">
        <f>IF(ISNUMBER(E17),IF(ABS(E17)&lt;=0.000005405866093427259,"Yes","Changed"),"")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6.862973373281051</v>
      </c>
      <c r="D18" s="28">
        <v>6.862973373281051</v>
      </c>
      <c r="E18" s="29">
        <f>IF(ISNUMBER(C18),C18-D18,"")</f>
        <v>0</v>
      </c>
      <c r="F18" s="12" t="str">
        <f>IF(ISNUMBER(E18),IF(ABS(E18)&lt;=0.000006862973373281051,"Yes","Changed"),"")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15467.429834361175</v>
      </c>
      <c r="D20" s="36">
        <v>15467.429834361175</v>
      </c>
      <c r="E20" s="37">
        <f>IF(ISNUMBER(C20),C20-D20,"")</f>
        <v>0</v>
      </c>
      <c r="F20" s="12" t="str">
        <f>IF(ISNUMBER(E20),IF(ABS(E20)&lt;=0.015467429834361175,"Yes","Changed"),"")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10827.200884052821</v>
      </c>
      <c r="D21" s="36">
        <v>10827.200884052821</v>
      </c>
      <c r="E21" s="37">
        <f>IF(ISNUMBER(C21),C21-D21,"")</f>
        <v>0</v>
      </c>
      <c r="F21" s="12" t="str">
        <f>IF(ISNUMBER(E21),IF(ABS(E21)&lt;=0.010827200884052821,"Yes","Changed"),"")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4640.228950308354</v>
      </c>
      <c r="D22" s="36">
        <v>4640.228950308354</v>
      </c>
      <c r="E22" s="37">
        <f>IF(ISNUMBER(C22),C22-D22,"")</f>
        <v>0</v>
      </c>
      <c r="F22" s="12" t="str">
        <f>IF(ISNUMBER(E22),IF(ABS(E22)&lt;=0.004640228950308353,"Yes","Changed"),"")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59454.42664333252</v>
      </c>
      <c r="D23" s="36">
        <v>59454.42664333252</v>
      </c>
      <c r="E23" s="37">
        <f>IF(ISNUMBER(C23),C23-D23,"")</f>
        <v>0</v>
      </c>
      <c r="F23" s="12" t="str">
        <f>IF(ISNUMBER(E23),IF(ABS(E23)&lt;=0.05945442664333252,"Yes","Changed"),"")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6.862973373281052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1276.3570579652207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702.4988869862095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1054.0030331798353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4216.012132719341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5105.428231860883</v>
      </c>
    </row>
    <row r="78" spans="1:3" x14ac:dyDescent="0.25">
      <c r="A78" s="33" t="s">
        <v>40</v>
      </c>
      <c r="B78" s="26" t="s">
        <v>86</v>
      </c>
      <c r="C78" s="37">
        <f>$C$33*$C$38</f>
        <v>4566.242765410362</v>
      </c>
    </row>
    <row r="79" spans="1:3" x14ac:dyDescent="0.25">
      <c r="A79" s="33" t="s">
        <v>109</v>
      </c>
      <c r="B79" s="26" t="s">
        <v>86</v>
      </c>
      <c r="C79" s="37">
        <f>$C$35*$C$39</f>
        <v>5059.214559263209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14730.885556534453</v>
      </c>
    </row>
    <row r="83" spans="1:3" x14ac:dyDescent="0.25">
      <c r="A83" s="33" t="s">
        <v>117</v>
      </c>
      <c r="B83" s="26" t="s">
        <v>86</v>
      </c>
      <c r="C83" s="37">
        <f>$C$82*$C$42</f>
        <v>736.5442778267227</v>
      </c>
    </row>
    <row r="84" spans="1:3" x14ac:dyDescent="0.25">
      <c r="A84" s="25" t="s">
        <v>173</v>
      </c>
      <c r="B84" s="26" t="s">
        <v>86</v>
      </c>
      <c r="C84" s="57">
        <f>$C$82+$C$83</f>
        <v>15467.429834361175</v>
      </c>
    </row>
    <row r="85" spans="1:3" x14ac:dyDescent="0.25">
      <c r="A85" s="33" t="s">
        <v>94</v>
      </c>
      <c r="B85" s="26" t="s">
        <v>86</v>
      </c>
      <c r="C85" s="37">
        <f>$C$84*$C$62</f>
        <v>10827.200884052821</v>
      </c>
    </row>
    <row r="86" spans="1:3" x14ac:dyDescent="0.25">
      <c r="A86" s="33" t="s">
        <v>95</v>
      </c>
      <c r="B86" s="26" t="s">
        <v>86</v>
      </c>
      <c r="C86" s="37">
        <f>$C$84-$C$85</f>
        <v>4640.228950308354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1343.210443906042</v>
      </c>
    </row>
    <row r="90" spans="1:3" x14ac:dyDescent="0.25">
      <c r="A90" s="33" t="s">
        <v>177</v>
      </c>
      <c r="B90" s="26" t="s">
        <v>129</v>
      </c>
      <c r="C90" s="37">
        <f>$C$85/$C$88</f>
        <v>721.813392270188</v>
      </c>
    </row>
    <row r="91" spans="1:3" x14ac:dyDescent="0.25">
      <c r="A91" s="33" t="s">
        <v>178</v>
      </c>
      <c r="B91" s="26" t="s">
        <v>86</v>
      </c>
      <c r="C91" s="37">
        <f>$C$84*(1-$C$73)</f>
        <v>13920.686850925058</v>
      </c>
    </row>
    <row r="92" spans="1:3" x14ac:dyDescent="0.25">
      <c r="A92" s="33" t="s">
        <v>179</v>
      </c>
      <c r="B92" s="26" t="s">
        <v>129</v>
      </c>
      <c r="C92" s="37">
        <f>$C$91/$C$72</f>
        <v>556.8274740370023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109500</v>
      </c>
      <c r="E95" s="51">
        <v>4380</v>
      </c>
      <c r="F95" s="51">
        <v>4380</v>
      </c>
      <c r="G95" s="51">
        <v>4380</v>
      </c>
      <c r="H95" s="51">
        <v>4380</v>
      </c>
      <c r="I95" s="51">
        <v>4380</v>
      </c>
      <c r="J95" s="51">
        <v>4380</v>
      </c>
      <c r="K95" s="51">
        <v>4380</v>
      </c>
      <c r="L95" s="51">
        <v>4380</v>
      </c>
      <c r="M95" s="51">
        <v>4380</v>
      </c>
      <c r="N95" s="51">
        <v>4380</v>
      </c>
      <c r="O95" s="51">
        <v>4380</v>
      </c>
      <c r="P95" s="51">
        <v>4380</v>
      </c>
      <c r="Q95" s="51">
        <v>4380</v>
      </c>
      <c r="R95" s="51">
        <v>4380</v>
      </c>
      <c r="S95" s="51">
        <v>4380</v>
      </c>
      <c r="T95" s="51">
        <v>4380</v>
      </c>
      <c r="U95" s="51">
        <v>4380</v>
      </c>
      <c r="V95" s="51">
        <v>4380</v>
      </c>
      <c r="W95" s="51">
        <v>4380</v>
      </c>
      <c r="X95" s="51">
        <v>4380</v>
      </c>
      <c r="Y95" s="51">
        <v>4380</v>
      </c>
      <c r="Z95" s="51">
        <v>4380</v>
      </c>
      <c r="AA95" s="51">
        <v>4380</v>
      </c>
      <c r="AB95" s="51">
        <v>4380</v>
      </c>
      <c r="AC95" s="51">
        <v>4380</v>
      </c>
    </row>
    <row r="96" spans="1:29" x14ac:dyDescent="0.25">
      <c r="A96" s="33" t="s">
        <v>183</v>
      </c>
      <c r="B96" s="26" t="s">
        <v>182</v>
      </c>
      <c r="C96" s="58">
        <f>SUM(E96:AC96)</f>
        <v>96084.52034899282</v>
      </c>
      <c r="E96" s="51">
        <v>3898.663779793311</v>
      </c>
      <c r="F96" s="51">
        <v>3894.0568659738447</v>
      </c>
      <c r="G96" s="51">
        <v>3889.449952154378</v>
      </c>
      <c r="H96" s="51">
        <v>3884.843038334912</v>
      </c>
      <c r="I96" s="51">
        <v>3880.2361245154448</v>
      </c>
      <c r="J96" s="51">
        <v>3875.629210695978</v>
      </c>
      <c r="K96" s="51">
        <v>3871.022296876512</v>
      </c>
      <c r="L96" s="51">
        <v>3866.4153830570453</v>
      </c>
      <c r="M96" s="51">
        <v>3861.8084692375796</v>
      </c>
      <c r="N96" s="51">
        <v>3857.201555418113</v>
      </c>
      <c r="O96" s="51">
        <v>3852.594641598646</v>
      </c>
      <c r="P96" s="51">
        <v>3847.9877277791797</v>
      </c>
      <c r="Q96" s="51">
        <v>3843.380813959713</v>
      </c>
      <c r="R96" s="51">
        <v>3838.773900140247</v>
      </c>
      <c r="S96" s="51">
        <v>3834.1669863207803</v>
      </c>
      <c r="T96" s="51">
        <v>3829.5600725013137</v>
      </c>
      <c r="U96" s="51">
        <v>3824.9531586818475</v>
      </c>
      <c r="V96" s="51">
        <v>3820.346244862381</v>
      </c>
      <c r="W96" s="51">
        <v>3815.7393310429147</v>
      </c>
      <c r="X96" s="51">
        <v>3811.1324172234486</v>
      </c>
      <c r="Y96" s="51">
        <v>3806.525503403981</v>
      </c>
      <c r="Z96" s="51">
        <v>3801.918589584515</v>
      </c>
      <c r="AA96" s="51">
        <v>3797.3116757650487</v>
      </c>
      <c r="AB96" s="51">
        <v>3792.704761945582</v>
      </c>
      <c r="AC96" s="51">
        <v>3788.097848126116</v>
      </c>
    </row>
    <row r="97" spans="1:29" x14ac:dyDescent="0.25">
      <c r="A97" s="33" t="s">
        <v>184</v>
      </c>
      <c r="B97" s="26" t="s">
        <v>83</v>
      </c>
      <c r="E97" s="32">
        <f>IF(E95&gt;0,E96/E95,1)</f>
        <v>0.8901058857975596</v>
      </c>
      <c r="F97" s="32">
        <f>IF(F95&gt;0,F96/F95,1)</f>
        <v>0.8890540789894622</v>
      </c>
      <c r="G97" s="32">
        <f>IF(G95&gt;0,G96/G95,1)</f>
        <v>0.8880022721813648</v>
      </c>
      <c r="H97" s="32">
        <f>IF(H95&gt;0,H96/H95,1)</f>
        <v>0.8869504653732675</v>
      </c>
      <c r="I97" s="32">
        <f>IF(I95&gt;0,I96/I95,1)</f>
        <v>0.88589865856517</v>
      </c>
      <c r="J97" s="32">
        <f>IF(J95&gt;0,J96/J95,1)</f>
        <v>0.8848468517570727</v>
      </c>
      <c r="K97" s="32">
        <f>IF(K95&gt;0,K96/K95,1)</f>
        <v>0.8837950449489753</v>
      </c>
      <c r="L97" s="32">
        <f>IF(L95&gt;0,L96/L95,1)</f>
        <v>0.882743238140878</v>
      </c>
      <c r="M97" s="32">
        <f>IF(M95&gt;0,M96/M95,1)</f>
        <v>0.8816914313327807</v>
      </c>
      <c r="N97" s="32">
        <f>IF(N95&gt;0,N96/N95,1)</f>
        <v>0.8806396245246834</v>
      </c>
      <c r="O97" s="32">
        <f>IF(O95&gt;0,O96/O95,1)</f>
        <v>0.8795878177165858</v>
      </c>
      <c r="P97" s="32">
        <f>IF(P95&gt;0,P96/P95,1)</f>
        <v>0.8785360109084885</v>
      </c>
      <c r="Q97" s="32">
        <f>IF(Q95&gt;0,Q96/Q95,1)</f>
        <v>0.8774842041003911</v>
      </c>
      <c r="R97" s="32">
        <f>IF(R95&gt;0,R96/R95,1)</f>
        <v>0.8764323972922938</v>
      </c>
      <c r="S97" s="32">
        <f>IF(S95&gt;0,S96/S95,1)</f>
        <v>0.8753805904841965</v>
      </c>
      <c r="T97" s="32">
        <f>IF(T95&gt;0,T96/T95,1)</f>
        <v>0.874328783676099</v>
      </c>
      <c r="U97" s="32">
        <f>IF(U95&gt;0,U96/U95,1)</f>
        <v>0.8732769768680018</v>
      </c>
      <c r="V97" s="32">
        <f>IF(V95&gt;0,V96/V95,1)</f>
        <v>0.8722251700599043</v>
      </c>
      <c r="W97" s="32">
        <f>IF(W95&gt;0,W96/W95,1)</f>
        <v>0.871173363251807</v>
      </c>
      <c r="X97" s="32">
        <f>IF(X95&gt;0,X96/X95,1)</f>
        <v>0.8701215564437097</v>
      </c>
      <c r="Y97" s="32">
        <f>IF(Y95&gt;0,Y96/Y95,1)</f>
        <v>0.8690697496356121</v>
      </c>
      <c r="Z97" s="32">
        <f>IF(Z95&gt;0,Z96/Z95,1)</f>
        <v>0.8680179428275148</v>
      </c>
      <c r="AA97" s="32">
        <f>IF(AA95&gt;0,AA96/AA95,1)</f>
        <v>0.8669661360194175</v>
      </c>
      <c r="AB97" s="32">
        <f>IF(AB95&gt;0,AB96/AB95,1)</f>
        <v>0.86591432921132</v>
      </c>
      <c r="AC97" s="32">
        <f>IF(AC95&gt;0,AC96/AC95,1)</f>
        <v>0.8648625224032228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6302.5392229059335</v>
      </c>
      <c r="E99" s="51">
        <v>235.01681487539105</v>
      </c>
      <c r="F99" s="51">
        <v>236.4405443787949</v>
      </c>
      <c r="G99" s="51">
        <v>237.86427388219875</v>
      </c>
      <c r="H99" s="51">
        <v>239.28800338560262</v>
      </c>
      <c r="I99" s="51">
        <v>240.71173288900647</v>
      </c>
      <c r="J99" s="51">
        <v>242.13546239241032</v>
      </c>
      <c r="K99" s="51">
        <v>243.55919189581417</v>
      </c>
      <c r="L99" s="51">
        <v>244.98292139921804</v>
      </c>
      <c r="M99" s="51">
        <v>246.40665090262192</v>
      </c>
      <c r="N99" s="51">
        <v>247.83038040602574</v>
      </c>
      <c r="O99" s="51">
        <v>249.2541099094296</v>
      </c>
      <c r="P99" s="51">
        <v>250.67783941283346</v>
      </c>
      <c r="Q99" s="51">
        <v>252.10156891623734</v>
      </c>
      <c r="R99" s="51">
        <v>253.5252984196412</v>
      </c>
      <c r="S99" s="51">
        <v>254.94902792304504</v>
      </c>
      <c r="T99" s="51">
        <v>256.3727574264489</v>
      </c>
      <c r="U99" s="51">
        <v>257.79648692985273</v>
      </c>
      <c r="V99" s="51">
        <v>259.2202164332566</v>
      </c>
      <c r="W99" s="51">
        <v>260.64394593666043</v>
      </c>
      <c r="X99" s="51">
        <v>262.0676754400643</v>
      </c>
      <c r="Y99" s="51">
        <v>263.4914049434682</v>
      </c>
      <c r="Z99" s="51">
        <v>264.915134446872</v>
      </c>
      <c r="AA99" s="51">
        <v>266.3388639502759</v>
      </c>
      <c r="AB99" s="51">
        <v>267.7625934536797</v>
      </c>
      <c r="AC99" s="51">
        <v>269.1863229570836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6.862973373281052</v>
      </c>
      <c r="F110" s="29">
        <f>$C$29*F104</f>
        <v>6.862973373281052</v>
      </c>
      <c r="G110" s="29">
        <f>$C$29*G104</f>
        <v>6.862973373281052</v>
      </c>
      <c r="H110" s="29">
        <f>$C$29*H104</f>
        <v>6.862973373281052</v>
      </c>
      <c r="I110" s="29">
        <f>$C$29*I104</f>
        <v>6.862973373281052</v>
      </c>
      <c r="J110" s="29">
        <f>$C$29*J104</f>
        <v>6.862973373281052</v>
      </c>
      <c r="K110" s="29">
        <f>$C$29*K104</f>
        <v>6.862973373281052</v>
      </c>
      <c r="L110" s="29">
        <f>$C$29*L104</f>
        <v>6.862973373281052</v>
      </c>
      <c r="M110" s="29">
        <f>$C$29*M104</f>
        <v>6.862973373281052</v>
      </c>
      <c r="N110" s="29">
        <f>$C$29*N104</f>
        <v>6.862973373281052</v>
      </c>
      <c r="O110" s="29">
        <f>$C$29*O104</f>
        <v>6.862973373281052</v>
      </c>
      <c r="P110" s="29">
        <f>$C$29*P104</f>
        <v>6.862973373281052</v>
      </c>
      <c r="Q110" s="29">
        <f>$C$29*Q104</f>
        <v>6.862973373281052</v>
      </c>
      <c r="R110" s="29">
        <f>$C$29*R104</f>
        <v>6.862973373281052</v>
      </c>
      <c r="S110" s="29">
        <f>$C$29*S104</f>
        <v>6.862973373281052</v>
      </c>
      <c r="T110" s="29">
        <f>$C$29*T104</f>
        <v>6.862973373281052</v>
      </c>
      <c r="U110" s="29">
        <f>$C$29*U104</f>
        <v>6.862973373281052</v>
      </c>
      <c r="V110" s="29">
        <f>$C$29*V104</f>
        <v>6.862973373281052</v>
      </c>
      <c r="W110" s="29">
        <f>$C$29*W104</f>
        <v>6.862973373281052</v>
      </c>
      <c r="X110" s="29">
        <f>$C$29*X104</f>
        <v>6.862973373281052</v>
      </c>
      <c r="Y110" s="29">
        <f>$C$29*Y104</f>
        <v>6.862973373281052</v>
      </c>
      <c r="Z110" s="29">
        <f>$C$29*Z104</f>
        <v>6.862973373281052</v>
      </c>
      <c r="AA110" s="29">
        <f>$C$29*AA104</f>
        <v>6.862973373281052</v>
      </c>
      <c r="AB110" s="29">
        <f>$C$29*AB104</f>
        <v>6.862973373281052</v>
      </c>
      <c r="AC110" s="29">
        <f>$C$29*AC104</f>
        <v>6.862973373281052</v>
      </c>
    </row>
    <row r="111" spans="1:29" x14ac:dyDescent="0.25">
      <c r="A111" s="33" t="s">
        <v>193</v>
      </c>
      <c r="B111" s="26" t="s">
        <v>86</v>
      </c>
      <c r="C111" s="57">
        <f>SUM(E111:AC111)</f>
        <v>65942.55047396192</v>
      </c>
      <c r="E111" s="37">
        <f>E96*E110/10</f>
        <v>2675.642571209675</v>
      </c>
      <c r="F111" s="37">
        <f>F96*F110/10</f>
        <v>2672.4808585220753</v>
      </c>
      <c r="G111" s="37">
        <f>G96*G110/10</f>
        <v>2669.319145834476</v>
      </c>
      <c r="H111" s="37">
        <f>H96*H110/10</f>
        <v>2666.157433146876</v>
      </c>
      <c r="I111" s="37">
        <f>I96*I110/10</f>
        <v>2662.9957204592756</v>
      </c>
      <c r="J111" s="37">
        <f>J96*J110/10</f>
        <v>2659.8340077716757</v>
      </c>
      <c r="K111" s="37">
        <f>K96*K110/10</f>
        <v>2656.672295084076</v>
      </c>
      <c r="L111" s="37">
        <f>L96*L110/10</f>
        <v>2653.510582396476</v>
      </c>
      <c r="M111" s="37">
        <f>M96*M110/10</f>
        <v>2650.348869708877</v>
      </c>
      <c r="N111" s="37">
        <f>N96*N110/10</f>
        <v>2647.1871570212766</v>
      </c>
      <c r="O111" s="37">
        <f>O96*O110/10</f>
        <v>2644.025444333676</v>
      </c>
      <c r="P111" s="37">
        <f>P96*P110/10</f>
        <v>2640.8637316460763</v>
      </c>
      <c r="Q111" s="37">
        <f>Q96*Q110/10</f>
        <v>2637.702018958477</v>
      </c>
      <c r="R111" s="37">
        <f>R96*R110/10</f>
        <v>2634.540306270877</v>
      </c>
      <c r="S111" s="37">
        <f>S96*S110/10</f>
        <v>2631.378593583277</v>
      </c>
      <c r="T111" s="37">
        <f>T96*T110/10</f>
        <v>2628.2168808956767</v>
      </c>
      <c r="U111" s="37">
        <f>U96*U110/10</f>
        <v>2625.0551682080772</v>
      </c>
      <c r="V111" s="37">
        <f>V96*V110/10</f>
        <v>2621.8934555204773</v>
      </c>
      <c r="W111" s="37">
        <f>W96*W110/10</f>
        <v>2618.731742832878</v>
      </c>
      <c r="X111" s="37">
        <f>X96*X110/10</f>
        <v>2615.570030145278</v>
      </c>
      <c r="Y111" s="37">
        <f>Y96*Y110/10</f>
        <v>2612.408317457677</v>
      </c>
      <c r="Z111" s="37">
        <f>Z96*Z110/10</f>
        <v>2609.2466047700773</v>
      </c>
      <c r="AA111" s="37">
        <f>AA96*AA110/10</f>
        <v>2606.084892082478</v>
      </c>
      <c r="AB111" s="37">
        <f>AB96*AB110/10</f>
        <v>2602.923179394878</v>
      </c>
      <c r="AC111" s="37">
        <f>AC96*AC110/10</f>
        <v>2599.7614667072785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6488.12383062943</v>
      </c>
      <c r="E114" s="37">
        <f>E99*$C$55*E110/10</f>
        <v>241.9371214144697</v>
      </c>
      <c r="F114" s="37">
        <f>F99*$C$55*F110/10</f>
        <v>243.40277406536194</v>
      </c>
      <c r="G114" s="37">
        <f>G99*$C$55*G110/10</f>
        <v>244.86842671625422</v>
      </c>
      <c r="H114" s="37">
        <f>H99*$C$55*H110/10</f>
        <v>246.33407936714653</v>
      </c>
      <c r="I114" s="37">
        <f>I99*$C$55*I110/10</f>
        <v>247.7997320180388</v>
      </c>
      <c r="J114" s="37">
        <f>J99*$C$55*J110/10</f>
        <v>249.26538466893112</v>
      </c>
      <c r="K114" s="37">
        <f>K99*$C$55*K110/10</f>
        <v>250.73103731982343</v>
      </c>
      <c r="L114" s="37">
        <f>L99*$C$55*L110/10</f>
        <v>252.1966899707157</v>
      </c>
      <c r="M114" s="37">
        <f>M99*$C$55*M110/10</f>
        <v>253.66234262160805</v>
      </c>
      <c r="N114" s="37">
        <f>N99*$C$55*N110/10</f>
        <v>255.1279952725003</v>
      </c>
      <c r="O114" s="37">
        <f>O99*$C$55*O110/10</f>
        <v>256.59364792339255</v>
      </c>
      <c r="P114" s="37">
        <f>P99*$C$55*P110/10</f>
        <v>258.0593005742849</v>
      </c>
      <c r="Q114" s="37">
        <f>Q99*$C$55*Q110/10</f>
        <v>259.5249532251772</v>
      </c>
      <c r="R114" s="37">
        <f>R99*$C$55*R110/10</f>
        <v>260.9906058760695</v>
      </c>
      <c r="S114" s="37">
        <f>S99*$C$55*S110/10</f>
        <v>262.4562585269618</v>
      </c>
      <c r="T114" s="37">
        <f>T99*$C$55*T110/10</f>
        <v>263.9219111778541</v>
      </c>
      <c r="U114" s="37">
        <f>U99*$C$55*U110/10</f>
        <v>265.38756382874635</v>
      </c>
      <c r="V114" s="37">
        <f>V99*$C$55*V110/10</f>
        <v>266.8532164796387</v>
      </c>
      <c r="W114" s="37">
        <f>W99*$C$55*W110/10</f>
        <v>268.31886913053097</v>
      </c>
      <c r="X114" s="37">
        <f>X99*$C$55*X110/10</f>
        <v>269.7845217814233</v>
      </c>
      <c r="Y114" s="37">
        <f>Y99*$C$55*Y110/10</f>
        <v>271.2501744323156</v>
      </c>
      <c r="Z114" s="37">
        <f>Z99*$C$55*Z110/10</f>
        <v>272.7158270832079</v>
      </c>
      <c r="AA114" s="37">
        <f>AA99*$C$55*AA110/10</f>
        <v>274.1814797341002</v>
      </c>
      <c r="AB114" s="37">
        <f>AB99*$C$55*AB110/10</f>
        <v>275.64713238499246</v>
      </c>
      <c r="AC114" s="37">
        <f>AC99*$C$55*AC110/10</f>
        <v>277.11278503588477</v>
      </c>
    </row>
    <row r="115" spans="1:29" x14ac:dyDescent="0.25">
      <c r="A115" s="61" t="s">
        <v>195</v>
      </c>
      <c r="B115" s="62" t="s">
        <v>86</v>
      </c>
      <c r="C115" s="63">
        <f>SUM(E115:AC115)</f>
        <v>59454.42664333252</v>
      </c>
      <c r="D115" s="64"/>
      <c r="E115" s="63">
        <f>E111+E112-E113-E114</f>
        <v>2433.7054497952054</v>
      </c>
      <c r="F115" s="63">
        <f>F111+F112-F113-F114</f>
        <v>2429.0780844567134</v>
      </c>
      <c r="G115" s="63">
        <f>G111+G112-G113-G114</f>
        <v>2424.4507191182215</v>
      </c>
      <c r="H115" s="63">
        <f>H111+H112-H113-H114</f>
        <v>2419.8233537797296</v>
      </c>
      <c r="I115" s="63">
        <f>I111+I112-I113-I114</f>
        <v>2415.1959884412368</v>
      </c>
      <c r="J115" s="63">
        <f>J111+J112-J113-J114</f>
        <v>2410.568623102745</v>
      </c>
      <c r="K115" s="63">
        <f>K111+K112-K113-K114</f>
        <v>2405.9412577642524</v>
      </c>
      <c r="L115" s="63">
        <f>L111+L112-L113-L114</f>
        <v>2401.31389242576</v>
      </c>
      <c r="M115" s="63">
        <f>M111+M112-M113-M114</f>
        <v>2396.686527087269</v>
      </c>
      <c r="N115" s="63">
        <f>N111+N112-N113-N114</f>
        <v>2392.059161748776</v>
      </c>
      <c r="O115" s="63">
        <f>O111+O112-O113-O114</f>
        <v>2387.431796410284</v>
      </c>
      <c r="P115" s="63">
        <f>P111+P112-P113-P114</f>
        <v>2382.8044310717914</v>
      </c>
      <c r="Q115" s="63">
        <f>Q111+Q112-Q113-Q114</f>
        <v>2378.1770657332995</v>
      </c>
      <c r="R115" s="63">
        <f>R111+R112-R113-R114</f>
        <v>2373.5497003948076</v>
      </c>
      <c r="S115" s="63">
        <f>S111+S112-S113-S114</f>
        <v>2368.922335056315</v>
      </c>
      <c r="T115" s="63">
        <f>T111+T112-T113-T114</f>
        <v>2364.294969717823</v>
      </c>
      <c r="U115" s="63">
        <f>U111+U112-U113-U114</f>
        <v>2359.667604379331</v>
      </c>
      <c r="V115" s="63">
        <f>V111+V112-V113-V114</f>
        <v>2355.0402390408385</v>
      </c>
      <c r="W115" s="63">
        <f>W111+W112-W113-W114</f>
        <v>2350.412873702347</v>
      </c>
      <c r="X115" s="63">
        <f>X111+X112-X113-X114</f>
        <v>2345.7855083638547</v>
      </c>
      <c r="Y115" s="63">
        <f>Y111+Y112-Y113-Y114</f>
        <v>2341.158143025362</v>
      </c>
      <c r="Z115" s="63">
        <f>Z111+Z112-Z113-Z114</f>
        <v>2336.5307776868694</v>
      </c>
      <c r="AA115" s="63">
        <f>AA111+AA112-AA113-AA114</f>
        <v>2331.9034123483775</v>
      </c>
      <c r="AB115" s="63">
        <f>AB111+AB112-AB113-AB114</f>
        <v>2327.2760470098856</v>
      </c>
      <c r="AC115" s="63">
        <f>AC111+AC112-AC113-AC114</f>
        <v>2322.6486816713937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2436.672777301687</v>
      </c>
      <c r="E118" s="37">
        <f>$C$32*$C$44/100*E105</f>
        <v>51.05428231860883</v>
      </c>
      <c r="F118" s="37">
        <f>$C$32*$C$44/100*F105</f>
        <v>53.60699643453927</v>
      </c>
      <c r="G118" s="37">
        <f>$C$32*$C$44/100*G105</f>
        <v>56.28734625626623</v>
      </c>
      <c r="H118" s="37">
        <f>$C$32*$C$44/100*H105</f>
        <v>59.10171356907955</v>
      </c>
      <c r="I118" s="37">
        <f>$C$32*$C$44/100*I105</f>
        <v>62.05679924753353</v>
      </c>
      <c r="J118" s="37">
        <f>$C$32*$C$44/100*J105</f>
        <v>65.15963920991021</v>
      </c>
      <c r="K118" s="37">
        <f>$C$32*$C$44/100*K105</f>
        <v>68.41762117040572</v>
      </c>
      <c r="L118" s="37">
        <f>$C$32*$C$44/100*L105</f>
        <v>71.83850222892602</v>
      </c>
      <c r="M118" s="37">
        <f>$C$32*$C$44/100*M105</f>
        <v>75.43042734037232</v>
      </c>
      <c r="N118" s="37">
        <f>$C$32*$C$44/100*N105</f>
        <v>79.20194870739094</v>
      </c>
      <c r="O118" s="37">
        <f>$C$32*$C$44/100*O105</f>
        <v>83.16204614276049</v>
      </c>
      <c r="P118" s="37">
        <f>$C$32*$C$44/100*P105</f>
        <v>87.32014844989851</v>
      </c>
      <c r="Q118" s="37">
        <f>$C$32*$C$44/100*Q105</f>
        <v>91.68615587239344</v>
      </c>
      <c r="R118" s="37">
        <f>$C$32*$C$44/100*R105</f>
        <v>96.27046366601311</v>
      </c>
      <c r="S118" s="37">
        <f>$C$32*$C$44/100*S105</f>
        <v>101.08398684931379</v>
      </c>
      <c r="T118" s="37">
        <f>$C$32*$C$44/100*T105</f>
        <v>106.13818619177948</v>
      </c>
      <c r="U118" s="37">
        <f>$C$32*$C$44/100*U105</f>
        <v>111.44509550136844</v>
      </c>
      <c r="V118" s="37">
        <f>$C$32*$C$44/100*V105</f>
        <v>117.01735027643689</v>
      </c>
      <c r="W118" s="37">
        <f>$C$32*$C$44/100*W105</f>
        <v>122.86821779025874</v>
      </c>
      <c r="X118" s="37">
        <f>$C$32*$C$44/100*X105</f>
        <v>129.0116286797717</v>
      </c>
      <c r="Y118" s="37">
        <f>$C$32*$C$44/100*Y105</f>
        <v>135.46221011376025</v>
      </c>
      <c r="Z118" s="37">
        <f>$C$32*$C$44/100*Z105</f>
        <v>142.2353206194483</v>
      </c>
      <c r="AA118" s="37">
        <f>$C$32*$C$44/100*AA105</f>
        <v>149.3470866504207</v>
      </c>
      <c r="AB118" s="37">
        <f>$C$32*$C$44/100*AB105</f>
        <v>156.81444098294173</v>
      </c>
      <c r="AC118" s="37">
        <f>$C$32*$C$44/100*AC105</f>
        <v>164.65516303208884</v>
      </c>
    </row>
    <row r="119" spans="1:29" x14ac:dyDescent="0.25">
      <c r="A119" s="33" t="s">
        <v>122</v>
      </c>
      <c r="B119" s="26" t="s">
        <v>86</v>
      </c>
      <c r="C119" s="57">
        <f>SUM(E119:AC119)</f>
        <v>3017.54104188455</v>
      </c>
      <c r="E119" s="37">
        <f>$C$33*$C$45/100*E105</f>
        <v>63.224899828758865</v>
      </c>
      <c r="F119" s="37">
        <f>$C$33*$C$45/100*F105</f>
        <v>66.3861448201968</v>
      </c>
      <c r="G119" s="37">
        <f>$C$33*$C$45/100*G105</f>
        <v>69.70545206120666</v>
      </c>
      <c r="H119" s="37">
        <f>$C$33*$C$45/100*H105</f>
        <v>73.190724664267</v>
      </c>
      <c r="I119" s="37">
        <f>$C$33*$C$45/100*I105</f>
        <v>76.85026089748034</v>
      </c>
      <c r="J119" s="37">
        <f>$C$33*$C$45/100*J105</f>
        <v>80.69277394235436</v>
      </c>
      <c r="K119" s="37">
        <f>$C$33*$C$45/100*K105</f>
        <v>84.72741263947209</v>
      </c>
      <c r="L119" s="37">
        <f>$C$33*$C$45/100*L105</f>
        <v>88.96378327144569</v>
      </c>
      <c r="M119" s="37">
        <f>$C$33*$C$45/100*M105</f>
        <v>93.41197243501799</v>
      </c>
      <c r="N119" s="37">
        <f>$C$33*$C$45/100*N105</f>
        <v>98.08257105676888</v>
      </c>
      <c r="O119" s="37">
        <f>$C$33*$C$45/100*O105</f>
        <v>102.98669960960734</v>
      </c>
      <c r="P119" s="37">
        <f>$C$33*$C$45/100*P105</f>
        <v>108.1360345900877</v>
      </c>
      <c r="Q119" s="37">
        <f>$C$33*$C$45/100*Q105</f>
        <v>113.5428363195921</v>
      </c>
      <c r="R119" s="37">
        <f>$C$33*$C$45/100*R105</f>
        <v>119.21997813557171</v>
      </c>
      <c r="S119" s="37">
        <f>$C$33*$C$45/100*S105</f>
        <v>125.1809770423503</v>
      </c>
      <c r="T119" s="37">
        <f>$C$33*$C$45/100*T105</f>
        <v>131.44002589446782</v>
      </c>
      <c r="U119" s="37">
        <f>$C$33*$C$45/100*U105</f>
        <v>138.0120271891912</v>
      </c>
      <c r="V119" s="37">
        <f>$C$33*$C$45/100*V105</f>
        <v>144.9126285486508</v>
      </c>
      <c r="W119" s="37">
        <f>$C$33*$C$45/100*W105</f>
        <v>152.15825997608334</v>
      </c>
      <c r="X119" s="37">
        <f>$C$33*$C$45/100*X105</f>
        <v>159.7661729748875</v>
      </c>
      <c r="Y119" s="37">
        <f>$C$33*$C$45/100*Y105</f>
        <v>167.75448162363188</v>
      </c>
      <c r="Z119" s="37">
        <f>$C$33*$C$45/100*Z105</f>
        <v>176.14220570481348</v>
      </c>
      <c r="AA119" s="37">
        <f>$C$33*$C$45/100*AA105</f>
        <v>184.94931599005417</v>
      </c>
      <c r="AB119" s="37">
        <f>$C$33*$C$45/100*AB105</f>
        <v>194.19678178955687</v>
      </c>
      <c r="AC119" s="37">
        <f>$C$33*$C$45/100*AC105</f>
        <v>203.90662087903473</v>
      </c>
    </row>
    <row r="120" spans="1:29" x14ac:dyDescent="0.25">
      <c r="A120" s="33" t="s">
        <v>123</v>
      </c>
      <c r="B120" s="26" t="s">
        <v>86</v>
      </c>
      <c r="C120" s="57">
        <f>SUM(E120:AC120)</f>
        <v>2414.616332113573</v>
      </c>
      <c r="E120" s="37">
        <f>$C$35*$C$46/100*E105</f>
        <v>50.592145592632086</v>
      </c>
      <c r="F120" s="37">
        <f>$C$35*$C$46/100*F105</f>
        <v>53.12175287226369</v>
      </c>
      <c r="G120" s="37">
        <f>$C$35*$C$46/100*G105</f>
        <v>55.777840515876875</v>
      </c>
      <c r="H120" s="37">
        <f>$C$35*$C$46/100*H105</f>
        <v>58.566732541670724</v>
      </c>
      <c r="I120" s="37">
        <f>$C$35*$C$46/100*I105</f>
        <v>61.49506916875426</v>
      </c>
      <c r="J120" s="37">
        <f>$C$35*$C$46/100*J105</f>
        <v>64.56982262719198</v>
      </c>
      <c r="K120" s="37">
        <f>$C$35*$C$46/100*K105</f>
        <v>67.79831375855159</v>
      </c>
      <c r="L120" s="37">
        <f>$C$35*$C$46/100*L105</f>
        <v>71.18822944647917</v>
      </c>
      <c r="M120" s="37">
        <f>$C$35*$C$46/100*M105</f>
        <v>74.74764091880313</v>
      </c>
      <c r="N120" s="37">
        <f>$C$35*$C$46/100*N105</f>
        <v>78.48502296474328</v>
      </c>
      <c r="O120" s="37">
        <f>$C$35*$C$46/100*O105</f>
        <v>82.40927411298046</v>
      </c>
      <c r="P120" s="37">
        <f>$C$35*$C$46/100*P105</f>
        <v>86.52973781862947</v>
      </c>
      <c r="Q120" s="37">
        <f>$C$35*$C$46/100*Q105</f>
        <v>90.85622470956096</v>
      </c>
      <c r="R120" s="37">
        <f>$C$35*$C$46/100*R105</f>
        <v>95.39903594503902</v>
      </c>
      <c r="S120" s="37">
        <f>$C$35*$C$46/100*S105</f>
        <v>100.16898774229097</v>
      </c>
      <c r="T120" s="37">
        <f>$C$35*$C$46/100*T105</f>
        <v>105.17743712940553</v>
      </c>
      <c r="U120" s="37">
        <f>$C$35*$C$46/100*U105</f>
        <v>110.43630898587578</v>
      </c>
      <c r="V120" s="37">
        <f>$C$35*$C$46/100*V105</f>
        <v>115.9581244351696</v>
      </c>
      <c r="W120" s="37">
        <f>$C$35*$C$46/100*W105</f>
        <v>121.75603065692809</v>
      </c>
      <c r="X120" s="37">
        <f>$C$35*$C$46/100*X105</f>
        <v>127.84383218977449</v>
      </c>
      <c r="Y120" s="37">
        <f>$C$35*$C$46/100*Y105</f>
        <v>134.2360237992632</v>
      </c>
      <c r="Z120" s="37">
        <f>$C$35*$C$46/100*Z105</f>
        <v>140.94782498922638</v>
      </c>
      <c r="AA120" s="37">
        <f>$C$35*$C$46/100*AA105</f>
        <v>147.9952162386877</v>
      </c>
      <c r="AB120" s="37">
        <f>$C$35*$C$46/100*AB105</f>
        <v>155.3949770506221</v>
      </c>
      <c r="AC120" s="37">
        <f>$C$35*$C$46/100*AC105</f>
        <v>163.1647259031532</v>
      </c>
    </row>
    <row r="121" spans="1:29" x14ac:dyDescent="0.25">
      <c r="A121" s="33" t="s">
        <v>126</v>
      </c>
      <c r="B121" s="26" t="s">
        <v>86</v>
      </c>
      <c r="C121" s="57">
        <f>SUM(E121:AC121)</f>
        <v>1104.816416740084</v>
      </c>
      <c r="E121" s="37">
        <f>$C$82*$C$48</f>
        <v>44.19265666960336</v>
      </c>
      <c r="F121" s="37">
        <f>$C$82*$C$48</f>
        <v>44.19265666960336</v>
      </c>
      <c r="G121" s="37">
        <f>$C$82*$C$48</f>
        <v>44.19265666960336</v>
      </c>
      <c r="H121" s="37">
        <f>$C$82*$C$48</f>
        <v>44.19265666960336</v>
      </c>
      <c r="I121" s="37">
        <f>$C$82*$C$48</f>
        <v>44.19265666960336</v>
      </c>
      <c r="J121" s="37">
        <f>$C$82*$C$48</f>
        <v>44.19265666960336</v>
      </c>
      <c r="K121" s="37">
        <f>$C$82*$C$48</f>
        <v>44.19265666960336</v>
      </c>
      <c r="L121" s="37">
        <f>$C$82*$C$48</f>
        <v>44.19265666960336</v>
      </c>
      <c r="M121" s="37">
        <f>$C$82*$C$48</f>
        <v>44.19265666960336</v>
      </c>
      <c r="N121" s="37">
        <f>$C$82*$C$48</f>
        <v>44.19265666960336</v>
      </c>
      <c r="O121" s="37">
        <f>$C$82*$C$48</f>
        <v>44.19265666960336</v>
      </c>
      <c r="P121" s="37">
        <f>$C$82*$C$48</f>
        <v>44.19265666960336</v>
      </c>
      <c r="Q121" s="37">
        <f>$C$82*$C$48</f>
        <v>44.19265666960336</v>
      </c>
      <c r="R121" s="37">
        <f>$C$82*$C$48</f>
        <v>44.19265666960336</v>
      </c>
      <c r="S121" s="37">
        <f>$C$82*$C$48</f>
        <v>44.19265666960336</v>
      </c>
      <c r="T121" s="37">
        <f>$C$82*$C$48</f>
        <v>44.19265666960336</v>
      </c>
      <c r="U121" s="37">
        <f>$C$82*$C$48</f>
        <v>44.19265666960336</v>
      </c>
      <c r="V121" s="37">
        <f>$C$82*$C$48</f>
        <v>44.19265666960336</v>
      </c>
      <c r="W121" s="37">
        <f>$C$82*$C$48</f>
        <v>44.19265666960336</v>
      </c>
      <c r="X121" s="37">
        <f>$C$82*$C$48</f>
        <v>44.19265666960336</v>
      </c>
      <c r="Y121" s="37">
        <f>$C$82*$C$48</f>
        <v>44.19265666960336</v>
      </c>
      <c r="Z121" s="37">
        <f>$C$82*$C$48</f>
        <v>44.19265666960336</v>
      </c>
      <c r="AA121" s="37">
        <f>$C$82*$C$48</f>
        <v>44.19265666960336</v>
      </c>
      <c r="AB121" s="37">
        <f>$C$82*$C$48</f>
        <v>44.19265666960336</v>
      </c>
      <c r="AC121" s="37">
        <f>$C$82*$C$48</f>
        <v>44.19265666960336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8973.646568039896</v>
      </c>
      <c r="D123" s="64"/>
      <c r="E123" s="63">
        <f>SUM(E118:E122)</f>
        <v>209.06398440960314</v>
      </c>
      <c r="F123" s="63">
        <f>SUM(F118:F122)</f>
        <v>217.30755079660312</v>
      </c>
      <c r="G123" s="63">
        <f>SUM(G118:G122)</f>
        <v>225.96329550295314</v>
      </c>
      <c r="H123" s="63">
        <f>SUM(H118:H122)</f>
        <v>235.05182744462064</v>
      </c>
      <c r="I123" s="63">
        <f>SUM(I118:I122)</f>
        <v>244.5947859833715</v>
      </c>
      <c r="J123" s="63">
        <f>SUM(J118:J122)</f>
        <v>254.61489244905994</v>
      </c>
      <c r="K123" s="63">
        <f>SUM(K118:K122)</f>
        <v>265.13600423803274</v>
      </c>
      <c r="L123" s="63">
        <f>SUM(L118:L122)</f>
        <v>276.1831716164542</v>
      </c>
      <c r="M123" s="63">
        <f>SUM(M118:M122)</f>
        <v>287.7826973637968</v>
      </c>
      <c r="N123" s="63">
        <f>SUM(N118:N122)</f>
        <v>299.96219939850647</v>
      </c>
      <c r="O123" s="63">
        <f>SUM(O118:O122)</f>
        <v>312.75067653495165</v>
      </c>
      <c r="P123" s="63">
        <f>SUM(P118:P122)</f>
        <v>326.1785775282191</v>
      </c>
      <c r="Q123" s="63">
        <f>SUM(Q118:Q122)</f>
        <v>340.2778735711498</v>
      </c>
      <c r="R123" s="63">
        <f>SUM(R118:R122)</f>
        <v>355.08213441622723</v>
      </c>
      <c r="S123" s="63">
        <f>SUM(S118:S122)</f>
        <v>370.62660830355844</v>
      </c>
      <c r="T123" s="63">
        <f>SUM(T118:T122)</f>
        <v>386.9483058852562</v>
      </c>
      <c r="U123" s="63">
        <f>SUM(U118:U122)</f>
        <v>404.08608834603876</v>
      </c>
      <c r="V123" s="63">
        <f>SUM(V118:V122)</f>
        <v>422.0807599298606</v>
      </c>
      <c r="W123" s="63">
        <f>SUM(W118:W122)</f>
        <v>440.9751650928735</v>
      </c>
      <c r="X123" s="63">
        <f>SUM(X118:X122)</f>
        <v>460.81429051403705</v>
      </c>
      <c r="Y123" s="63">
        <f>SUM(Y118:Y122)</f>
        <v>481.6453722062587</v>
      </c>
      <c r="Z123" s="63">
        <f>SUM(Z118:Z122)</f>
        <v>503.51800798309154</v>
      </c>
      <c r="AA123" s="63">
        <f>SUM(AA118:AA122)</f>
        <v>526.4842755487659</v>
      </c>
      <c r="AB123" s="63">
        <f>SUM(AB118:AB122)</f>
        <v>550.598856492724</v>
      </c>
      <c r="AC123" s="63">
        <f>SUM(AC118:AC122)</f>
        <v>575.9191664838802</v>
      </c>
    </row>
    <row r="124" spans="1:29" x14ac:dyDescent="0.25">
      <c r="A124" s="61" t="s">
        <v>198</v>
      </c>
      <c r="B124" s="62" t="s">
        <v>86</v>
      </c>
      <c r="C124" s="63">
        <f>SUM(E124:AC124)</f>
        <v>50480.78007529259</v>
      </c>
      <c r="D124" s="64"/>
      <c r="E124" s="63">
        <f>E115-E123</f>
        <v>2224.6414653856023</v>
      </c>
      <c r="F124" s="63">
        <f>F115-F123</f>
        <v>2211.7705336601102</v>
      </c>
      <c r="G124" s="63">
        <f>G115-G123</f>
        <v>2198.487423615268</v>
      </c>
      <c r="H124" s="63">
        <f>H115-H123</f>
        <v>2184.771526335109</v>
      </c>
      <c r="I124" s="63">
        <f>I115-I123</f>
        <v>2170.6012024578654</v>
      </c>
      <c r="J124" s="63">
        <f>J115-J123</f>
        <v>2155.953730653685</v>
      </c>
      <c r="K124" s="63">
        <f>K115-K123</f>
        <v>2140.8052535262195</v>
      </c>
      <c r="L124" s="63">
        <f>L115-L123</f>
        <v>2125.130720809306</v>
      </c>
      <c r="M124" s="63">
        <f>M115-M123</f>
        <v>2108.9038297234724</v>
      </c>
      <c r="N124" s="63">
        <f>N115-N123</f>
        <v>2092.0969623502697</v>
      </c>
      <c r="O124" s="63">
        <f>O115-O123</f>
        <v>2074.681119875332</v>
      </c>
      <c r="P124" s="63">
        <f>P115-P123</f>
        <v>2056.6258535435722</v>
      </c>
      <c r="Q124" s="63">
        <f>Q115-Q123</f>
        <v>2037.8991921621496</v>
      </c>
      <c r="R124" s="63">
        <f>R115-R123</f>
        <v>2018.4675659785803</v>
      </c>
      <c r="S124" s="63">
        <f>S115-S123</f>
        <v>1998.2957267527568</v>
      </c>
      <c r="T124" s="63">
        <f>T115-T123</f>
        <v>1977.3466638325667</v>
      </c>
      <c r="U124" s="63">
        <f>U115-U123</f>
        <v>1955.5815160332922</v>
      </c>
      <c r="V124" s="63">
        <f>V115-V123</f>
        <v>1932.959479110978</v>
      </c>
      <c r="W124" s="63">
        <f>W115-W123</f>
        <v>1909.4377086094735</v>
      </c>
      <c r="X124" s="63">
        <f>X115-X123</f>
        <v>1884.9712178498175</v>
      </c>
      <c r="Y124" s="63">
        <f>Y115-Y123</f>
        <v>1859.512770819103</v>
      </c>
      <c r="Z124" s="63">
        <f>Z115-Z123</f>
        <v>1833.0127697037778</v>
      </c>
      <c r="AA124" s="63">
        <f>AA115-AA123</f>
        <v>1805.4191367996116</v>
      </c>
      <c r="AB124" s="63">
        <f>AB115-AB123</f>
        <v>1776.6771905171615</v>
      </c>
      <c r="AC124" s="63">
        <f>AC115-AC123</f>
        <v>1746.7295151875135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0.9140964308449094</v>
      </c>
      <c r="F125" s="32">
        <f>IF(F115&lt;&gt;0,F124/F115,"")</f>
        <v>0.9105390838659655</v>
      </c>
      <c r="G125" s="32">
        <f>IF(G115&lt;&gt;0,G124/G115,"")</f>
        <v>0.9067981486606019</v>
      </c>
      <c r="H125" s="32">
        <f>IF(H115&lt;&gt;0,H124/H115,"")</f>
        <v>0.9028640553131809</v>
      </c>
      <c r="I125" s="32">
        <f>IF(I115&lt;&gt;0,I124/I115,"")</f>
        <v>0.8987267339156055</v>
      </c>
      <c r="J125" s="32">
        <f>IF(J115&lt;&gt;0,J124/J115,"")</f>
        <v>0.8943755883948518</v>
      </c>
      <c r="K125" s="32">
        <f>IF(K115&lt;&gt;0,K124/K115,"")</f>
        <v>0.8897994689677446</v>
      </c>
      <c r="L125" s="32">
        <f>IF(L115&lt;&gt;0,L124/L115,"")</f>
        <v>0.8849866431508213</v>
      </c>
      <c r="M125" s="32">
        <f>IF(M115&lt;&gt;0,M124/M115,"")</f>
        <v>0.8799247652493196</v>
      </c>
      <c r="N125" s="32">
        <f>IF(N115&lt;&gt;0,N124/N115,"")</f>
        <v>0.8746008442453357</v>
      </c>
      <c r="O125" s="32">
        <f>IF(O115&lt;&gt;0,O124/O115,"")</f>
        <v>0.8690012100009725</v>
      </c>
      <c r="P125" s="32">
        <f>IF(P115&lt;&gt;0,P124/P115,"")</f>
        <v>0.8631114776878674</v>
      </c>
      <c r="Q125" s="32">
        <f>IF(Q115&lt;&gt;0,Q124/Q115,"")</f>
        <v>0.8569165103498183</v>
      </c>
      <c r="R125" s="32">
        <f>IF(R115&lt;&gt;0,R124/R115,"")</f>
        <v>0.8504003795003053</v>
      </c>
      <c r="S125" s="32">
        <f>IF(S115&lt;&gt;0,S124/S115,"")</f>
        <v>0.8435463236515317</v>
      </c>
      <c r="T125" s="32">
        <f>IF(T115&lt;&gt;0,T124/T115,"")</f>
        <v>0.8363367046661533</v>
      </c>
      <c r="U125" s="32">
        <f>IF(U115&lt;&gt;0,U124/U115,"")</f>
        <v>0.8287529618171258</v>
      </c>
      <c r="V125" s="32">
        <f>IF(V115&lt;&gt;0,V124/V115,"")</f>
        <v>0.8207755634350581</v>
      </c>
      <c r="W125" s="32">
        <f>IF(W115&lt;&gt;0,W124/W115,"")</f>
        <v>0.812383956016096</v>
      </c>
      <c r="X125" s="32">
        <f>IF(X115&lt;&gt;0,X124/X115,"")</f>
        <v>0.8035565106566597</v>
      </c>
      <c r="Y125" s="32">
        <f>IF(Y115&lt;&gt;0,Y124/Y115,"")</f>
        <v>0.7942704666743048</v>
      </c>
      <c r="Z125" s="32">
        <f>IF(Z115&lt;&gt;0,Z124/Z115,"")</f>
        <v>0.7845018722665545</v>
      </c>
      <c r="AA125" s="32">
        <f>IF(AA115&lt;&gt;0,AA124/AA115,"")</f>
        <v>0.7742255220517207</v>
      </c>
      <c r="AB125" s="32">
        <f>IF(AB115&lt;&gt;0,AB124/AB115,"")</f>
        <v>0.7634148913275068</v>
      </c>
      <c r="AC125" s="32">
        <f>IF(AC115&lt;&gt;0,AC124/AC115,"")</f>
        <v>0.7520420668745111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2428.4229884463393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101.18429118526417</v>
      </c>
      <c r="G128" s="37">
        <f>IF($C$57="annual",IF(G$5&gt;=2,$C$35*$C$58*$C$39*G106,0),IF(AND($C$57="oneTime",G$5=$C$59,$C$59&gt;1,$C$59&lt;=$C$87),$C$35*MIN(0.6,$C$58*(G$5-1))*$C$39*G106,0))</f>
        <v>101.18429118526417</v>
      </c>
      <c r="H128" s="37">
        <f>IF($C$57="annual",IF(H$5&gt;=2,$C$35*$C$58*$C$39*H106,0),IF(AND($C$57="oneTime",H$5=$C$59,$C$59&gt;1,$C$59&lt;=$C$87),$C$35*MIN(0.6,$C$58*(H$5-1))*$C$39*H106,0))</f>
        <v>101.18429118526417</v>
      </c>
      <c r="I128" s="37">
        <f>IF($C$57="annual",IF(I$5&gt;=2,$C$35*$C$58*$C$39*I106,0),IF(AND($C$57="oneTime",I$5=$C$59,$C$59&gt;1,$C$59&lt;=$C$87),$C$35*MIN(0.6,$C$58*(I$5-1))*$C$39*I106,0))</f>
        <v>101.18429118526417</v>
      </c>
      <c r="J128" s="37">
        <f>IF($C$57="annual",IF(J$5&gt;=2,$C$35*$C$58*$C$39*J106,0),IF(AND($C$57="oneTime",J$5=$C$59,$C$59&gt;1,$C$59&lt;=$C$87),$C$35*MIN(0.6,$C$58*(J$5-1))*$C$39*J106,0))</f>
        <v>101.18429118526417</v>
      </c>
      <c r="K128" s="37">
        <f>IF($C$57="annual",IF(K$5&gt;=2,$C$35*$C$58*$C$39*K106,0),IF(AND($C$57="oneTime",K$5=$C$59,$C$59&gt;1,$C$59&lt;=$C$87),$C$35*MIN(0.6,$C$58*(K$5-1))*$C$39*K106,0))</f>
        <v>101.18429118526417</v>
      </c>
      <c r="L128" s="37">
        <f>IF($C$57="annual",IF(L$5&gt;=2,$C$35*$C$58*$C$39*L106,0),IF(AND($C$57="oneTime",L$5=$C$59,$C$59&gt;1,$C$59&lt;=$C$87),$C$35*MIN(0.6,$C$58*(L$5-1))*$C$39*L106,0))</f>
        <v>101.18429118526417</v>
      </c>
      <c r="M128" s="37">
        <f>IF($C$57="annual",IF(M$5&gt;=2,$C$35*$C$58*$C$39*M106,0),IF(AND($C$57="oneTime",M$5=$C$59,$C$59&gt;1,$C$59&lt;=$C$87),$C$35*MIN(0.6,$C$58*(M$5-1))*$C$39*M106,0))</f>
        <v>101.18429118526417</v>
      </c>
      <c r="N128" s="37">
        <f>IF($C$57="annual",IF(N$5&gt;=2,$C$35*$C$58*$C$39*N106,0),IF(AND($C$57="oneTime",N$5=$C$59,$C$59&gt;1,$C$59&lt;=$C$87),$C$35*MIN(0.6,$C$58*(N$5-1))*$C$39*N106,0))</f>
        <v>101.18429118526417</v>
      </c>
      <c r="O128" s="37">
        <f>IF($C$57="annual",IF(O$5&gt;=2,$C$35*$C$58*$C$39*O106,0),IF(AND($C$57="oneTime",O$5=$C$59,$C$59&gt;1,$C$59&lt;=$C$87),$C$35*MIN(0.6,$C$58*(O$5-1))*$C$39*O106,0))</f>
        <v>101.18429118526417</v>
      </c>
      <c r="P128" s="37">
        <f>IF($C$57="annual",IF(P$5&gt;=2,$C$35*$C$58*$C$39*P106,0),IF(AND($C$57="oneTime",P$5=$C$59,$C$59&gt;1,$C$59&lt;=$C$87),$C$35*MIN(0.6,$C$58*(P$5-1))*$C$39*P106,0))</f>
        <v>101.18429118526417</v>
      </c>
      <c r="Q128" s="37">
        <f>IF($C$57="annual",IF(Q$5&gt;=2,$C$35*$C$58*$C$39*Q106,0),IF(AND($C$57="oneTime",Q$5=$C$59,$C$59&gt;1,$C$59&lt;=$C$87),$C$35*MIN(0.6,$C$58*(Q$5-1))*$C$39*Q106,0))</f>
        <v>101.18429118526417</v>
      </c>
      <c r="R128" s="37">
        <f>IF($C$57="annual",IF(R$5&gt;=2,$C$35*$C$58*$C$39*R106,0),IF(AND($C$57="oneTime",R$5=$C$59,$C$59&gt;1,$C$59&lt;=$C$87),$C$35*MIN(0.6,$C$58*(R$5-1))*$C$39*R106,0))</f>
        <v>101.18429118526417</v>
      </c>
      <c r="S128" s="37">
        <f>IF($C$57="annual",IF(S$5&gt;=2,$C$35*$C$58*$C$39*S106,0),IF(AND($C$57="oneTime",S$5=$C$59,$C$59&gt;1,$C$59&lt;=$C$87),$C$35*MIN(0.6,$C$58*(S$5-1))*$C$39*S106,0))</f>
        <v>101.18429118526417</v>
      </c>
      <c r="T128" s="37">
        <f>IF($C$57="annual",IF(T$5&gt;=2,$C$35*$C$58*$C$39*T106,0),IF(AND($C$57="oneTime",T$5=$C$59,$C$59&gt;1,$C$59&lt;=$C$87),$C$35*MIN(0.6,$C$58*(T$5-1))*$C$39*T106,0))</f>
        <v>101.18429118526417</v>
      </c>
      <c r="U128" s="37">
        <f>IF($C$57="annual",IF(U$5&gt;=2,$C$35*$C$58*$C$39*U106,0),IF(AND($C$57="oneTime",U$5=$C$59,$C$59&gt;1,$C$59&lt;=$C$87),$C$35*MIN(0.6,$C$58*(U$5-1))*$C$39*U106,0))</f>
        <v>101.18429118526417</v>
      </c>
      <c r="V128" s="37">
        <f>IF($C$57="annual",IF(V$5&gt;=2,$C$35*$C$58*$C$39*V106,0),IF(AND($C$57="oneTime",V$5=$C$59,$C$59&gt;1,$C$59&lt;=$C$87),$C$35*MIN(0.6,$C$58*(V$5-1))*$C$39*V106,0))</f>
        <v>101.18429118526417</v>
      </c>
      <c r="W128" s="37">
        <f>IF($C$57="annual",IF(W$5&gt;=2,$C$35*$C$58*$C$39*W106,0),IF(AND($C$57="oneTime",W$5=$C$59,$C$59&gt;1,$C$59&lt;=$C$87),$C$35*MIN(0.6,$C$58*(W$5-1))*$C$39*W106,0))</f>
        <v>101.18429118526417</v>
      </c>
      <c r="X128" s="37">
        <f>IF($C$57="annual",IF(X$5&gt;=2,$C$35*$C$58*$C$39*X106,0),IF(AND($C$57="oneTime",X$5=$C$59,$C$59&gt;1,$C$59&lt;=$C$87),$C$35*MIN(0.6,$C$58*(X$5-1))*$C$39*X106,0))</f>
        <v>101.18429118526417</v>
      </c>
      <c r="Y128" s="37">
        <f>IF($C$57="annual",IF(Y$5&gt;=2,$C$35*$C$58*$C$39*Y106,0),IF(AND($C$57="oneTime",Y$5=$C$59,$C$59&gt;1,$C$59&lt;=$C$87),$C$35*MIN(0.6,$C$58*(Y$5-1))*$C$39*Y106,0))</f>
        <v>101.18429118526417</v>
      </c>
      <c r="Z128" s="37">
        <f>IF($C$57="annual",IF(Z$5&gt;=2,$C$35*$C$58*$C$39*Z106,0),IF(AND($C$57="oneTime",Z$5=$C$59,$C$59&gt;1,$C$59&lt;=$C$87),$C$35*MIN(0.6,$C$58*(Z$5-1))*$C$39*Z106,0))</f>
        <v>101.18429118526417</v>
      </c>
      <c r="AA128" s="37">
        <f>IF($C$57="annual",IF(AA$5&gt;=2,$C$35*$C$58*$C$39*AA106,0),IF(AND($C$57="oneTime",AA$5=$C$59,$C$59&gt;1,$C$59&lt;=$C$87),$C$35*MIN(0.6,$C$58*(AA$5-1))*$C$39*AA106,0))</f>
        <v>101.18429118526417</v>
      </c>
      <c r="AB128" s="37">
        <f>IF($C$57="annual",IF(AB$5&gt;=2,$C$35*$C$58*$C$39*AB106,0),IF(AND($C$57="oneTime",AB$5=$C$59,$C$59&gt;1,$C$59&lt;=$C$87),$C$35*MIN(0.6,$C$58*(AB$5-1))*$C$39*AB106,0))</f>
        <v>101.18429118526417</v>
      </c>
      <c r="AC128" s="37">
        <f>IF($C$57="annual",IF(AC$5&gt;=2,$C$35*$C$58*$C$39*AC106,0),IF(AND($C$57="oneTime",AC$5=$C$59,$C$59&gt;1,$C$59&lt;=$C$87),$C$35*MIN(0.6,$C$58*(AC$5-1))*$C$39*AC106,0))</f>
        <v>101.18429118526417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13920.686850925053</v>
      </c>
      <c r="E131" s="37">
        <f>IF(E$5&lt;=$C$72,$C$92,0)</f>
        <v>556.8274740370023</v>
      </c>
      <c r="F131" s="37">
        <f>IF(F$5&lt;=$C$72,$C$92,0)</f>
        <v>556.8274740370023</v>
      </c>
      <c r="G131" s="37">
        <f>IF(G$5&lt;=$C$72,$C$92,0)</f>
        <v>556.8274740370023</v>
      </c>
      <c r="H131" s="37">
        <f>IF(H$5&lt;=$C$72,$C$92,0)</f>
        <v>556.8274740370023</v>
      </c>
      <c r="I131" s="37">
        <f>IF(I$5&lt;=$C$72,$C$92,0)</f>
        <v>556.8274740370023</v>
      </c>
      <c r="J131" s="37">
        <f>IF(J$5&lt;=$C$72,$C$92,0)</f>
        <v>556.8274740370023</v>
      </c>
      <c r="K131" s="37">
        <f>IF(K$5&lt;=$C$72,$C$92,0)</f>
        <v>556.8274740370023</v>
      </c>
      <c r="L131" s="37">
        <f>IF(L$5&lt;=$C$72,$C$92,0)</f>
        <v>556.8274740370023</v>
      </c>
      <c r="M131" s="37">
        <f>IF(M$5&lt;=$C$72,$C$92,0)</f>
        <v>556.8274740370023</v>
      </c>
      <c r="N131" s="37">
        <f>IF(N$5&lt;=$C$72,$C$92,0)</f>
        <v>556.8274740370023</v>
      </c>
      <c r="O131" s="37">
        <f>IF(O$5&lt;=$C$72,$C$92,0)</f>
        <v>556.8274740370023</v>
      </c>
      <c r="P131" s="37">
        <f>IF(P$5&lt;=$C$72,$C$92,0)</f>
        <v>556.8274740370023</v>
      </c>
      <c r="Q131" s="37">
        <f>IF(Q$5&lt;=$C$72,$C$92,0)</f>
        <v>556.8274740370023</v>
      </c>
      <c r="R131" s="37">
        <f>IF(R$5&lt;=$C$72,$C$92,0)</f>
        <v>556.8274740370023</v>
      </c>
      <c r="S131" s="37">
        <f>IF(S$5&lt;=$C$72,$C$92,0)</f>
        <v>556.8274740370023</v>
      </c>
      <c r="T131" s="37">
        <f>IF(T$5&lt;=$C$72,$C$92,0)</f>
        <v>556.8274740370023</v>
      </c>
      <c r="U131" s="37">
        <f>IF(U$5&lt;=$C$72,$C$92,0)</f>
        <v>556.8274740370023</v>
      </c>
      <c r="V131" s="37">
        <f>IF(V$5&lt;=$C$72,$C$92,0)</f>
        <v>556.8274740370023</v>
      </c>
      <c r="W131" s="37">
        <f>IF(W$5&lt;=$C$72,$C$92,0)</f>
        <v>556.8274740370023</v>
      </c>
      <c r="X131" s="37">
        <f>IF(X$5&lt;=$C$72,$C$92,0)</f>
        <v>556.8274740370023</v>
      </c>
      <c r="Y131" s="37">
        <f>IF(Y$5&lt;=$C$72,$C$92,0)</f>
        <v>556.8274740370023</v>
      </c>
      <c r="Z131" s="37">
        <f>IF(Z$5&lt;=$C$72,$C$92,0)</f>
        <v>556.8274740370023</v>
      </c>
      <c r="AA131" s="37">
        <f>IF(AA$5&lt;=$C$72,$C$92,0)</f>
        <v>556.8274740370023</v>
      </c>
      <c r="AB131" s="37">
        <f>IF(AB$5&lt;=$C$72,$C$92,0)</f>
        <v>556.8274740370023</v>
      </c>
      <c r="AC131" s="37">
        <f>IF(AC$5&lt;=$C$72,$C$92,0)</f>
        <v>556.8274740370023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4.2160121327193405</v>
      </c>
      <c r="G132" s="37">
        <f>G128/MAX(1,$C$87-G$5+1)</f>
        <v>4.399317008054964</v>
      </c>
      <c r="H132" s="37">
        <f>H128/MAX(1,$C$87-H$5+1)</f>
        <v>4.599285962966554</v>
      </c>
      <c r="I132" s="37">
        <f>I128/MAX(1,$C$87-I$5+1)</f>
        <v>4.818299580250675</v>
      </c>
      <c r="J132" s="37">
        <f>J128/MAX(1,$C$87-J$5+1)</f>
        <v>5.059214559263209</v>
      </c>
      <c r="K132" s="37">
        <f>K128/MAX(1,$C$87-K$5+1)</f>
        <v>5.325489009750746</v>
      </c>
      <c r="L132" s="37">
        <f>L128/MAX(1,$C$87-L$5+1)</f>
        <v>5.621349510292454</v>
      </c>
      <c r="M132" s="37">
        <f>M128/MAX(1,$C$87-M$5+1)</f>
        <v>5.952017128544951</v>
      </c>
      <c r="N132" s="37">
        <f>N128/MAX(1,$C$87-N$5+1)</f>
        <v>6.324018199079011</v>
      </c>
      <c r="O132" s="37">
        <f>O128/MAX(1,$C$87-O$5+1)</f>
        <v>6.745619412350945</v>
      </c>
      <c r="P132" s="37">
        <f>P128/MAX(1,$C$87-P$5+1)</f>
        <v>7.2274493703760125</v>
      </c>
      <c r="Q132" s="37">
        <f>Q128/MAX(1,$C$87-Q$5+1)</f>
        <v>7.7834070142510905</v>
      </c>
      <c r="R132" s="37">
        <f>R128/MAX(1,$C$87-R$5+1)</f>
        <v>8.432024265438681</v>
      </c>
      <c r="S132" s="37">
        <f>S128/MAX(1,$C$87-S$5+1)</f>
        <v>9.198571925933107</v>
      </c>
      <c r="T132" s="37">
        <f>T128/MAX(1,$C$87-T$5+1)</f>
        <v>10.118429118526418</v>
      </c>
      <c r="U132" s="37">
        <f>U128/MAX(1,$C$87-U$5+1)</f>
        <v>11.242699020584908</v>
      </c>
      <c r="V132" s="37">
        <f>V128/MAX(1,$C$87-V$5+1)</f>
        <v>12.648036398158021</v>
      </c>
      <c r="W132" s="37">
        <f>W128/MAX(1,$C$87-W$5+1)</f>
        <v>14.454898740752025</v>
      </c>
      <c r="X132" s="37">
        <f>X128/MAX(1,$C$87-X$5+1)</f>
        <v>16.864048530877362</v>
      </c>
      <c r="Y132" s="37">
        <f>Y128/MAX(1,$C$87-Y$5+1)</f>
        <v>20.236858237052836</v>
      </c>
      <c r="Z132" s="37">
        <f>Z128/MAX(1,$C$87-Z$5+1)</f>
        <v>25.296072796316043</v>
      </c>
      <c r="AA132" s="37">
        <f>AA128/MAX(1,$C$87-AA$5+1)</f>
        <v>33.728097061754724</v>
      </c>
      <c r="AB132" s="37">
        <f>AB128/MAX(1,$C$87-AB$5+1)</f>
        <v>50.592145592632086</v>
      </c>
      <c r="AC132" s="37">
        <f>AC128/MAX(1,$C$87-AC$5+1)</f>
        <v>101.18429118526417</v>
      </c>
    </row>
    <row r="133" spans="1:29" x14ac:dyDescent="0.25">
      <c r="A133" s="33" t="s">
        <v>204</v>
      </c>
      <c r="B133" s="26" t="s">
        <v>86</v>
      </c>
      <c r="C133" s="57">
        <f>SUM(E133:AC133)</f>
        <v>2428.4229884463402</v>
      </c>
      <c r="E133" s="37">
        <f>E132</f>
        <v>0</v>
      </c>
      <c r="F133" s="37">
        <f>E133+F132</f>
        <v>4.2160121327193405</v>
      </c>
      <c r="G133" s="37">
        <f>F133+G132</f>
        <v>8.615329140774303</v>
      </c>
      <c r="H133" s="37">
        <f>G133+H132</f>
        <v>13.214615103740858</v>
      </c>
      <c r="I133" s="37">
        <f>H133+I132</f>
        <v>18.03291468399153</v>
      </c>
      <c r="J133" s="37">
        <f>I133+J132</f>
        <v>23.09212924325474</v>
      </c>
      <c r="K133" s="37">
        <f>J133+K132</f>
        <v>28.417618253005486</v>
      </c>
      <c r="L133" s="37">
        <f>K133+L132</f>
        <v>34.03896776329794</v>
      </c>
      <c r="M133" s="37">
        <f>L133+M132</f>
        <v>39.99098489184289</v>
      </c>
      <c r="N133" s="37">
        <f>M133+N132</f>
        <v>46.315003090921905</v>
      </c>
      <c r="O133" s="37">
        <f>N133+O132</f>
        <v>53.06062250327285</v>
      </c>
      <c r="P133" s="37">
        <f>O133+P132</f>
        <v>60.28807187364887</v>
      </c>
      <c r="Q133" s="37">
        <f>P133+Q132</f>
        <v>68.07147888789996</v>
      </c>
      <c r="R133" s="37">
        <f>Q133+R132</f>
        <v>76.50350315333864</v>
      </c>
      <c r="S133" s="37">
        <f>R133+S132</f>
        <v>85.70207507927175</v>
      </c>
      <c r="T133" s="37">
        <f>S133+T132</f>
        <v>95.82050419779817</v>
      </c>
      <c r="U133" s="37">
        <f>T133+U132</f>
        <v>107.06320321838308</v>
      </c>
      <c r="V133" s="37">
        <f>U133+V132</f>
        <v>119.7112396165411</v>
      </c>
      <c r="W133" s="37">
        <f>V133+W132</f>
        <v>134.16613835729314</v>
      </c>
      <c r="X133" s="37">
        <f>W133+X132</f>
        <v>151.0301868881705</v>
      </c>
      <c r="Y133" s="37">
        <f>X133+Y132</f>
        <v>171.26704512522335</v>
      </c>
      <c r="Z133" s="37">
        <f>Y133+Z132</f>
        <v>196.5631179215394</v>
      </c>
      <c r="AA133" s="37">
        <f>Z133+AA132</f>
        <v>230.29121498329414</v>
      </c>
      <c r="AB133" s="37">
        <f>AA133+AB132</f>
        <v>280.88336057592625</v>
      </c>
      <c r="AC133" s="37">
        <f>AB133+AC132</f>
        <v>382.0676517611904</v>
      </c>
    </row>
    <row r="134" spans="1:29" x14ac:dyDescent="0.25">
      <c r="A134" s="61" t="s">
        <v>201</v>
      </c>
      <c r="B134" s="62" t="s">
        <v>86</v>
      </c>
      <c r="C134" s="63">
        <f>SUM(E134:AC134)</f>
        <v>16349.109839371395</v>
      </c>
      <c r="D134" s="64"/>
      <c r="E134" s="63">
        <f>E131+E133</f>
        <v>556.8274740370023</v>
      </c>
      <c r="F134" s="63">
        <f>F131+F133</f>
        <v>561.0434861697216</v>
      </c>
      <c r="G134" s="63">
        <f>G131+G133</f>
        <v>565.4428031777766</v>
      </c>
      <c r="H134" s="63">
        <f>H131+H133</f>
        <v>570.0420891407431</v>
      </c>
      <c r="I134" s="63">
        <f>I131+I133</f>
        <v>574.8603887209938</v>
      </c>
      <c r="J134" s="63">
        <f>J131+J133</f>
        <v>579.919603280257</v>
      </c>
      <c r="K134" s="63">
        <f>K131+K133</f>
        <v>585.2450922900077</v>
      </c>
      <c r="L134" s="63">
        <f>L131+L133</f>
        <v>590.8664418003002</v>
      </c>
      <c r="M134" s="63">
        <f>M131+M133</f>
        <v>596.8184589288452</v>
      </c>
      <c r="N134" s="63">
        <f>N131+N133</f>
        <v>603.1424771279242</v>
      </c>
      <c r="O134" s="63">
        <f>O131+O133</f>
        <v>609.8880965402751</v>
      </c>
      <c r="P134" s="63">
        <f>P131+P133</f>
        <v>617.1155459106511</v>
      </c>
      <c r="Q134" s="63">
        <f>Q131+Q133</f>
        <v>624.8989529249022</v>
      </c>
      <c r="R134" s="63">
        <f>R131+R133</f>
        <v>633.330977190341</v>
      </c>
      <c r="S134" s="63">
        <f>S131+S133</f>
        <v>642.529549116274</v>
      </c>
      <c r="T134" s="63">
        <f>T131+T133</f>
        <v>652.6479782348005</v>
      </c>
      <c r="U134" s="63">
        <f>U131+U133</f>
        <v>663.8906772553853</v>
      </c>
      <c r="V134" s="63">
        <f>V131+V133</f>
        <v>676.5387136535434</v>
      </c>
      <c r="W134" s="63">
        <f>W131+W133</f>
        <v>690.9936123942954</v>
      </c>
      <c r="X134" s="63">
        <f>X131+X133</f>
        <v>707.8576609251728</v>
      </c>
      <c r="Y134" s="63">
        <f>Y131+Y133</f>
        <v>728.0945191622257</v>
      </c>
      <c r="Z134" s="63">
        <f>Z131+Z133</f>
        <v>753.3905919585417</v>
      </c>
      <c r="AA134" s="63">
        <f>AA131+AA133</f>
        <v>787.1186890202964</v>
      </c>
      <c r="AB134" s="63">
        <f>AB131+AB133</f>
        <v>837.7108346129285</v>
      </c>
      <c r="AC134" s="63">
        <f>AC131+AC133</f>
        <v>938.8951257981927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10827.200884052821</v>
      </c>
      <c r="F137" s="37">
        <f>E140</f>
        <v>10105.387491782634</v>
      </c>
      <c r="G137" s="37">
        <f>F140</f>
        <v>9383.574099512447</v>
      </c>
      <c r="H137" s="37">
        <f>G140</f>
        <v>8661.76070724226</v>
      </c>
      <c r="I137" s="37">
        <f>H140</f>
        <v>7939.947314972072</v>
      </c>
      <c r="J137" s="37">
        <f>I140</f>
        <v>7218.133922701883</v>
      </c>
      <c r="K137" s="37">
        <f>J140</f>
        <v>6496.320530431695</v>
      </c>
      <c r="L137" s="37">
        <f>K140</f>
        <v>5774.507138161507</v>
      </c>
      <c r="M137" s="37">
        <f>L140</f>
        <v>5052.693745891319</v>
      </c>
      <c r="N137" s="37">
        <f>M140</f>
        <v>4330.880353621131</v>
      </c>
      <c r="O137" s="37">
        <f>N140</f>
        <v>3609.0669613509426</v>
      </c>
      <c r="P137" s="37">
        <f>O140</f>
        <v>2887.2535690807545</v>
      </c>
      <c r="Q137" s="37">
        <f>P140</f>
        <v>2165.4401768105663</v>
      </c>
      <c r="R137" s="37">
        <f>Q140</f>
        <v>1443.6267845403781</v>
      </c>
      <c r="S137" s="37">
        <f>R140</f>
        <v>721.8133922701901</v>
      </c>
      <c r="T137" s="37">
        <f>S140</f>
        <v>2.0463630789890885e-12</v>
      </c>
      <c r="U137" s="37">
        <f>T140</f>
        <v>2.0463630789890885e-12</v>
      </c>
      <c r="V137" s="37">
        <f>U140</f>
        <v>2.0463630789890885e-12</v>
      </c>
      <c r="W137" s="37">
        <f>V140</f>
        <v>2.0463630789890885e-12</v>
      </c>
      <c r="X137" s="37">
        <f>W140</f>
        <v>2.0463630789890885e-12</v>
      </c>
      <c r="Y137" s="37">
        <f>X140</f>
        <v>2.0463630789890885e-12</v>
      </c>
      <c r="Z137" s="37">
        <f>Y140</f>
        <v>2.0463630789890885e-12</v>
      </c>
      <c r="AA137" s="37">
        <f>Z140</f>
        <v>2.0463630789890885e-12</v>
      </c>
      <c r="AB137" s="37">
        <f>AA140</f>
        <v>2.0463630789890885e-12</v>
      </c>
      <c r="AC137" s="37">
        <f>AB140</f>
        <v>2.0463630789890885e-12</v>
      </c>
    </row>
    <row r="138" spans="1:29" x14ac:dyDescent="0.25">
      <c r="A138" s="33" t="s">
        <v>206</v>
      </c>
      <c r="B138" s="26" t="s">
        <v>86</v>
      </c>
      <c r="C138" s="57">
        <f>SUM(E138:AC138)</f>
        <v>7795.584636518033</v>
      </c>
      <c r="E138" s="37">
        <f>E137*$C$63</f>
        <v>974.4480795647539</v>
      </c>
      <c r="F138" s="37">
        <f>F137*$C$63</f>
        <v>909.4848742604371</v>
      </c>
      <c r="G138" s="37">
        <f>G137*$C$63</f>
        <v>844.5216689561202</v>
      </c>
      <c r="H138" s="37">
        <f>H137*$C$63</f>
        <v>779.5584636518033</v>
      </c>
      <c r="I138" s="37">
        <f>I137*$C$63</f>
        <v>714.5952583474864</v>
      </c>
      <c r="J138" s="37">
        <f>J137*$C$63</f>
        <v>649.6320530431694</v>
      </c>
      <c r="K138" s="37">
        <f>K137*$C$63</f>
        <v>584.6688477388526</v>
      </c>
      <c r="L138" s="37">
        <f>L137*$C$63</f>
        <v>519.7056424345357</v>
      </c>
      <c r="M138" s="37">
        <f>M137*$C$63</f>
        <v>454.74243713021866</v>
      </c>
      <c r="N138" s="37">
        <f>N137*$C$63</f>
        <v>389.7792318259018</v>
      </c>
      <c r="O138" s="37">
        <f>O137*$C$63</f>
        <v>324.81602652158483</v>
      </c>
      <c r="P138" s="37">
        <f>P137*$C$63</f>
        <v>259.8528212172679</v>
      </c>
      <c r="Q138" s="37">
        <f>Q137*$C$63</f>
        <v>194.88961591295097</v>
      </c>
      <c r="R138" s="37">
        <f>R137*$C$63</f>
        <v>129.92641060863403</v>
      </c>
      <c r="S138" s="37">
        <f>S137*$C$63</f>
        <v>64.9632053043171</v>
      </c>
      <c r="T138" s="37">
        <f>T137*$C$63</f>
        <v>1.8417267710901796e-13</v>
      </c>
      <c r="U138" s="37">
        <f>U137*$C$63</f>
        <v>1.8417267710901796e-13</v>
      </c>
      <c r="V138" s="37">
        <f>V137*$C$63</f>
        <v>1.8417267710901796e-13</v>
      </c>
      <c r="W138" s="37">
        <f>W137*$C$63</f>
        <v>1.8417267710901796e-13</v>
      </c>
      <c r="X138" s="37">
        <f>X137*$C$63</f>
        <v>1.8417267710901796e-13</v>
      </c>
      <c r="Y138" s="37">
        <f>Y137*$C$63</f>
        <v>1.8417267710901796e-13</v>
      </c>
      <c r="Z138" s="37">
        <f>Z137*$C$63</f>
        <v>1.8417267710901796e-13</v>
      </c>
      <c r="AA138" s="37">
        <f>AA137*$C$63</f>
        <v>1.8417267710901796e-13</v>
      </c>
      <c r="AB138" s="37">
        <f>AB137*$C$63</f>
        <v>1.8417267710901796e-13</v>
      </c>
      <c r="AC138" s="37">
        <f>AC137*$C$63</f>
        <v>1.8417267710901796e-13</v>
      </c>
    </row>
    <row r="139" spans="1:29" x14ac:dyDescent="0.25">
      <c r="A139" s="33" t="s">
        <v>207</v>
      </c>
      <c r="B139" s="26" t="s">
        <v>86</v>
      </c>
      <c r="C139" s="57">
        <f>SUM(E139:AC139)</f>
        <v>10827.200884052818</v>
      </c>
      <c r="E139" s="37">
        <f>IF(AND(E$5&lt;=$C$88,E137&gt;1E-9),IF($C$65="annuity",MIN(E137,$C$89-E138),MIN(E137,$C$90)),0)</f>
        <v>721.813392270188</v>
      </c>
      <c r="F139" s="37">
        <f>IF(AND(F$5&lt;=$C$88,F137&gt;1E-9),IF($C$65="annuity",MIN(F137,$C$89-F138),MIN(F137,$C$90)),0)</f>
        <v>721.813392270188</v>
      </c>
      <c r="G139" s="37">
        <f>IF(AND(G$5&lt;=$C$88,G137&gt;1E-9),IF($C$65="annuity",MIN(G137,$C$89-G138),MIN(G137,$C$90)),0)</f>
        <v>721.813392270188</v>
      </c>
      <c r="H139" s="37">
        <f>IF(AND(H$5&lt;=$C$88,H137&gt;1E-9),IF($C$65="annuity",MIN(H137,$C$89-H138),MIN(H137,$C$90)),0)</f>
        <v>721.813392270188</v>
      </c>
      <c r="I139" s="37">
        <f>IF(AND(I$5&lt;=$C$88,I137&gt;1E-9),IF($C$65="annuity",MIN(I137,$C$89-I138),MIN(I137,$C$90)),0)</f>
        <v>721.813392270188</v>
      </c>
      <c r="J139" s="37">
        <f>IF(AND(J$5&lt;=$C$88,J137&gt;1E-9),IF($C$65="annuity",MIN(J137,$C$89-J138),MIN(J137,$C$90)),0)</f>
        <v>721.813392270188</v>
      </c>
      <c r="K139" s="37">
        <f>IF(AND(K$5&lt;=$C$88,K137&gt;1E-9),IF($C$65="annuity",MIN(K137,$C$89-K138),MIN(K137,$C$90)),0)</f>
        <v>721.813392270188</v>
      </c>
      <c r="L139" s="37">
        <f>IF(AND(L$5&lt;=$C$88,L137&gt;1E-9),IF($C$65="annuity",MIN(L137,$C$89-L138),MIN(L137,$C$90)),0)</f>
        <v>721.813392270188</v>
      </c>
      <c r="M139" s="37">
        <f>IF(AND(M$5&lt;=$C$88,M137&gt;1E-9),IF($C$65="annuity",MIN(M137,$C$89-M138),MIN(M137,$C$90)),0)</f>
        <v>721.813392270188</v>
      </c>
      <c r="N139" s="37">
        <f>IF(AND(N$5&lt;=$C$88,N137&gt;1E-9),IF($C$65="annuity",MIN(N137,$C$89-N138),MIN(N137,$C$90)),0)</f>
        <v>721.813392270188</v>
      </c>
      <c r="O139" s="37">
        <f>IF(AND(O$5&lt;=$C$88,O137&gt;1E-9),IF($C$65="annuity",MIN(O137,$C$89-O138),MIN(O137,$C$90)),0)</f>
        <v>721.813392270188</v>
      </c>
      <c r="P139" s="37">
        <f>IF(AND(P$5&lt;=$C$88,P137&gt;1E-9),IF($C$65="annuity",MIN(P137,$C$89-P138),MIN(P137,$C$90)),0)</f>
        <v>721.813392270188</v>
      </c>
      <c r="Q139" s="37">
        <f>IF(AND(Q$5&lt;=$C$88,Q137&gt;1E-9),IF($C$65="annuity",MIN(Q137,$C$89-Q138),MIN(Q137,$C$90)),0)</f>
        <v>721.813392270188</v>
      </c>
      <c r="R139" s="37">
        <f>IF(AND(R$5&lt;=$C$88,R137&gt;1E-9),IF($C$65="annuity",MIN(R137,$C$89-R138),MIN(R137,$C$90)),0)</f>
        <v>721.813392270188</v>
      </c>
      <c r="S139" s="37">
        <f>IF(AND(S$5&lt;=$C$88,S137&gt;1E-9),IF($C$65="annuity",MIN(S137,$C$89-S138),MIN(S137,$C$90)),0)</f>
        <v>721.813392270188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10105.387491782634</v>
      </c>
      <c r="F140" s="37">
        <f>F137-F139</f>
        <v>9383.574099512447</v>
      </c>
      <c r="G140" s="37">
        <f>G137-G139</f>
        <v>8661.76070724226</v>
      </c>
      <c r="H140" s="37">
        <f>H137-H139</f>
        <v>7939.947314972072</v>
      </c>
      <c r="I140" s="37">
        <f>I137-I139</f>
        <v>7218.133922701883</v>
      </c>
      <c r="J140" s="37">
        <f>J137-J139</f>
        <v>6496.320530431695</v>
      </c>
      <c r="K140" s="37">
        <f>K137-K139</f>
        <v>5774.507138161507</v>
      </c>
      <c r="L140" s="37">
        <f>L137-L139</f>
        <v>5052.693745891319</v>
      </c>
      <c r="M140" s="37">
        <f>M137-M139</f>
        <v>4330.880353621131</v>
      </c>
      <c r="N140" s="37">
        <f>N137-N139</f>
        <v>3609.0669613509426</v>
      </c>
      <c r="O140" s="37">
        <f>O137-O139</f>
        <v>2887.2535690807545</v>
      </c>
      <c r="P140" s="37">
        <f>P137-P139</f>
        <v>2165.4401768105663</v>
      </c>
      <c r="Q140" s="37">
        <f>Q137-Q139</f>
        <v>1443.6267845403781</v>
      </c>
      <c r="R140" s="37">
        <f>R137-R139</f>
        <v>721.8133922701901</v>
      </c>
      <c r="S140" s="37">
        <f>S137-S139</f>
        <v>2.0463630789890885e-12</v>
      </c>
      <c r="T140" s="37">
        <f>T137-T139</f>
        <v>2.0463630789890885e-12</v>
      </c>
      <c r="U140" s="37">
        <f>U137-U139</f>
        <v>2.0463630789890885e-12</v>
      </c>
      <c r="V140" s="37">
        <f>V137-V139</f>
        <v>2.0463630789890885e-12</v>
      </c>
      <c r="W140" s="37">
        <f>W137-W139</f>
        <v>2.0463630789890885e-12</v>
      </c>
      <c r="X140" s="37">
        <f>X137-X139</f>
        <v>2.0463630789890885e-12</v>
      </c>
      <c r="Y140" s="37">
        <f>Y137-Y139</f>
        <v>2.0463630789890885e-12</v>
      </c>
      <c r="Z140" s="37">
        <f>Z137-Z139</f>
        <v>2.0463630789890885e-12</v>
      </c>
      <c r="AA140" s="37">
        <f>AA137-AA139</f>
        <v>2.0463630789890885e-12</v>
      </c>
      <c r="AB140" s="37">
        <f>AB137-AB139</f>
        <v>2.0463630789890885e-12</v>
      </c>
      <c r="AC140" s="37">
        <f>AC137-AC139</f>
        <v>2.0463630789890885e-12</v>
      </c>
    </row>
    <row r="141" spans="1:29" x14ac:dyDescent="0.25">
      <c r="A141" s="61" t="s">
        <v>209</v>
      </c>
      <c r="B141" s="62" t="s">
        <v>86</v>
      </c>
      <c r="C141" s="63">
        <f>SUM(E141:AC141)</f>
        <v>18622.785520570862</v>
      </c>
      <c r="D141" s="64"/>
      <c r="E141" s="63">
        <f>E138+E139</f>
        <v>1696.2614718349419</v>
      </c>
      <c r="F141" s="63">
        <f>F138+F139</f>
        <v>1631.2982665306251</v>
      </c>
      <c r="G141" s="63">
        <f>G138+G139</f>
        <v>1566.3350612263082</v>
      </c>
      <c r="H141" s="63">
        <f>H138+H139</f>
        <v>1501.3718559219915</v>
      </c>
      <c r="I141" s="63">
        <f>I138+I139</f>
        <v>1436.4086506176745</v>
      </c>
      <c r="J141" s="63">
        <f>J138+J139</f>
        <v>1371.4454453133576</v>
      </c>
      <c r="K141" s="63">
        <f>K138+K139</f>
        <v>1306.4822400090407</v>
      </c>
      <c r="L141" s="63">
        <f>L138+L139</f>
        <v>1241.5190347047237</v>
      </c>
      <c r="M141" s="63">
        <f>M138+M139</f>
        <v>1176.5558294004068</v>
      </c>
      <c r="N141" s="63">
        <f>N138+N139</f>
        <v>1111.5926240960898</v>
      </c>
      <c r="O141" s="63">
        <f>O138+O139</f>
        <v>1046.6294187917729</v>
      </c>
      <c r="P141" s="63">
        <f>P138+P139</f>
        <v>981.6662134874559</v>
      </c>
      <c r="Q141" s="63">
        <f>Q138+Q139</f>
        <v>916.703008183139</v>
      </c>
      <c r="R141" s="63">
        <f>R138+R139</f>
        <v>851.739802878822</v>
      </c>
      <c r="S141" s="63">
        <f>S138+S139</f>
        <v>786.7765975745051</v>
      </c>
      <c r="T141" s="63">
        <f>T138+T139</f>
        <v>1.8417267710901796e-13</v>
      </c>
      <c r="U141" s="63">
        <f>U138+U139</f>
        <v>1.8417267710901796e-13</v>
      </c>
      <c r="V141" s="63">
        <f>V138+V139</f>
        <v>1.8417267710901796e-13</v>
      </c>
      <c r="W141" s="63">
        <f>W138+W139</f>
        <v>1.8417267710901796e-13</v>
      </c>
      <c r="X141" s="63">
        <f>X138+X139</f>
        <v>1.8417267710901796e-13</v>
      </c>
      <c r="Y141" s="63">
        <f>Y138+Y139</f>
        <v>1.8417267710901796e-13</v>
      </c>
      <c r="Z141" s="63">
        <f>Z138+Z139</f>
        <v>1.8417267710901796e-13</v>
      </c>
      <c r="AA141" s="63">
        <f>AA138+AA139</f>
        <v>1.8417267710901796e-13</v>
      </c>
      <c r="AB141" s="63">
        <f>AB138+AB139</f>
        <v>1.8417267710901796e-13</v>
      </c>
      <c r="AC141" s="63">
        <f>AC138+AC139</f>
        <v>1.8417267710901796e-13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15467.429834361175</v>
      </c>
      <c r="F144" s="37">
        <f>E147</f>
        <v>9280.457900616704</v>
      </c>
      <c r="G144" s="37">
        <f>F147</f>
        <v>5628.9853150811805</v>
      </c>
      <c r="H144" s="37">
        <f>G147</f>
        <v>3438.101763759867</v>
      </c>
      <c r="I144" s="37">
        <f>H147</f>
        <v>2123.5716329670786</v>
      </c>
      <c r="J144" s="37">
        <f>I147</f>
        <v>1334.8535544914057</v>
      </c>
      <c r="K144" s="37">
        <f>J147</f>
        <v>861.6227074060018</v>
      </c>
      <c r="L144" s="37">
        <f>K147</f>
        <v>577.6841991547597</v>
      </c>
      <c r="M144" s="37">
        <f>L147</f>
        <v>407.3210942040143</v>
      </c>
      <c r="N144" s="37">
        <f>M147</f>
        <v>305.10323123356704</v>
      </c>
      <c r="O144" s="37">
        <f>N147</f>
        <v>243.77251345129872</v>
      </c>
      <c r="P144" s="37">
        <f>O147</f>
        <v>206.9740827819377</v>
      </c>
      <c r="Q144" s="37">
        <f>P147</f>
        <v>184.89502438032113</v>
      </c>
      <c r="R144" s="37">
        <f>Q147</f>
        <v>171.64758933935119</v>
      </c>
      <c r="S144" s="37">
        <f>R147</f>
        <v>163.6991283147692</v>
      </c>
      <c r="T144" s="37">
        <f>S147</f>
        <v>158.93005170002002</v>
      </c>
      <c r="U144" s="37">
        <f>T147</f>
        <v>156.06860573117052</v>
      </c>
      <c r="V144" s="37">
        <f>U147</f>
        <v>154.3517381498608</v>
      </c>
      <c r="W144" s="37">
        <f>V147</f>
        <v>153.321617601075</v>
      </c>
      <c r="X144" s="37">
        <f>W147</f>
        <v>152.70354527180348</v>
      </c>
      <c r="Y144" s="37">
        <f>X147</f>
        <v>152.33270187424057</v>
      </c>
      <c r="Z144" s="37">
        <f>Y147</f>
        <v>152.11019583570283</v>
      </c>
      <c r="AA144" s="37">
        <f>Z147</f>
        <v>151.9766922125802</v>
      </c>
      <c r="AB144" s="37">
        <f>AA147</f>
        <v>151.89659003870662</v>
      </c>
      <c r="AC144" s="37">
        <f>AB147</f>
        <v>151.84852873438246</v>
      </c>
    </row>
    <row r="145" spans="1:29" x14ac:dyDescent="0.25">
      <c r="A145" s="33" t="s">
        <v>211</v>
      </c>
      <c r="B145" s="26" t="s">
        <v>86</v>
      </c>
      <c r="C145" s="57">
        <f>SUM(E145:AC145)</f>
        <v>2428.4229884463393</v>
      </c>
      <c r="E145" s="37">
        <f>E128</f>
        <v>0</v>
      </c>
      <c r="F145" s="37">
        <f>F128</f>
        <v>101.18429118526417</v>
      </c>
      <c r="G145" s="37">
        <f>G128</f>
        <v>101.18429118526417</v>
      </c>
      <c r="H145" s="37">
        <f>H128</f>
        <v>101.18429118526417</v>
      </c>
      <c r="I145" s="37">
        <f>I128</f>
        <v>101.18429118526417</v>
      </c>
      <c r="J145" s="37">
        <f>J128</f>
        <v>101.18429118526417</v>
      </c>
      <c r="K145" s="37">
        <f>K128</f>
        <v>101.18429118526417</v>
      </c>
      <c r="L145" s="37">
        <f>L128</f>
        <v>101.18429118526417</v>
      </c>
      <c r="M145" s="37">
        <f>M128</f>
        <v>101.18429118526417</v>
      </c>
      <c r="N145" s="37">
        <f>N128</f>
        <v>101.18429118526417</v>
      </c>
      <c r="O145" s="37">
        <f>O128</f>
        <v>101.18429118526417</v>
      </c>
      <c r="P145" s="37">
        <f>P128</f>
        <v>101.18429118526417</v>
      </c>
      <c r="Q145" s="37">
        <f>Q128</f>
        <v>101.18429118526417</v>
      </c>
      <c r="R145" s="37">
        <f>R128</f>
        <v>101.18429118526417</v>
      </c>
      <c r="S145" s="37">
        <f>S128</f>
        <v>101.18429118526417</v>
      </c>
      <c r="T145" s="37">
        <f>T128</f>
        <v>101.18429118526417</v>
      </c>
      <c r="U145" s="37">
        <f>U128</f>
        <v>101.18429118526417</v>
      </c>
      <c r="V145" s="37">
        <f>V128</f>
        <v>101.18429118526417</v>
      </c>
      <c r="W145" s="37">
        <f>W128</f>
        <v>101.18429118526417</v>
      </c>
      <c r="X145" s="37">
        <f>X128</f>
        <v>101.18429118526417</v>
      </c>
      <c r="Y145" s="37">
        <f>Y128</f>
        <v>101.18429118526417</v>
      </c>
      <c r="Z145" s="37">
        <f>Z128</f>
        <v>101.18429118526417</v>
      </c>
      <c r="AA145" s="37">
        <f>AA128</f>
        <v>101.18429118526417</v>
      </c>
      <c r="AB145" s="37">
        <f>AB128</f>
        <v>101.18429118526417</v>
      </c>
      <c r="AC145" s="37">
        <f>AC128</f>
        <v>101.18429118526417</v>
      </c>
    </row>
    <row r="146" spans="1:29" x14ac:dyDescent="0.25">
      <c r="A146" s="61" t="s">
        <v>163</v>
      </c>
      <c r="B146" s="62" t="s">
        <v>86</v>
      </c>
      <c r="C146" s="63">
        <f>SUM(E146:AC146)</f>
        <v>17744.033130855725</v>
      </c>
      <c r="D146" s="64"/>
      <c r="E146" s="63">
        <f>IF($C$70="wdv",(E144+E145)*$C$71,E134)</f>
        <v>6186.97193374447</v>
      </c>
      <c r="F146" s="63">
        <f>IF($C$70="wdv",(F144+F145)*$C$71,F134)</f>
        <v>3752.6568767207873</v>
      </c>
      <c r="G146" s="63">
        <f>IF($C$70="wdv",(G144+G145)*$C$71,G134)</f>
        <v>2292.067842506578</v>
      </c>
      <c r="H146" s="63">
        <f>IF($C$70="wdv",(H144+H145)*$C$71,H134)</f>
        <v>1415.7144219780525</v>
      </c>
      <c r="I146" s="63">
        <f>IF($C$70="wdv",(I144+I145)*$C$71,I134)</f>
        <v>889.9023696609371</v>
      </c>
      <c r="J146" s="63">
        <f>IF($C$70="wdv",(J144+J145)*$C$71,J134)</f>
        <v>574.415138270668</v>
      </c>
      <c r="K146" s="63">
        <f>IF($C$70="wdv",(K144+K145)*$C$71,K134)</f>
        <v>385.12279943650645</v>
      </c>
      <c r="L146" s="63">
        <f>IF($C$70="wdv",(L144+L145)*$C$71,L134)</f>
        <v>271.5473961360096</v>
      </c>
      <c r="M146" s="63">
        <f>IF($C$70="wdv",(M144+M145)*$C$71,M134)</f>
        <v>203.4021541557114</v>
      </c>
      <c r="N146" s="63">
        <f>IF($C$70="wdv",(N144+N145)*$C$71,N134)</f>
        <v>162.51500896753248</v>
      </c>
      <c r="O146" s="63">
        <f>IF($C$70="wdv",(O144+O145)*$C$71,O134)</f>
        <v>137.98272185462517</v>
      </c>
      <c r="P146" s="63">
        <f>IF($C$70="wdv",(P144+P145)*$C$71,P134)</f>
        <v>123.26334958688076</v>
      </c>
      <c r="Q146" s="63">
        <f>IF($C$70="wdv",(Q144+Q145)*$C$71,Q134)</f>
        <v>114.43172622623413</v>
      </c>
      <c r="R146" s="63">
        <f>IF($C$70="wdv",(R144+R145)*$C$71,R134)</f>
        <v>109.13275220984616</v>
      </c>
      <c r="S146" s="63">
        <f>IF($C$70="wdv",(S144+S145)*$C$71,S134)</f>
        <v>105.95336780001335</v>
      </c>
      <c r="T146" s="63">
        <f>IF($C$70="wdv",(T144+T145)*$C$71,T134)</f>
        <v>104.04573715411368</v>
      </c>
      <c r="U146" s="63">
        <f>IF($C$70="wdv",(U144+U145)*$C$71,U134)</f>
        <v>102.90115876657387</v>
      </c>
      <c r="V146" s="63">
        <f>IF($C$70="wdv",(V144+V145)*$C$71,V134)</f>
        <v>102.21441173404999</v>
      </c>
      <c r="W146" s="63">
        <f>IF($C$70="wdv",(W144+W145)*$C$71,W134)</f>
        <v>101.80236351453567</v>
      </c>
      <c r="X146" s="63">
        <f>IF($C$70="wdv",(X144+X145)*$C$71,X134)</f>
        <v>101.55513458282707</v>
      </c>
      <c r="Y146" s="63">
        <f>IF($C$70="wdv",(Y144+Y145)*$C$71,Y134)</f>
        <v>101.4067972238019</v>
      </c>
      <c r="Z146" s="63">
        <f>IF($C$70="wdv",(Z144+Z145)*$C$71,Z134)</f>
        <v>101.3177948083868</v>
      </c>
      <c r="AA146" s="63">
        <f>IF($C$70="wdv",(AA144+AA145)*$C$71,AA134)</f>
        <v>101.26439335913774</v>
      </c>
      <c r="AB146" s="63">
        <f>IF($C$70="wdv",(AB144+AB145)*$C$71,AB134)</f>
        <v>101.23235248958832</v>
      </c>
      <c r="AC146" s="63">
        <f>IF($C$70="wdv",(AC144+AC145)*$C$71,AC134)</f>
        <v>101.21312796785865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9280.457900616704</v>
      </c>
      <c r="F147" s="37">
        <f>F144+F145-IF($C$70="wdv",F146,0)</f>
        <v>5628.9853150811805</v>
      </c>
      <c r="G147" s="37">
        <f>G144+G145-IF($C$70="wdv",G146,0)</f>
        <v>3438.101763759867</v>
      </c>
      <c r="H147" s="37">
        <f>H144+H145-IF($C$70="wdv",H146,0)</f>
        <v>2123.5716329670786</v>
      </c>
      <c r="I147" s="37">
        <f>I144+I145-IF($C$70="wdv",I146,0)</f>
        <v>1334.8535544914057</v>
      </c>
      <c r="J147" s="37">
        <f>J144+J145-IF($C$70="wdv",J146,0)</f>
        <v>861.6227074060018</v>
      </c>
      <c r="K147" s="37">
        <f>K144+K145-IF($C$70="wdv",K146,0)</f>
        <v>577.6841991547597</v>
      </c>
      <c r="L147" s="37">
        <f>L144+L145-IF($C$70="wdv",L146,0)</f>
        <v>407.3210942040143</v>
      </c>
      <c r="M147" s="37">
        <f>M144+M145-IF($C$70="wdv",M146,0)</f>
        <v>305.10323123356704</v>
      </c>
      <c r="N147" s="37">
        <f>N144+N145-IF($C$70="wdv",N146,0)</f>
        <v>243.77251345129872</v>
      </c>
      <c r="O147" s="37">
        <f>O144+O145-IF($C$70="wdv",O146,0)</f>
        <v>206.9740827819377</v>
      </c>
      <c r="P147" s="37">
        <f>P144+P145-IF($C$70="wdv",P146,0)</f>
        <v>184.89502438032113</v>
      </c>
      <c r="Q147" s="37">
        <f>Q144+Q145-IF($C$70="wdv",Q146,0)</f>
        <v>171.64758933935119</v>
      </c>
      <c r="R147" s="37">
        <f>R144+R145-IF($C$70="wdv",R146,0)</f>
        <v>163.6991283147692</v>
      </c>
      <c r="S147" s="37">
        <f>S144+S145-IF($C$70="wdv",S146,0)</f>
        <v>158.93005170002002</v>
      </c>
      <c r="T147" s="37">
        <f>T144+T145-IF($C$70="wdv",T146,0)</f>
        <v>156.06860573117052</v>
      </c>
      <c r="U147" s="37">
        <f>U144+U145-IF($C$70="wdv",U146,0)</f>
        <v>154.3517381498608</v>
      </c>
      <c r="V147" s="37">
        <f>V144+V145-IF($C$70="wdv",V146,0)</f>
        <v>153.321617601075</v>
      </c>
      <c r="W147" s="37">
        <f>W144+W145-IF($C$70="wdv",W146,0)</f>
        <v>152.70354527180348</v>
      </c>
      <c r="X147" s="37">
        <f>X144+X145-IF($C$70="wdv",X146,0)</f>
        <v>152.33270187424057</v>
      </c>
      <c r="Y147" s="37">
        <f>Y144+Y145-IF($C$70="wdv",Y146,0)</f>
        <v>152.11019583570283</v>
      </c>
      <c r="Z147" s="37">
        <f>Z144+Z145-IF($C$70="wdv",Z146,0)</f>
        <v>151.9766922125802</v>
      </c>
      <c r="AA147" s="37">
        <f>AA144+AA145-IF($C$70="wdv",AA146,0)</f>
        <v>151.89659003870662</v>
      </c>
      <c r="AB147" s="37">
        <f>AB144+AB145-IF($C$70="wdv",AB146,0)</f>
        <v>151.84852873438246</v>
      </c>
      <c r="AC147" s="37">
        <f>AC144+AC145-IF($C$70="wdv",AC146,0)</f>
        <v>151.81969195178795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50480.78007529259</v>
      </c>
      <c r="E150" s="37">
        <f>E124</f>
        <v>2224.6414653856023</v>
      </c>
      <c r="F150" s="37">
        <f>F124</f>
        <v>2211.7705336601102</v>
      </c>
      <c r="G150" s="37">
        <f>G124</f>
        <v>2198.487423615268</v>
      </c>
      <c r="H150" s="37">
        <f>H124</f>
        <v>2184.771526335109</v>
      </c>
      <c r="I150" s="37">
        <f>I124</f>
        <v>2170.6012024578654</v>
      </c>
      <c r="J150" s="37">
        <f>J124</f>
        <v>2155.953730653685</v>
      </c>
      <c r="K150" s="37">
        <f>K124</f>
        <v>2140.8052535262195</v>
      </c>
      <c r="L150" s="37">
        <f>L124</f>
        <v>2125.130720809306</v>
      </c>
      <c r="M150" s="37">
        <f>M124</f>
        <v>2108.9038297234724</v>
      </c>
      <c r="N150" s="37">
        <f>N124</f>
        <v>2092.0969623502697</v>
      </c>
      <c r="O150" s="37">
        <f>O124</f>
        <v>2074.681119875332</v>
      </c>
      <c r="P150" s="37">
        <f>P124</f>
        <v>2056.6258535435722</v>
      </c>
      <c r="Q150" s="37">
        <f>Q124</f>
        <v>2037.8991921621496</v>
      </c>
      <c r="R150" s="37">
        <f>R124</f>
        <v>2018.4675659785803</v>
      </c>
      <c r="S150" s="37">
        <f>S124</f>
        <v>1998.2957267527568</v>
      </c>
      <c r="T150" s="37">
        <f>T124</f>
        <v>1977.3466638325667</v>
      </c>
      <c r="U150" s="37">
        <f>U124</f>
        <v>1955.5815160332922</v>
      </c>
      <c r="V150" s="37">
        <f>V124</f>
        <v>1932.959479110978</v>
      </c>
      <c r="W150" s="37">
        <f>W124</f>
        <v>1909.4377086094735</v>
      </c>
      <c r="X150" s="37">
        <f>X124</f>
        <v>1884.9712178498175</v>
      </c>
      <c r="Y150" s="37">
        <f>Y124</f>
        <v>1859.512770819103</v>
      </c>
      <c r="Z150" s="37">
        <f>Z124</f>
        <v>1833.0127697037778</v>
      </c>
      <c r="AA150" s="37">
        <f>AA124</f>
        <v>1805.4191367996116</v>
      </c>
      <c r="AB150" s="37">
        <f>AB124</f>
        <v>1776.6771905171615</v>
      </c>
      <c r="AC150" s="37">
        <f>AC124</f>
        <v>1746.7295151875135</v>
      </c>
    </row>
    <row r="151" spans="1:29" x14ac:dyDescent="0.25">
      <c r="A151" s="33" t="s">
        <v>214</v>
      </c>
      <c r="B151" s="26" t="s">
        <v>86</v>
      </c>
      <c r="C151" s="57">
        <f>SUM(E151:AC151)</f>
        <v>16349.109839371395</v>
      </c>
      <c r="E151" s="37">
        <f>E134</f>
        <v>556.8274740370023</v>
      </c>
      <c r="F151" s="37">
        <f>F134</f>
        <v>561.0434861697216</v>
      </c>
      <c r="G151" s="37">
        <f>G134</f>
        <v>565.4428031777766</v>
      </c>
      <c r="H151" s="37">
        <f>H134</f>
        <v>570.0420891407431</v>
      </c>
      <c r="I151" s="37">
        <f>I134</f>
        <v>574.8603887209938</v>
      </c>
      <c r="J151" s="37">
        <f>J134</f>
        <v>579.919603280257</v>
      </c>
      <c r="K151" s="37">
        <f>K134</f>
        <v>585.2450922900077</v>
      </c>
      <c r="L151" s="37">
        <f>L134</f>
        <v>590.8664418003002</v>
      </c>
      <c r="M151" s="37">
        <f>M134</f>
        <v>596.8184589288452</v>
      </c>
      <c r="N151" s="37">
        <f>N134</f>
        <v>603.1424771279242</v>
      </c>
      <c r="O151" s="37">
        <f>O134</f>
        <v>609.8880965402751</v>
      </c>
      <c r="P151" s="37">
        <f>P134</f>
        <v>617.1155459106511</v>
      </c>
      <c r="Q151" s="37">
        <f>Q134</f>
        <v>624.8989529249022</v>
      </c>
      <c r="R151" s="37">
        <f>R134</f>
        <v>633.330977190341</v>
      </c>
      <c r="S151" s="37">
        <f>S134</f>
        <v>642.529549116274</v>
      </c>
      <c r="T151" s="37">
        <f>T134</f>
        <v>652.6479782348005</v>
      </c>
      <c r="U151" s="37">
        <f>U134</f>
        <v>663.8906772553853</v>
      </c>
      <c r="V151" s="37">
        <f>V134</f>
        <v>676.5387136535434</v>
      </c>
      <c r="W151" s="37">
        <f>W134</f>
        <v>690.9936123942954</v>
      </c>
      <c r="X151" s="37">
        <f>X134</f>
        <v>707.8576609251728</v>
      </c>
      <c r="Y151" s="37">
        <f>Y134</f>
        <v>728.0945191622257</v>
      </c>
      <c r="Z151" s="37">
        <f>Z134</f>
        <v>753.3905919585417</v>
      </c>
      <c r="AA151" s="37">
        <f>AA134</f>
        <v>787.1186890202964</v>
      </c>
      <c r="AB151" s="37">
        <f>AB134</f>
        <v>837.7108346129285</v>
      </c>
      <c r="AC151" s="37">
        <f>AC134</f>
        <v>938.8951257981927</v>
      </c>
    </row>
    <row r="152" spans="1:29" x14ac:dyDescent="0.25">
      <c r="A152" s="33" t="s">
        <v>215</v>
      </c>
      <c r="B152" s="26" t="s">
        <v>86</v>
      </c>
      <c r="C152" s="57">
        <f>SUM(E152:AC152)</f>
        <v>7795.584636518033</v>
      </c>
      <c r="E152" s="37">
        <f>E138</f>
        <v>974.4480795647539</v>
      </c>
      <c r="F152" s="37">
        <f>F138</f>
        <v>909.4848742604371</v>
      </c>
      <c r="G152" s="37">
        <f>G138</f>
        <v>844.5216689561202</v>
      </c>
      <c r="H152" s="37">
        <f>H138</f>
        <v>779.5584636518033</v>
      </c>
      <c r="I152" s="37">
        <f>I138</f>
        <v>714.5952583474864</v>
      </c>
      <c r="J152" s="37">
        <f>J138</f>
        <v>649.6320530431694</v>
      </c>
      <c r="K152" s="37">
        <f>K138</f>
        <v>584.6688477388526</v>
      </c>
      <c r="L152" s="37">
        <f>L138</f>
        <v>519.7056424345357</v>
      </c>
      <c r="M152" s="37">
        <f>M138</f>
        <v>454.74243713021866</v>
      </c>
      <c r="N152" s="37">
        <f>N138</f>
        <v>389.7792318259018</v>
      </c>
      <c r="O152" s="37">
        <f>O138</f>
        <v>324.81602652158483</v>
      </c>
      <c r="P152" s="37">
        <f>P138</f>
        <v>259.8528212172679</v>
      </c>
      <c r="Q152" s="37">
        <f>Q138</f>
        <v>194.88961591295097</v>
      </c>
      <c r="R152" s="37">
        <f>R138</f>
        <v>129.92641060863403</v>
      </c>
      <c r="S152" s="37">
        <f>S138</f>
        <v>64.9632053043171</v>
      </c>
      <c r="T152" s="37">
        <f>T138</f>
        <v>1.8417267710901796e-13</v>
      </c>
      <c r="U152" s="37">
        <f>U138</f>
        <v>1.8417267710901796e-13</v>
      </c>
      <c r="V152" s="37">
        <f>V138</f>
        <v>1.8417267710901796e-13</v>
      </c>
      <c r="W152" s="37">
        <f>W138</f>
        <v>1.8417267710901796e-13</v>
      </c>
      <c r="X152" s="37">
        <f>X138</f>
        <v>1.8417267710901796e-13</v>
      </c>
      <c r="Y152" s="37">
        <f>Y138</f>
        <v>1.8417267710901796e-13</v>
      </c>
      <c r="Z152" s="37">
        <f>Z138</f>
        <v>1.8417267710901796e-13</v>
      </c>
      <c r="AA152" s="37">
        <f>AA138</f>
        <v>1.8417267710901796e-13</v>
      </c>
      <c r="AB152" s="37">
        <f>AB138</f>
        <v>1.8417267710901796e-13</v>
      </c>
      <c r="AC152" s="37">
        <f>AC138</f>
        <v>1.8417267710901796e-13</v>
      </c>
    </row>
    <row r="153" spans="1:29" x14ac:dyDescent="0.25">
      <c r="A153" s="61" t="s">
        <v>216</v>
      </c>
      <c r="B153" s="62" t="s">
        <v>86</v>
      </c>
      <c r="C153" s="63">
        <f>SUM(E153:AC153)</f>
        <v>26336.085599403163</v>
      </c>
      <c r="D153" s="64"/>
      <c r="E153" s="63">
        <f>E150-E151-E152</f>
        <v>693.3659117838461</v>
      </c>
      <c r="F153" s="63">
        <f>F150-F151-F152</f>
        <v>741.2421732299514</v>
      </c>
      <c r="G153" s="63">
        <f>G150-G151-G152</f>
        <v>788.5229514813715</v>
      </c>
      <c r="H153" s="63">
        <f>H150-H151-H152</f>
        <v>835.1709735425625</v>
      </c>
      <c r="I153" s="63">
        <f>I150-I151-I152</f>
        <v>881.1455553893852</v>
      </c>
      <c r="J153" s="63">
        <f>J150-J151-J152</f>
        <v>926.4020743302585</v>
      </c>
      <c r="K153" s="63">
        <f>K150-K151-K152</f>
        <v>970.8913134973592</v>
      </c>
      <c r="L153" s="63">
        <f>L150-L151-L152</f>
        <v>1014.5586365744699</v>
      </c>
      <c r="M153" s="63">
        <f>M150-M151-M152</f>
        <v>1057.3429336644085</v>
      </c>
      <c r="N153" s="63">
        <f>N150-N151-N152</f>
        <v>1099.1752533964436</v>
      </c>
      <c r="O153" s="63">
        <f>O150-O151-O152</f>
        <v>1139.9769968134724</v>
      </c>
      <c r="P153" s="63">
        <f>P150-P151-P152</f>
        <v>1179.6574864156532</v>
      </c>
      <c r="Q153" s="63">
        <f>Q150-Q151-Q152</f>
        <v>1218.1106233242963</v>
      </c>
      <c r="R153" s="63">
        <f>R150-R151-R152</f>
        <v>1255.2101781796052</v>
      </c>
      <c r="S153" s="63">
        <f>S150-S151-S152</f>
        <v>1290.8029723321656</v>
      </c>
      <c r="T153" s="63">
        <f>T150-T151-T152</f>
        <v>1324.698685597766</v>
      </c>
      <c r="U153" s="63">
        <f>U150-U151-U152</f>
        <v>1291.6908387779067</v>
      </c>
      <c r="V153" s="63">
        <f>V150-V151-V152</f>
        <v>1256.4207654574345</v>
      </c>
      <c r="W153" s="63">
        <f>W150-W151-W152</f>
        <v>1218.4440962151778</v>
      </c>
      <c r="X153" s="63">
        <f>X150-X151-X152</f>
        <v>1177.1135569246446</v>
      </c>
      <c r="Y153" s="63">
        <f>Y150-Y151-Y152</f>
        <v>1131.4182516568771</v>
      </c>
      <c r="Z153" s="63">
        <f>Z150-Z151-Z152</f>
        <v>1079.6221777452358</v>
      </c>
      <c r="AA153" s="63">
        <f>AA150-AA151-AA152</f>
        <v>1018.3004477793149</v>
      </c>
      <c r="AB153" s="63">
        <f>AB150-AB151-AB152</f>
        <v>938.9663559042328</v>
      </c>
      <c r="AC153" s="63">
        <f>AC150-AC151-AC152</f>
        <v>807.8343893893206</v>
      </c>
    </row>
    <row r="154" spans="1:29" x14ac:dyDescent="0.25">
      <c r="A154" s="33" t="s">
        <v>217</v>
      </c>
      <c r="B154" s="26" t="s">
        <v>86</v>
      </c>
      <c r="E154" s="37">
        <f>E124-E138-E146</f>
        <v>-4936.778547923622</v>
      </c>
      <c r="F154" s="37">
        <f>F124-F138-F146</f>
        <v>-2450.3712173211143</v>
      </c>
      <c r="G154" s="37">
        <f>G124-G138-G146</f>
        <v>-938.1020878474301</v>
      </c>
      <c r="H154" s="37">
        <f>H124-H138-H146</f>
        <v>-10.50135929474709</v>
      </c>
      <c r="I154" s="37">
        <f>I124-I138-I146</f>
        <v>566.1035744494419</v>
      </c>
      <c r="J154" s="37">
        <f>J124-J138-J146</f>
        <v>931.9065393398475</v>
      </c>
      <c r="K154" s="37">
        <f>K124-K138-K146</f>
        <v>1171.0136063508605</v>
      </c>
      <c r="L154" s="37">
        <f>L124-L138-L146</f>
        <v>1333.8776822387606</v>
      </c>
      <c r="M154" s="37">
        <f>M124-M138-M146</f>
        <v>1450.7592384375425</v>
      </c>
      <c r="N154" s="37">
        <f>N124-N138-N146</f>
        <v>1539.8027215568354</v>
      </c>
      <c r="O154" s="37">
        <f>O124-O138-O146</f>
        <v>1611.8823714991222</v>
      </c>
      <c r="P154" s="37">
        <f>P124-P138-P146</f>
        <v>1673.5096827394236</v>
      </c>
      <c r="Q154" s="37">
        <f>Q124-Q138-Q146</f>
        <v>1728.5778500229644</v>
      </c>
      <c r="R154" s="37">
        <f>R124-R138-R146</f>
        <v>1779.4084031601</v>
      </c>
      <c r="S154" s="37">
        <f>S124-S138-S146</f>
        <v>1827.3791536484262</v>
      </c>
      <c r="T154" s="37">
        <f>T124-T138-T146</f>
        <v>1873.300926678453</v>
      </c>
      <c r="U154" s="37">
        <f>U124-U138-U146</f>
        <v>1852.6803572667181</v>
      </c>
      <c r="V154" s="37">
        <f>V124-V138-V146</f>
        <v>1830.7450673769279</v>
      </c>
      <c r="W154" s="37">
        <f>W124-W138-W146</f>
        <v>1807.6353450949375</v>
      </c>
      <c r="X154" s="37">
        <f>X124-X138-X146</f>
        <v>1783.4160832669902</v>
      </c>
      <c r="Y154" s="37">
        <f>Y124-Y138-Y146</f>
        <v>1758.1059735953008</v>
      </c>
      <c r="Z154" s="37">
        <f>Z124-Z138-Z146</f>
        <v>1731.6949748953907</v>
      </c>
      <c r="AA154" s="37">
        <f>AA124-AA138-AA146</f>
        <v>1704.1547434404736</v>
      </c>
      <c r="AB154" s="37">
        <f>AB124-AB138-AB146</f>
        <v>1675.444838027573</v>
      </c>
      <c r="AC154" s="37">
        <f>AC124-AC138-AC146</f>
        <v>1645.5163872196547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4936.778547923622</v>
      </c>
      <c r="G155" s="37">
        <f>F158</f>
        <v>7387.149765244736</v>
      </c>
      <c r="H155" s="37">
        <f>G158</f>
        <v>8325.251853092166</v>
      </c>
      <c r="I155" s="37">
        <f>H158</f>
        <v>8335.753212386913</v>
      </c>
      <c r="J155" s="37">
        <f>I158</f>
        <v>7769.649637937471</v>
      </c>
      <c r="K155" s="37">
        <f>J158</f>
        <v>6837.743098597623</v>
      </c>
      <c r="L155" s="37">
        <f>K158</f>
        <v>5666.729492246763</v>
      </c>
      <c r="M155" s="37">
        <f>L158</f>
        <v>4332.851810008002</v>
      </c>
      <c r="N155" s="37">
        <f>M158</f>
        <v>2882.0925715704593</v>
      </c>
      <c r="O155" s="37">
        <f>N158</f>
        <v>1342.289850013624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8335.753212386913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566.1035744494419</v>
      </c>
      <c r="J156" s="37">
        <f>IF(J154&gt;0,MIN(J155,J154),0)</f>
        <v>931.9065393398475</v>
      </c>
      <c r="K156" s="37">
        <f>IF(K154&gt;0,MIN(K155,K154),0)</f>
        <v>1171.0136063508605</v>
      </c>
      <c r="L156" s="37">
        <f>IF(L154&gt;0,MIN(L155,L154),0)</f>
        <v>1333.8776822387606</v>
      </c>
      <c r="M156" s="37">
        <f>IF(M154&gt;0,MIN(M155,M154),0)</f>
        <v>1450.7592384375425</v>
      </c>
      <c r="N156" s="37">
        <f>IF(N154&gt;0,MIN(N155,N154),0)</f>
        <v>1539.8027215568354</v>
      </c>
      <c r="O156" s="37">
        <f>IF(O154&gt;0,MIN(O155,O154),0)</f>
        <v>1342.289850013624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24941.162307918832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269.5925214854983</v>
      </c>
      <c r="P157" s="37">
        <f>MAX(0,P154-P156)</f>
        <v>1673.5096827394236</v>
      </c>
      <c r="Q157" s="37">
        <f>MAX(0,Q154-Q156)</f>
        <v>1728.5778500229644</v>
      </c>
      <c r="R157" s="37">
        <f>MAX(0,R154-R156)</f>
        <v>1779.4084031601</v>
      </c>
      <c r="S157" s="37">
        <f>MAX(0,S154-S156)</f>
        <v>1827.3791536484262</v>
      </c>
      <c r="T157" s="37">
        <f>MAX(0,T154-T156)</f>
        <v>1873.300926678453</v>
      </c>
      <c r="U157" s="37">
        <f>MAX(0,U154-U156)</f>
        <v>1852.6803572667181</v>
      </c>
      <c r="V157" s="37">
        <f>MAX(0,V154-V156)</f>
        <v>1830.7450673769279</v>
      </c>
      <c r="W157" s="37">
        <f>MAX(0,W154-W156)</f>
        <v>1807.6353450949375</v>
      </c>
      <c r="X157" s="37">
        <f>MAX(0,X154-X156)</f>
        <v>1783.4160832669902</v>
      </c>
      <c r="Y157" s="37">
        <f>MAX(0,Y154-Y156)</f>
        <v>1758.1059735953008</v>
      </c>
      <c r="Z157" s="37">
        <f>MAX(0,Z154-Z156)</f>
        <v>1731.6949748953907</v>
      </c>
      <c r="AA157" s="37">
        <f>MAX(0,AA154-AA156)</f>
        <v>1704.1547434404736</v>
      </c>
      <c r="AB157" s="37">
        <f>MAX(0,AB154-AB156)</f>
        <v>1675.444838027573</v>
      </c>
      <c r="AC157" s="37">
        <f>MAX(0,AC154-AC156)</f>
        <v>1645.5163872196547</v>
      </c>
    </row>
    <row r="158" spans="1:29" x14ac:dyDescent="0.25">
      <c r="A158" s="33" t="s">
        <v>221</v>
      </c>
      <c r="B158" s="26" t="s">
        <v>86</v>
      </c>
      <c r="E158" s="37">
        <f>E155-E156+MAX(0,-E154)</f>
        <v>4936.778547923622</v>
      </c>
      <c r="F158" s="37">
        <f>F155-F156+MAX(0,-F154)</f>
        <v>7387.149765244736</v>
      </c>
      <c r="G158" s="37">
        <f>G155-G156+MAX(0,-G154)</f>
        <v>8325.251853092166</v>
      </c>
      <c r="H158" s="37">
        <f>H155-H156+MAX(0,-H154)</f>
        <v>8335.753212386913</v>
      </c>
      <c r="I158" s="37">
        <f>I155-I156+MAX(0,-I154)</f>
        <v>7769.649637937471</v>
      </c>
      <c r="J158" s="37">
        <f>J155-J156+MAX(0,-J154)</f>
        <v>6837.743098597623</v>
      </c>
      <c r="K158" s="37">
        <f>K155-K156+MAX(0,-K154)</f>
        <v>5666.729492246763</v>
      </c>
      <c r="L158" s="37">
        <f>L155-L156+MAX(0,-L154)</f>
        <v>4332.851810008002</v>
      </c>
      <c r="M158" s="37">
        <f>M155-M156+MAX(0,-M154)</f>
        <v>2882.0925715704593</v>
      </c>
      <c r="N158" s="37">
        <f>N155-N156+MAX(0,-N154)</f>
        <v>1342.289850013624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6277.690552903169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67.85643765789992</v>
      </c>
      <c r="P159" s="37">
        <f>P157*$C$69</f>
        <v>421.22238714551287</v>
      </c>
      <c r="Q159" s="37">
        <f>Q157*$C$69</f>
        <v>435.0830448507801</v>
      </c>
      <c r="R159" s="37">
        <f>R157*$C$69</f>
        <v>447.87709507539716</v>
      </c>
      <c r="S159" s="37">
        <f>S157*$C$69</f>
        <v>459.9513329733088</v>
      </c>
      <c r="T159" s="37">
        <f>T157*$C$69</f>
        <v>471.5098432449666</v>
      </c>
      <c r="U159" s="37">
        <f>U157*$C$69</f>
        <v>466.3196459240329</v>
      </c>
      <c r="V159" s="37">
        <f>V157*$C$69</f>
        <v>460.7985334587727</v>
      </c>
      <c r="W159" s="37">
        <f>W157*$C$69</f>
        <v>454.9818163603957</v>
      </c>
      <c r="X159" s="37">
        <f>X157*$C$69</f>
        <v>448.8858281583014</v>
      </c>
      <c r="Y159" s="37">
        <f>Y157*$C$69</f>
        <v>442.51527355393716</v>
      </c>
      <c r="Z159" s="37">
        <f>Z157*$C$69</f>
        <v>435.8676251811698</v>
      </c>
      <c r="AA159" s="37">
        <f>AA157*$C$69</f>
        <v>428.93574892396714</v>
      </c>
      <c r="AB159" s="37">
        <f>AB157*$C$69</f>
        <v>421.7094657315401</v>
      </c>
      <c r="AC159" s="37">
        <f>AC157*$C$69</f>
        <v>414.17647466318704</v>
      </c>
    </row>
    <row r="160" spans="1:29" x14ac:dyDescent="0.25">
      <c r="A160" s="61" t="s">
        <v>223</v>
      </c>
      <c r="B160" s="62" t="s">
        <v>86</v>
      </c>
      <c r="C160" s="63">
        <f>SUM(E160:AC160)</f>
        <v>20058.395046499987</v>
      </c>
      <c r="D160" s="64"/>
      <c r="E160" s="63">
        <f>E153-E159</f>
        <v>693.3659117838461</v>
      </c>
      <c r="F160" s="63">
        <f>F153-F159</f>
        <v>741.2421732299514</v>
      </c>
      <c r="G160" s="63">
        <f>G153-G159</f>
        <v>788.5229514813715</v>
      </c>
      <c r="H160" s="63">
        <f>H153-H159</f>
        <v>835.1709735425625</v>
      </c>
      <c r="I160" s="63">
        <f>I153-I159</f>
        <v>881.1455553893852</v>
      </c>
      <c r="J160" s="63">
        <f>J153-J159</f>
        <v>926.4020743302585</v>
      </c>
      <c r="K160" s="63">
        <f>K153-K159</f>
        <v>970.8913134973592</v>
      </c>
      <c r="L160" s="63">
        <f>L153-L159</f>
        <v>1014.5586365744699</v>
      </c>
      <c r="M160" s="63">
        <f>M153-M159</f>
        <v>1057.3429336644085</v>
      </c>
      <c r="N160" s="63">
        <f>N153-N159</f>
        <v>1099.1752533964436</v>
      </c>
      <c r="O160" s="63">
        <f>O153-O159</f>
        <v>1072.1205591555724</v>
      </c>
      <c r="P160" s="63">
        <f>P153-P159</f>
        <v>758.4350992701404</v>
      </c>
      <c r="Q160" s="63">
        <f>Q153-Q159</f>
        <v>783.0275784735162</v>
      </c>
      <c r="R160" s="63">
        <f>R153-R159</f>
        <v>807.3330831042081</v>
      </c>
      <c r="S160" s="63">
        <f>S153-S159</f>
        <v>830.8516393588568</v>
      </c>
      <c r="T160" s="63">
        <f>T153-T159</f>
        <v>853.1888423527994</v>
      </c>
      <c r="U160" s="63">
        <f>U153-U159</f>
        <v>825.3711928538738</v>
      </c>
      <c r="V160" s="63">
        <f>V153-V159</f>
        <v>795.6222319986618</v>
      </c>
      <c r="W160" s="63">
        <f>W153-W159</f>
        <v>763.4622798547821</v>
      </c>
      <c r="X160" s="63">
        <f>X153-X159</f>
        <v>728.2277287663433</v>
      </c>
      <c r="Y160" s="63">
        <f>Y153-Y159</f>
        <v>688.90297810294</v>
      </c>
      <c r="Z160" s="63">
        <f>Z153-Z159</f>
        <v>643.754552564066</v>
      </c>
      <c r="AA160" s="63">
        <f>AA153-AA159</f>
        <v>589.3646988553478</v>
      </c>
      <c r="AB160" s="63">
        <f>AB153-AB159</f>
        <v>517.2568901726927</v>
      </c>
      <c r="AC160" s="63">
        <f>AC153-AC159</f>
        <v>393.6579147261335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300.0458773720116</v>
      </c>
      <c r="F163" s="37">
        <f>F115*$C$74/365</f>
        <v>299.4753802754852</v>
      </c>
      <c r="G163" s="37">
        <f>G115*$C$74/365</f>
        <v>298.9048831789588</v>
      </c>
      <c r="H163" s="37">
        <f>H115*$C$74/365</f>
        <v>298.3343860824324</v>
      </c>
      <c r="I163" s="37">
        <f>I115*$C$74/365</f>
        <v>297.7638889859059</v>
      </c>
      <c r="J163" s="37">
        <f>J115*$C$74/365</f>
        <v>297.1933918893795</v>
      </c>
      <c r="K163" s="37">
        <f>K115*$C$74/365</f>
        <v>296.62289479285306</v>
      </c>
      <c r="L163" s="37">
        <f>L115*$C$74/365</f>
        <v>296.0523976963266</v>
      </c>
      <c r="M163" s="37">
        <f>M115*$C$74/365</f>
        <v>295.4819005998003</v>
      </c>
      <c r="N163" s="37">
        <f>N115*$C$74/365</f>
        <v>294.9114035032738</v>
      </c>
      <c r="O163" s="37">
        <f>O115*$C$74/365</f>
        <v>294.3409064067473</v>
      </c>
      <c r="P163" s="37">
        <f>P115*$C$74/365</f>
        <v>293.7704093102209</v>
      </c>
      <c r="Q163" s="37">
        <f>Q115*$C$74/365</f>
        <v>293.19991221369446</v>
      </c>
      <c r="R163" s="37">
        <f>R115*$C$74/365</f>
        <v>292.6294151171681</v>
      </c>
      <c r="S163" s="37">
        <f>S115*$C$74/365</f>
        <v>292.0589180206416</v>
      </c>
      <c r="T163" s="37">
        <f>T115*$C$74/365</f>
        <v>291.48842092411513</v>
      </c>
      <c r="U163" s="37">
        <f>U115*$C$74/365</f>
        <v>290.91792382758877</v>
      </c>
      <c r="V163" s="37">
        <f>V115*$C$74/365</f>
        <v>290.3474267310623</v>
      </c>
      <c r="W163" s="37">
        <f>W115*$C$74/365</f>
        <v>289.7769296345359</v>
      </c>
      <c r="X163" s="37">
        <f>X115*$C$74/365</f>
        <v>289.2064325380095</v>
      </c>
      <c r="Y163" s="37">
        <f>Y115*$C$74/365</f>
        <v>288.63593544148296</v>
      </c>
      <c r="Z163" s="37">
        <f>Z115*$C$74/365</f>
        <v>288.06543834495653</v>
      </c>
      <c r="AA163" s="37">
        <f>AA115*$C$74/365</f>
        <v>287.4949412484301</v>
      </c>
      <c r="AB163" s="37">
        <f>AB115*$C$74/365</f>
        <v>286.9244441519037</v>
      </c>
      <c r="AC163" s="37">
        <f>AC115*$C$74/365</f>
        <v>286.35394705537726</v>
      </c>
    </row>
    <row r="164" spans="1:29" x14ac:dyDescent="0.25">
      <c r="A164" s="33" t="s">
        <v>226</v>
      </c>
      <c r="B164" s="26" t="s">
        <v>86</v>
      </c>
      <c r="C164" s="57">
        <f>SUM(E164:AC164)</f>
        <v>286.35394705537726</v>
      </c>
      <c r="E164" s="37">
        <f>E163</f>
        <v>300.0458773720116</v>
      </c>
      <c r="F164" s="37">
        <f>F163-E163</f>
        <v>-0.5704970965264238</v>
      </c>
      <c r="G164" s="37">
        <f>G163-F163</f>
        <v>-0.5704970965263669</v>
      </c>
      <c r="H164" s="37">
        <f>H163-G163</f>
        <v>-0.5704970965264238</v>
      </c>
      <c r="I164" s="37">
        <f>I163-H163</f>
        <v>-0.5704970965264806</v>
      </c>
      <c r="J164" s="37">
        <f>J163-I163</f>
        <v>-0.5704970965264238</v>
      </c>
      <c r="K164" s="37">
        <f>K163-J163</f>
        <v>-0.5704970965264238</v>
      </c>
      <c r="L164" s="37">
        <f>L163-K163</f>
        <v>-0.5704970965264806</v>
      </c>
      <c r="M164" s="37">
        <f>M163-L163</f>
        <v>-0.5704970965262532</v>
      </c>
      <c r="N164" s="37">
        <f>N163-M163</f>
        <v>-0.5704970965265375</v>
      </c>
      <c r="O164" s="37">
        <f>O163-N163</f>
        <v>-0.5704970965264806</v>
      </c>
      <c r="P164" s="37">
        <f>P163-O163</f>
        <v>-0.5704970965264238</v>
      </c>
      <c r="Q164" s="37">
        <f>Q163-P163</f>
        <v>-0.5704970965264238</v>
      </c>
      <c r="R164" s="37">
        <f>R163-Q163</f>
        <v>-0.5704970965263669</v>
      </c>
      <c r="S164" s="37">
        <f>S163-R163</f>
        <v>-0.5704970965264806</v>
      </c>
      <c r="T164" s="37">
        <f>T163-S163</f>
        <v>-0.5704970965264806</v>
      </c>
      <c r="U164" s="37">
        <f>U163-T163</f>
        <v>-0.5704970965263669</v>
      </c>
      <c r="V164" s="37">
        <f>V163-U163</f>
        <v>-0.5704970965264806</v>
      </c>
      <c r="W164" s="37">
        <f>W163-V163</f>
        <v>-0.5704970965263669</v>
      </c>
      <c r="X164" s="37">
        <f>X163-W163</f>
        <v>-0.5704970965264238</v>
      </c>
      <c r="Y164" s="37">
        <f>Y163-X163</f>
        <v>-0.5704970965265375</v>
      </c>
      <c r="Z164" s="37">
        <f>Z163-Y163</f>
        <v>-0.5704970965264238</v>
      </c>
      <c r="AA164" s="37">
        <f>AA163-Z163</f>
        <v>-0.5704970965264238</v>
      </c>
      <c r="AB164" s="37">
        <f>AB163-AA163</f>
        <v>-0.5704970965264238</v>
      </c>
      <c r="AC164" s="37">
        <f>AC163-AB163</f>
        <v>-0.5704970965264238</v>
      </c>
    </row>
    <row r="165" spans="1:29" x14ac:dyDescent="0.25">
      <c r="A165" s="61" t="s">
        <v>227</v>
      </c>
      <c r="B165" s="62" t="s">
        <v>86</v>
      </c>
      <c r="C165" s="63">
        <f>SUM(E165:AC165)</f>
        <v>41488.3125868877</v>
      </c>
      <c r="D165" s="64"/>
      <c r="E165" s="63">
        <f>E124-E159-E164-E128</f>
        <v>1924.5955880135907</v>
      </c>
      <c r="F165" s="63">
        <f>F124-F159-F164-F128</f>
        <v>2111.1567395713723</v>
      </c>
      <c r="G165" s="63">
        <f>G124-G159-G164-G128</f>
        <v>2097.8736295265303</v>
      </c>
      <c r="H165" s="63">
        <f>H124-H159-H164-H128</f>
        <v>2084.1577322463713</v>
      </c>
      <c r="I165" s="63">
        <f>I124-I159-I164-I128</f>
        <v>2069.987408369128</v>
      </c>
      <c r="J165" s="63">
        <f>J124-J159-J164-J128</f>
        <v>2055.339936564947</v>
      </c>
      <c r="K165" s="63">
        <f>K124-K159-K164-K128</f>
        <v>2040.1914594374816</v>
      </c>
      <c r="L165" s="63">
        <f>L124-L159-L164-L128</f>
        <v>2024.5169267205683</v>
      </c>
      <c r="M165" s="63">
        <f>M124-M159-M164-M128</f>
        <v>2008.2900356347345</v>
      </c>
      <c r="N165" s="63">
        <f>N124-N159-N164-N128</f>
        <v>1991.4831682615322</v>
      </c>
      <c r="O165" s="63">
        <f>O124-O159-O164-O128</f>
        <v>1906.2108881286945</v>
      </c>
      <c r="P165" s="63">
        <f>P124-P159-P164-P128</f>
        <v>1534.7896723093218</v>
      </c>
      <c r="Q165" s="63">
        <f>Q124-Q159-Q164-Q128</f>
        <v>1502.202353222632</v>
      </c>
      <c r="R165" s="63">
        <f>R124-R159-R164-R128</f>
        <v>1469.9766768144455</v>
      </c>
      <c r="S165" s="63">
        <f>S124-S159-S164-S128</f>
        <v>1437.7305996907103</v>
      </c>
      <c r="T165" s="63">
        <f>T124-T159-T164-T128</f>
        <v>1405.2230264988625</v>
      </c>
      <c r="U165" s="63">
        <f>U124-U159-U164-U128</f>
        <v>1388.6480760205216</v>
      </c>
      <c r="V165" s="63">
        <f>V124-V159-V164-V128</f>
        <v>1371.5471515634677</v>
      </c>
      <c r="W165" s="63">
        <f>W124-W159-W164-W128</f>
        <v>1353.8420981603401</v>
      </c>
      <c r="X165" s="63">
        <f>X124-X159-X164-X128</f>
        <v>1335.4715956027785</v>
      </c>
      <c r="Y165" s="63">
        <f>Y124-Y159-Y164-Y128</f>
        <v>1316.3837031764283</v>
      </c>
      <c r="Z165" s="63">
        <f>Z124-Z159-Z164-Z128</f>
        <v>1296.5313504338703</v>
      </c>
      <c r="AA165" s="63">
        <f>AA124-AA159-AA164-AA128</f>
        <v>1275.8695937869068</v>
      </c>
      <c r="AB165" s="63">
        <f>AB124-AB159-AB164-AB128</f>
        <v>1254.3539306968837</v>
      </c>
      <c r="AC165" s="63">
        <f>AC124-AC159-AC164-AC128</f>
        <v>1231.9392464355888</v>
      </c>
    </row>
    <row r="166" spans="1:29" x14ac:dyDescent="0.25">
      <c r="A166" s="33" t="s">
        <v>228</v>
      </c>
      <c r="B166" s="26" t="s">
        <v>86</v>
      </c>
      <c r="C166" s="57">
        <f>SUM(E166:AC166)</f>
        <v>18622.785520570862</v>
      </c>
      <c r="E166" s="37">
        <f>E141</f>
        <v>1696.2614718349419</v>
      </c>
      <c r="F166" s="37">
        <f>F141</f>
        <v>1631.2982665306251</v>
      </c>
      <c r="G166" s="37">
        <f>G141</f>
        <v>1566.3350612263082</v>
      </c>
      <c r="H166" s="37">
        <f>H141</f>
        <v>1501.3718559219915</v>
      </c>
      <c r="I166" s="37">
        <f>I141</f>
        <v>1436.4086506176745</v>
      </c>
      <c r="J166" s="37">
        <f>J141</f>
        <v>1371.4454453133576</v>
      </c>
      <c r="K166" s="37">
        <f>K141</f>
        <v>1306.4822400090407</v>
      </c>
      <c r="L166" s="37">
        <f>L141</f>
        <v>1241.5190347047237</v>
      </c>
      <c r="M166" s="37">
        <f>M141</f>
        <v>1176.5558294004068</v>
      </c>
      <c r="N166" s="37">
        <f>N141</f>
        <v>1111.5926240960898</v>
      </c>
      <c r="O166" s="37">
        <f>O141</f>
        <v>1046.6294187917729</v>
      </c>
      <c r="P166" s="37">
        <f>P141</f>
        <v>981.6662134874559</v>
      </c>
      <c r="Q166" s="37">
        <f>Q141</f>
        <v>916.703008183139</v>
      </c>
      <c r="R166" s="37">
        <f>R141</f>
        <v>851.739802878822</v>
      </c>
      <c r="S166" s="37">
        <f>S141</f>
        <v>786.7765975745051</v>
      </c>
      <c r="T166" s="37">
        <f>T141</f>
        <v>1.8417267710901796e-13</v>
      </c>
      <c r="U166" s="37">
        <f>U141</f>
        <v>1.8417267710901796e-13</v>
      </c>
      <c r="V166" s="37">
        <f>V141</f>
        <v>1.8417267710901796e-13</v>
      </c>
      <c r="W166" s="37">
        <f>W141</f>
        <v>1.8417267710901796e-13</v>
      </c>
      <c r="X166" s="37">
        <f>X141</f>
        <v>1.8417267710901796e-13</v>
      </c>
      <c r="Y166" s="37">
        <f>Y141</f>
        <v>1.8417267710901796e-13</v>
      </c>
      <c r="Z166" s="37">
        <f>Z141</f>
        <v>1.8417267710901796e-13</v>
      </c>
      <c r="AA166" s="37">
        <f>AA141</f>
        <v>1.8417267710901796e-13</v>
      </c>
      <c r="AB166" s="37">
        <f>AB141</f>
        <v>1.8417267710901796e-13</v>
      </c>
      <c r="AC166" s="37">
        <f>AC141</f>
        <v>1.8417267710901796e-13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1.1346102119101054</v>
      </c>
      <c r="F167" s="40">
        <f>IF(F141&gt;1E-9,F165/F141,"")</f>
        <v>1.2941574100126334</v>
      </c>
      <c r="G167" s="40">
        <f>IF(G141&gt;1E-9,G165/G141,"")</f>
        <v>1.3393517654415985</v>
      </c>
      <c r="H167" s="40">
        <f>IF(H141&gt;1E-9,H165/H141,"")</f>
        <v>1.3881689096712762</v>
      </c>
      <c r="I167" s="40">
        <f>IF(I141&gt;1E-9,I165/I141,"")</f>
        <v>1.4410853119542313</v>
      </c>
      <c r="J167" s="40">
        <f>IF(J141&gt;1E-9,J165/J141,"")</f>
        <v>1.498666931002369</v>
      </c>
      <c r="K167" s="40">
        <f>IF(K141&gt;1E-9,K165/K141,"")</f>
        <v>1.5615914223398581</v>
      </c>
      <c r="L167" s="40">
        <f>IF(L141&gt;1E-9,L165/L141,"")</f>
        <v>1.630677315553256</v>
      </c>
      <c r="M167" s="40">
        <f>IF(M141&gt;1E-9,M165/M141,"")</f>
        <v>1.706922855210529</v>
      </c>
      <c r="N167" s="40">
        <f>IF(N141&gt;1E-9,N165/N141,"")</f>
        <v>1.7915584586403137</v>
      </c>
      <c r="O167" s="40">
        <f>IF(O141&gt;1E-9,O165/O141,"")</f>
        <v>1.821285408095275</v>
      </c>
      <c r="P167" s="40">
        <f>IF(P141&gt;1E-9,P165/P141,"")</f>
        <v>1.5634536986424803</v>
      </c>
      <c r="Q167" s="40">
        <f>IF(Q141&gt;1E-9,Q165/Q141,"")</f>
        <v>1.6387012367287026</v>
      </c>
      <c r="R167" s="40">
        <f>IF(R141&gt;1E-9,R165/R141,"")</f>
        <v>1.725851805734598</v>
      </c>
      <c r="S167" s="40">
        <f>IF(S141&gt;1E-9,S165/S141,"")</f>
        <v>1.827368282334506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1833.0969304914947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1833.0969304914947</v>
      </c>
    </row>
    <row r="169" spans="1:29" x14ac:dyDescent="0.25">
      <c r="A169" s="33" t="s">
        <v>231</v>
      </c>
      <c r="B169" s="26" t="s">
        <v>86</v>
      </c>
      <c r="C169" s="57">
        <f>SUM(E169:AC169)</f>
        <v>2.0463630789890885e-12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2.0463630789890885e-12</v>
      </c>
    </row>
    <row r="170" spans="1:29" x14ac:dyDescent="0.25">
      <c r="A170" s="61" t="s">
        <v>232</v>
      </c>
      <c r="B170" s="62" t="s">
        <v>86</v>
      </c>
      <c r="C170" s="63">
        <f>SUM(E170:AC170)</f>
        <v>24698.623996808346</v>
      </c>
      <c r="D170" s="63">
        <f>-$C$86</f>
        <v>-4640.228950308354</v>
      </c>
      <c r="E170" s="63">
        <f>E165-E141+E168-E169</f>
        <v>228.33411617864886</v>
      </c>
      <c r="F170" s="63">
        <f>F165-F141+F168-F169</f>
        <v>479.8584730407472</v>
      </c>
      <c r="G170" s="63">
        <f>G165-G141+G168-G169</f>
        <v>531.5385683002221</v>
      </c>
      <c r="H170" s="63">
        <f>H165-H141+H168-H169</f>
        <v>582.7858763243798</v>
      </c>
      <c r="I170" s="63">
        <f>I165-I141+I168-I169</f>
        <v>633.5787577514534</v>
      </c>
      <c r="J170" s="63">
        <f>J165-J141+J168-J169</f>
        <v>683.8944912515894</v>
      </c>
      <c r="K170" s="63">
        <f>K165-K141+K168-K169</f>
        <v>733.709219428441</v>
      </c>
      <c r="L170" s="63">
        <f>L165-L141+L168-L169</f>
        <v>782.9978920158446</v>
      </c>
      <c r="M170" s="63">
        <f>M165-M141+M168-M169</f>
        <v>831.7342062343278</v>
      </c>
      <c r="N170" s="63">
        <f>N165-N141+N168-N169</f>
        <v>879.8905441654424</v>
      </c>
      <c r="O170" s="63">
        <f>O165-O141+O168-O169</f>
        <v>859.5814693369216</v>
      </c>
      <c r="P170" s="63">
        <f>P165-P141+P168-P169</f>
        <v>553.1234588218658</v>
      </c>
      <c r="Q170" s="63">
        <f>Q165-Q141+Q168-Q169</f>
        <v>585.4993450394929</v>
      </c>
      <c r="R170" s="63">
        <f>R165-R141+R168-R169</f>
        <v>618.2368739356234</v>
      </c>
      <c r="S170" s="63">
        <f>S165-S141+S168-S169</f>
        <v>650.9540021162052</v>
      </c>
      <c r="T170" s="63">
        <f>T165-T141+T168-T169</f>
        <v>1405.2230264988623</v>
      </c>
      <c r="U170" s="63">
        <f>U165-U141+U168-U169</f>
        <v>1388.6480760205213</v>
      </c>
      <c r="V170" s="63">
        <f>V165-V141+V168-V169</f>
        <v>1371.5471515634674</v>
      </c>
      <c r="W170" s="63">
        <f>W165-W141+W168-W169</f>
        <v>1353.84209816034</v>
      </c>
      <c r="X170" s="63">
        <f>X165-X141+X168-X169</f>
        <v>1335.4715956027783</v>
      </c>
      <c r="Y170" s="63">
        <f>Y165-Y141+Y168-Y169</f>
        <v>1316.383703176428</v>
      </c>
      <c r="Z170" s="63">
        <f>Z165-Z141+Z168-Z169</f>
        <v>1296.53135043387</v>
      </c>
      <c r="AA170" s="63">
        <f>AA165-AA141+AA168-AA169</f>
        <v>1275.8695937869065</v>
      </c>
      <c r="AB170" s="63">
        <f>AB165-AB141+AB168-AB169</f>
        <v>1254.3539306968835</v>
      </c>
      <c r="AC170" s="63">
        <f>AC165-AC141+AC168-AC169</f>
        <v>3065.036176927081</v>
      </c>
    </row>
    <row r="171" spans="1:29" x14ac:dyDescent="0.25">
      <c r="A171" s="33" t="s">
        <v>233</v>
      </c>
      <c r="B171" s="26" t="s">
        <v>86</v>
      </c>
      <c r="D171" s="37">
        <f>D170</f>
        <v>-4640.228950308354</v>
      </c>
      <c r="E171" s="37">
        <f>D171+E170</f>
        <v>-4411.8948341297055</v>
      </c>
      <c r="F171" s="37">
        <f>E171+F170</f>
        <v>-3932.036361088958</v>
      </c>
      <c r="G171" s="37">
        <f>F171+G170</f>
        <v>-3400.4977927887358</v>
      </c>
      <c r="H171" s="37">
        <f>G171+H170</f>
        <v>-2817.711916464356</v>
      </c>
      <c r="I171" s="37">
        <f>H171+I170</f>
        <v>-2184.1331587129025</v>
      </c>
      <c r="J171" s="37">
        <f>I171+J170</f>
        <v>-1500.238667461313</v>
      </c>
      <c r="K171" s="37">
        <f>J171+K170</f>
        <v>-766.5294480328721</v>
      </c>
      <c r="L171" s="37">
        <f>K171+L170</f>
        <v>16.46844398297253</v>
      </c>
      <c r="M171" s="37">
        <f>L171+M170</f>
        <v>848.2026502173003</v>
      </c>
      <c r="N171" s="37">
        <f>M171+N170</f>
        <v>1728.0931943827427</v>
      </c>
      <c r="O171" s="37">
        <f>N171+O170</f>
        <v>2587.6746637196643</v>
      </c>
      <c r="P171" s="37">
        <f>O171+P170</f>
        <v>3140.79812254153</v>
      </c>
      <c r="Q171" s="37">
        <f>P171+Q170</f>
        <v>3726.297467581023</v>
      </c>
      <c r="R171" s="37">
        <f>Q171+R170</f>
        <v>4344.534341516646</v>
      </c>
      <c r="S171" s="37">
        <f>R171+S170</f>
        <v>4995.488343632851</v>
      </c>
      <c r="T171" s="37">
        <f>S171+T170</f>
        <v>6400.711370131713</v>
      </c>
      <c r="U171" s="37">
        <f>T171+U170</f>
        <v>7789.359446152234</v>
      </c>
      <c r="V171" s="37">
        <f>U171+V170</f>
        <v>9160.906597715702</v>
      </c>
      <c r="W171" s="37">
        <f>V171+W170</f>
        <v>10514.748695876042</v>
      </c>
      <c r="X171" s="37">
        <f>W171+X170</f>
        <v>11850.22029147882</v>
      </c>
      <c r="Y171" s="37">
        <f>X171+Y170</f>
        <v>13166.603994655248</v>
      </c>
      <c r="Z171" s="37">
        <f>Y171+Z170</f>
        <v>14463.135345089118</v>
      </c>
      <c r="AA171" s="37">
        <f>Z171+AA170</f>
        <v>15739.004938876025</v>
      </c>
      <c r="AB171" s="37">
        <f>AA171+AB170</f>
        <v>16993.35886957291</v>
      </c>
      <c r="AC171" s="37">
        <f>AB171+AC170</f>
        <v>20058.39504649999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9648.553068783998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193.57167316667105</v>
      </c>
      <c r="I173" s="37">
        <f>MAX(0,(I124-I146)*$C$69)</f>
        <v>322.3518962149869</v>
      </c>
      <c r="J173" s="37">
        <f>MAX(0,(J124-J146)*$C$69)</f>
        <v>398.0732637028053</v>
      </c>
      <c r="K173" s="37">
        <f>MAX(0,(K124-K146)*$C$69)</f>
        <v>441.90527369438075</v>
      </c>
      <c r="L173" s="37">
        <f>MAX(0,(L124-L146)*$C$69)</f>
        <v>466.5469228202686</v>
      </c>
      <c r="M173" s="37">
        <f>MAX(0,(M124-M146)*$C$69)</f>
        <v>479.61477174040544</v>
      </c>
      <c r="N173" s="37">
        <f>MAX(0,(N124-N146)*$C$69)</f>
        <v>485.6757776664349</v>
      </c>
      <c r="O173" s="37">
        <f>MAX(0,(O124-O146)*$C$69)</f>
        <v>487.4669867818119</v>
      </c>
      <c r="P173" s="37">
        <f>MAX(0,(P124-P146)*$C$69)</f>
        <v>486.6273422458992</v>
      </c>
      <c r="Q173" s="37">
        <f>MAX(0,(Q124-Q146)*$C$69)</f>
        <v>484.1367611760699</v>
      </c>
      <c r="R173" s="37">
        <f>MAX(0,(R124-R146)*$C$69)</f>
        <v>480.57957262559034</v>
      </c>
      <c r="S173" s="37">
        <f>MAX(0,(S124-S146)*$C$69)</f>
        <v>476.30257174840546</v>
      </c>
      <c r="T173" s="37">
        <f>MAX(0,(T124-T146)*$C$69)</f>
        <v>471.5098432449666</v>
      </c>
      <c r="U173" s="37">
        <f>MAX(0,(U124-U146)*$C$69)</f>
        <v>466.31964592403295</v>
      </c>
      <c r="V173" s="37">
        <f>MAX(0,(V124-V146)*$C$69)</f>
        <v>460.79853345877274</v>
      </c>
      <c r="W173" s="37">
        <f>MAX(0,(W124-W146)*$C$69)</f>
        <v>454.9818163603958</v>
      </c>
      <c r="X173" s="37">
        <f>MAX(0,(X124-X146)*$C$69)</f>
        <v>448.8858281583015</v>
      </c>
      <c r="Y173" s="37">
        <f>MAX(0,(Y124-Y146)*$C$69)</f>
        <v>442.5152735539372</v>
      </c>
      <c r="Z173" s="37">
        <f>MAX(0,(Z124-Z146)*$C$69)</f>
        <v>435.8676251811699</v>
      </c>
      <c r="AA173" s="37">
        <f>MAX(0,(AA124-AA146)*$C$69)</f>
        <v>428.9357489239672</v>
      </c>
      <c r="AB173" s="37">
        <f>MAX(0,(AB124-AB146)*$C$69)</f>
        <v>421.70946573154015</v>
      </c>
      <c r="AC173" s="37">
        <f>MAX(0,(AC124-AC146)*$C$69)</f>
        <v>414.1764746631871</v>
      </c>
    </row>
    <row r="174" spans="1:29" x14ac:dyDescent="0.25">
      <c r="A174" s="61" t="s">
        <v>236</v>
      </c>
      <c r="B174" s="62" t="s">
        <v>86</v>
      </c>
      <c r="C174" s="63">
        <f>SUM(E174:AC174)</f>
        <v>39950.547001498366</v>
      </c>
      <c r="D174" s="63">
        <f>-$C$84</f>
        <v>-15467.429834361175</v>
      </c>
      <c r="E174" s="63">
        <f>E124-E173-E164-E128+E168</f>
        <v>1924.5955880135907</v>
      </c>
      <c r="F174" s="63">
        <f>F124-F173-F164-F128+F168</f>
        <v>2111.1567395713723</v>
      </c>
      <c r="G174" s="63">
        <f>G124-G173-G164-G128+G168</f>
        <v>2097.8736295265303</v>
      </c>
      <c r="H174" s="63">
        <f>H124-H173-H164-H128+H168</f>
        <v>1890.5860590797001</v>
      </c>
      <c r="I174" s="63">
        <f>I124-I173-I164-I128+I168</f>
        <v>1747.6355121541408</v>
      </c>
      <c r="J174" s="63">
        <f>J124-J173-J164-J128+J168</f>
        <v>1657.2666728621418</v>
      </c>
      <c r="K174" s="63">
        <f>K124-K173-K164-K128+K168</f>
        <v>1598.286185743101</v>
      </c>
      <c r="L174" s="63">
        <f>L124-L173-L164-L128+L168</f>
        <v>1557.9700039002994</v>
      </c>
      <c r="M174" s="63">
        <f>M124-M173-M164-M128+M168</f>
        <v>1528.675263894329</v>
      </c>
      <c r="N174" s="63">
        <f>N124-N173-N164-N128+N168</f>
        <v>1505.8073905950973</v>
      </c>
      <c r="O174" s="63">
        <f>O124-O173-O164-O128+O168</f>
        <v>1486.6003390047824</v>
      </c>
      <c r="P174" s="63">
        <f>P124-P173-P164-P128+P168</f>
        <v>1469.3847172089354</v>
      </c>
      <c r="Q174" s="63">
        <f>Q124-Q173-Q164-Q128+Q168</f>
        <v>1453.148636897342</v>
      </c>
      <c r="R174" s="63">
        <f>R124-R173-R164-R128+R168</f>
        <v>1437.2741992642523</v>
      </c>
      <c r="S174" s="63">
        <f>S124-S173-S164-S128+S168</f>
        <v>1421.3793609156137</v>
      </c>
      <c r="T174" s="63">
        <f>T124-T173-T164-T128+T168</f>
        <v>1405.2230264988625</v>
      </c>
      <c r="U174" s="63">
        <f>U124-U173-U164-U128+U168</f>
        <v>1388.6480760205216</v>
      </c>
      <c r="V174" s="63">
        <f>V124-V173-V164-V128+V168</f>
        <v>1371.5471515634677</v>
      </c>
      <c r="W174" s="63">
        <f>W124-W173-W164-W128+W168</f>
        <v>1353.8420981603401</v>
      </c>
      <c r="X174" s="63">
        <f>X124-X173-X164-X128+X168</f>
        <v>1335.4715956027783</v>
      </c>
      <c r="Y174" s="63">
        <f>Y124-Y173-Y164-Y128+Y168</f>
        <v>1316.3837031764283</v>
      </c>
      <c r="Z174" s="63">
        <f>Z124-Z173-Z164-Z128+Z168</f>
        <v>1296.5313504338703</v>
      </c>
      <c r="AA174" s="63">
        <f>AA124-AA173-AA164-AA128+AA168</f>
        <v>1275.8695937869068</v>
      </c>
      <c r="AB174" s="63">
        <f>AB124-AB173-AB164-AB128+AB168</f>
        <v>1254.3539306968837</v>
      </c>
      <c r="AC174" s="63">
        <f>AC124-AC173-AC164-AC128+AC168</f>
        <v>3065.0361769270835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11402.069556486233</v>
      </c>
      <c r="E177" s="37">
        <f>E123+E128</f>
        <v>209.06398440960314</v>
      </c>
      <c r="F177" s="37">
        <f>F123+F128</f>
        <v>318.4918419818673</v>
      </c>
      <c r="G177" s="37">
        <f>G123+G128</f>
        <v>327.1475866882173</v>
      </c>
      <c r="H177" s="37">
        <f>H123+H128</f>
        <v>336.2361186298848</v>
      </c>
      <c r="I177" s="37">
        <f>I123+I128</f>
        <v>345.7790771686357</v>
      </c>
      <c r="J177" s="37">
        <f>J123+J128</f>
        <v>355.7991836343241</v>
      </c>
      <c r="K177" s="37">
        <f>K123+K128</f>
        <v>366.3202954232969</v>
      </c>
      <c r="L177" s="37">
        <f>L123+L128</f>
        <v>377.3674628017184</v>
      </c>
      <c r="M177" s="37">
        <f>M123+M128</f>
        <v>388.96698854906094</v>
      </c>
      <c r="N177" s="37">
        <f>N123+N128</f>
        <v>401.1464905837706</v>
      </c>
      <c r="O177" s="37">
        <f>O123+O128</f>
        <v>413.9349677202158</v>
      </c>
      <c r="P177" s="37">
        <f>P123+P128</f>
        <v>427.36286871348324</v>
      </c>
      <c r="Q177" s="37">
        <f>Q123+Q128</f>
        <v>441.462164756414</v>
      </c>
      <c r="R177" s="37">
        <f>R123+R128</f>
        <v>456.2664256014914</v>
      </c>
      <c r="S177" s="37">
        <f>S123+S128</f>
        <v>471.8108994888226</v>
      </c>
      <c r="T177" s="37">
        <f>T123+T128</f>
        <v>488.1325970705204</v>
      </c>
      <c r="U177" s="37">
        <f>U123+U128</f>
        <v>505.2703795313029</v>
      </c>
      <c r="V177" s="37">
        <f>V123+V128</f>
        <v>523.2650511151248</v>
      </c>
      <c r="W177" s="37">
        <f>W123+W128</f>
        <v>542.1594562781377</v>
      </c>
      <c r="X177" s="37">
        <f>X123+X128</f>
        <v>561.9985816993012</v>
      </c>
      <c r="Y177" s="37">
        <f>Y123+Y128</f>
        <v>582.8296633915229</v>
      </c>
      <c r="Z177" s="37">
        <f>Z123+Z128</f>
        <v>604.7022991683557</v>
      </c>
      <c r="AA177" s="37">
        <f>AA123+AA128</f>
        <v>627.6685667340302</v>
      </c>
      <c r="AB177" s="37">
        <f>AB123+AB128</f>
        <v>651.7831476779883</v>
      </c>
      <c r="AC177" s="37">
        <f>AC123+AC128</f>
        <v>677.1034576691444</v>
      </c>
    </row>
    <row r="178" spans="1:29" x14ac:dyDescent="0.25">
      <c r="A178" s="33" t="s">
        <v>239</v>
      </c>
      <c r="B178" s="26" t="s">
        <v>86</v>
      </c>
      <c r="C178" s="57">
        <f>SUM(E178:AC178)</f>
        <v>3494.4324003565193</v>
      </c>
      <c r="E178" s="37">
        <f>E177*E107</f>
        <v>190.05816764509376</v>
      </c>
      <c r="F178" s="37">
        <f>F177*F107</f>
        <v>263.21639833212174</v>
      </c>
      <c r="G178" s="37">
        <f>G177*G107</f>
        <v>245.79082395808956</v>
      </c>
      <c r="H178" s="37">
        <f>H177*H107</f>
        <v>229.65379320393734</v>
      </c>
      <c r="I178" s="37">
        <f>I177*I107</f>
        <v>214.7016020817229</v>
      </c>
      <c r="J178" s="37">
        <f>J177*J107</f>
        <v>200.8393634959925</v>
      </c>
      <c r="K178" s="37">
        <f>K177*K107</f>
        <v>187.9802334691355</v>
      </c>
      <c r="L178" s="37">
        <f>L177*L107</f>
        <v>176.04470644802353</v>
      </c>
      <c r="M178" s="37">
        <f>M177*M107</f>
        <v>164.95997346917423</v>
      </c>
      <c r="N178" s="37">
        <f>N177*N107</f>
        <v>154.65933752277948</v>
      </c>
      <c r="O178" s="37">
        <f>O177*O107</f>
        <v>145.08168096796265</v>
      </c>
      <c r="P178" s="37">
        <f>P177*P107</f>
        <v>136.1709803172209</v>
      </c>
      <c r="Q178" s="37">
        <f>Q177*Q107</f>
        <v>127.87586413138209</v>
      </c>
      <c r="R178" s="37">
        <f>R177*R107</f>
        <v>120.14921015139234</v>
      </c>
      <c r="S178" s="37">
        <f>S177*S107</f>
        <v>112.94777814333757</v>
      </c>
      <c r="T178" s="37">
        <f>T177*T107</f>
        <v>106.23187525145812</v>
      </c>
      <c r="U178" s="37">
        <f>U177*U107</f>
        <v>99.96505094341616</v>
      </c>
      <c r="V178" s="37">
        <f>V177*V107</f>
        <v>94.11381889534914</v>
      </c>
      <c r="W178" s="37">
        <f>W177*W107</f>
        <v>88.64740340365731</v>
      </c>
      <c r="X178" s="37">
        <f>X177*X107</f>
        <v>83.53750812820711</v>
      </c>
      <c r="Y178" s="37">
        <f>Y177*Y107</f>
        <v>78.75810516964205</v>
      </c>
      <c r="Z178" s="37">
        <f>Z177*Z107</f>
        <v>74.28524266357468</v>
      </c>
      <c r="AA178" s="37">
        <f>AA177*AA107</f>
        <v>70.09686923821218</v>
      </c>
      <c r="AB178" s="37">
        <f>AB177*AB107</f>
        <v>66.17267383092154</v>
      </c>
      <c r="AC178" s="37">
        <f>AC177*AC107</f>
        <v>62.49393949471511</v>
      </c>
    </row>
    <row r="179" spans="1:29" x14ac:dyDescent="0.25">
      <c r="A179" s="33" t="s">
        <v>240</v>
      </c>
      <c r="B179" s="26" t="s">
        <v>182</v>
      </c>
      <c r="C179" s="58">
        <f>SUM(E179:AC179)</f>
        <v>35076.45566317772</v>
      </c>
      <c r="E179" s="59">
        <f>E96*E107</f>
        <v>3544.2397998121005</v>
      </c>
      <c r="F179" s="59">
        <f>F96*F107</f>
        <v>3218.2288148544167</v>
      </c>
      <c r="G179" s="59">
        <f>G96*G107</f>
        <v>2922.201316419517</v>
      </c>
      <c r="H179" s="59">
        <f>H96*H107</f>
        <v>2653.400067164067</v>
      </c>
      <c r="I179" s="59">
        <f>I96*I107</f>
        <v>2409.3213482160577</v>
      </c>
      <c r="J179" s="59">
        <f>J96*J107</f>
        <v>2187.691651992777</v>
      </c>
      <c r="K179" s="59">
        <f>K96*K107</f>
        <v>1986.446517494258</v>
      </c>
      <c r="L179" s="59">
        <f>L96*L107</f>
        <v>1803.711311152554</v>
      </c>
      <c r="M179" s="59">
        <f>M96*M107</f>
        <v>1637.7837744143478</v>
      </c>
      <c r="N179" s="59">
        <f>N96*N107</f>
        <v>1487.1181756686044</v>
      </c>
      <c r="O179" s="59">
        <f>O96*O107</f>
        <v>1350.310919055026</v>
      </c>
      <c r="P179" s="59">
        <f>P96*P107</f>
        <v>1226.0874762416968</v>
      </c>
      <c r="Q179" s="59">
        <f>Q96*Q107</f>
        <v>1113.2905195675262</v>
      </c>
      <c r="R179" s="59">
        <f>R96*R107</f>
        <v>1010.8691461213729</v>
      </c>
      <c r="S179" s="59">
        <f>S96*S107</f>
        <v>917.8690924789205</v>
      </c>
      <c r="T179" s="59">
        <f>T96*T107</f>
        <v>833.4238490349194</v>
      </c>
      <c r="U179" s="59">
        <f>U96*U107</f>
        <v>756.7465912379355</v>
      </c>
      <c r="V179" s="59">
        <f>V96*V107</f>
        <v>687.122852635156</v>
      </c>
      <c r="W179" s="59">
        <f>W96*W107</f>
        <v>623.9038715367008</v>
      </c>
      <c r="X179" s="59">
        <f>X96*X107</f>
        <v>566.5005493765169</v>
      </c>
      <c r="Y179" s="59">
        <f>Y96*Y107</f>
        <v>514.3779645385424</v>
      </c>
      <c r="Z179" s="59">
        <f>Z96*Z107</f>
        <v>467.05039058535255</v>
      </c>
      <c r="AA179" s="59">
        <f>AA96*AA107</f>
        <v>424.0767725200275</v>
      </c>
      <c r="AB179" s="59">
        <f>AB96*AB107</f>
        <v>385.0566189741387</v>
      </c>
      <c r="AC179" s="59">
        <f>AC96*AC107</f>
        <v>349.6262720851882</v>
      </c>
    </row>
    <row r="180" spans="1:29" x14ac:dyDescent="0.25">
      <c r="A180" s="33" t="s">
        <v>241</v>
      </c>
      <c r="B180" s="26" t="s">
        <v>86</v>
      </c>
      <c r="C180" s="57">
        <f>SUM(E180:AC180)</f>
        <v>24072.878124546205</v>
      </c>
      <c r="E180" s="37">
        <f>E111*E107</f>
        <v>2432.402337463341</v>
      </c>
      <c r="F180" s="37">
        <f>F111*F107</f>
        <v>2208.6618665471697</v>
      </c>
      <c r="G180" s="37">
        <f>G111*G107</f>
        <v>2005.4989825953983</v>
      </c>
      <c r="H180" s="37">
        <f>H111*H107</f>
        <v>1821.0214009609144</v>
      </c>
      <c r="I180" s="37">
        <f>I111*I107</f>
        <v>1653.510826048441</v>
      </c>
      <c r="J180" s="37">
        <f>J111*J107</f>
        <v>1501.4069556575669</v>
      </c>
      <c r="K180" s="37">
        <f>K111*K107</f>
        <v>1363.2929557009963</v>
      </c>
      <c r="L180" s="37">
        <f>L111*L107</f>
        <v>1237.882270152583</v>
      </c>
      <c r="M180" s="37">
        <f>M111*M107</f>
        <v>1124.0066434997411</v>
      </c>
      <c r="N180" s="37">
        <f>N111*N107</f>
        <v>1020.6052442535924</v>
      </c>
      <c r="O180" s="37">
        <f>O111*O107</f>
        <v>926.7147883125309</v>
      </c>
      <c r="P180" s="37">
        <f>P111*P107</f>
        <v>841.4605702760127</v>
      </c>
      <c r="Q180" s="37">
        <f>Q111*Q107</f>
        <v>764.048319251816</v>
      </c>
      <c r="R180" s="37">
        <f>R111*R107</f>
        <v>693.7568033702335</v>
      </c>
      <c r="S180" s="37">
        <f>S111*S107</f>
        <v>629.9311141840475</v>
      </c>
      <c r="T180" s="37">
        <f>T111*T107</f>
        <v>571.9765684584058</v>
      </c>
      <c r="U180" s="37">
        <f>U111*U107</f>
        <v>519.3531705987151</v>
      </c>
      <c r="V180" s="37">
        <f>V111*V107</f>
        <v>471.5705841807996</v>
      </c>
      <c r="W180" s="37">
        <f>W111*W107</f>
        <v>428.18356578433395</v>
      </c>
      <c r="X180" s="37">
        <f>X111*X107</f>
        <v>388.7878186320123</v>
      </c>
      <c r="Y180" s="37">
        <f>Y111*Y107</f>
        <v>353.0162274430521</v>
      </c>
      <c r="Z180" s="37">
        <f>Z111*Z107</f>
        <v>320.53543945677893</v>
      </c>
      <c r="AA180" s="37">
        <f>AA111*AA107</f>
        <v>291.0427598031914</v>
      </c>
      <c r="AB180" s="37">
        <f>AB111*AB107</f>
        <v>264.26333232251415</v>
      </c>
      <c r="AC180" s="37">
        <f>AC111*AC107</f>
        <v>239.9475795920163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0.09960296861088525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-1.5631940186722204e-12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-43.21002952722915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1.1346102119101054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1.557563401551449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5.4058660934272575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6.862973373281051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500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88</v>
      </c>
      <c r="E6" s="73" t="s">
        <v>104</v>
      </c>
    </row>
    <row r="7" spans="1:5" x14ac:dyDescent="0.25">
      <c r="A7" t="s">
        <v>38</v>
      </c>
      <c r="B7" t="s">
        <v>300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301</v>
      </c>
      <c r="C8" s="71">
        <v>4</v>
      </c>
      <c r="D8" t="s">
        <v>112</v>
      </c>
      <c r="E8" s="73" t="s">
        <v>104</v>
      </c>
    </row>
    <row r="9" spans="1:5" x14ac:dyDescent="0.25">
      <c r="A9" t="s">
        <v>38</v>
      </c>
      <c r="B9" t="s">
        <v>302</v>
      </c>
      <c r="C9" s="71">
        <v>4</v>
      </c>
      <c r="D9" t="s">
        <v>121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303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301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302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304</v>
      </c>
      <c r="C15" t="s">
        <v>305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306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307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308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309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310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301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302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311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312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312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312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312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312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312</v>
      </c>
    </row>
    <row r="39" spans="1:5" x14ac:dyDescent="0.25">
      <c r="A39" t="s">
        <v>44</v>
      </c>
      <c r="B39" t="s">
        <v>313</v>
      </c>
      <c r="C39" s="72">
        <v>0.1</v>
      </c>
      <c r="D39" t="s">
        <v>83</v>
      </c>
      <c r="E39" t="s">
        <v>312</v>
      </c>
    </row>
    <row r="40" spans="1:5" x14ac:dyDescent="0.25">
      <c r="A40" t="s">
        <v>314</v>
      </c>
      <c r="B40" t="s">
        <v>315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316</v>
      </c>
      <c r="B1" s="67" t="s">
        <v>291</v>
      </c>
      <c r="C1" s="67" t="s">
        <v>317</v>
      </c>
    </row>
    <row r="2" spans="1:3" x14ac:dyDescent="0.25">
      <c r="A2" t="s">
        <v>29</v>
      </c>
      <c r="B2" s="11">
        <v>500</v>
      </c>
      <c r="C2" t="s">
        <v>30</v>
      </c>
    </row>
    <row r="3" spans="1:3" x14ac:dyDescent="0.25">
      <c r="A3" t="s">
        <v>31</v>
      </c>
      <c r="B3" s="11">
        <v>1276.3570579652207</v>
      </c>
      <c r="C3" t="s">
        <v>32</v>
      </c>
    </row>
    <row r="4" spans="1:3" x14ac:dyDescent="0.25">
      <c r="A4" t="s">
        <v>33</v>
      </c>
      <c r="B4" s="11">
        <v>702.4988869862095</v>
      </c>
      <c r="C4" t="s">
        <v>32</v>
      </c>
    </row>
    <row r="5" spans="1:3" x14ac:dyDescent="0.25">
      <c r="A5" t="s">
        <v>34</v>
      </c>
      <c r="B5" s="11">
        <v>1054.0030331798353</v>
      </c>
      <c r="C5" t="s">
        <v>8</v>
      </c>
    </row>
    <row r="6" spans="1:3" x14ac:dyDescent="0.25">
      <c r="A6" t="s">
        <v>35</v>
      </c>
      <c r="B6" s="11">
        <v>4216.012132719341</v>
      </c>
      <c r="C6" t="s">
        <v>8</v>
      </c>
    </row>
    <row r="8" spans="1:3" s="67" customFormat="1" x14ac:dyDescent="0.25">
      <c r="A8" s="67" t="s">
        <v>301</v>
      </c>
      <c r="B8" s="67" t="s">
        <v>318</v>
      </c>
      <c r="C8" s="67" t="s">
        <v>317</v>
      </c>
    </row>
    <row r="9" spans="1:3" x14ac:dyDescent="0.25">
      <c r="A9" t="s">
        <v>38</v>
      </c>
      <c r="B9" s="8">
        <v>5360.699643453927</v>
      </c>
      <c r="C9" t="s">
        <v>8</v>
      </c>
    </row>
    <row r="10" spans="1:3" x14ac:dyDescent="0.25">
      <c r="A10" t="s">
        <v>40</v>
      </c>
      <c r="B10" s="8">
        <v>4794.554903680881</v>
      </c>
      <c r="C10" t="s">
        <v>8</v>
      </c>
    </row>
    <row r="11" spans="1:3" x14ac:dyDescent="0.25">
      <c r="A11" t="s">
        <v>42</v>
      </c>
      <c r="B11" s="8">
        <v>5312.17528722637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319</v>
      </c>
      <c r="B13" s="8">
        <v>15467.429834361175</v>
      </c>
      <c r="C13" t="s">
        <v>320</v>
      </c>
    </row>
    <row r="14" spans="1:3" x14ac:dyDescent="0.25">
      <c r="A14" t="s">
        <v>94</v>
      </c>
      <c r="B14" s="8">
        <v>10827.200884052821</v>
      </c>
      <c r="C14" t="s">
        <v>321</v>
      </c>
    </row>
    <row r="15" spans="1:3" x14ac:dyDescent="0.25">
      <c r="A15" t="s">
        <v>95</v>
      </c>
      <c r="B15" s="8">
        <v>4640.228950308354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109500</v>
      </c>
      <c r="D3" s="74">
        <v>4380</v>
      </c>
      <c r="E3" s="74">
        <v>4380</v>
      </c>
      <c r="F3" s="74">
        <v>4380</v>
      </c>
      <c r="G3" s="74">
        <v>4380</v>
      </c>
      <c r="H3" s="74">
        <v>4380</v>
      </c>
      <c r="I3" s="74">
        <v>4380</v>
      </c>
      <c r="J3" s="74">
        <v>4380</v>
      </c>
      <c r="K3" s="74">
        <v>4380</v>
      </c>
      <c r="L3" s="74">
        <v>4380</v>
      </c>
      <c r="M3" s="74">
        <v>4380</v>
      </c>
      <c r="N3" s="74">
        <v>4380</v>
      </c>
      <c r="O3" s="74">
        <v>4380</v>
      </c>
      <c r="P3" s="74">
        <v>4380</v>
      </c>
      <c r="Q3" s="74">
        <v>4380</v>
      </c>
      <c r="R3" s="74">
        <v>4380</v>
      </c>
      <c r="S3" s="74">
        <v>4380</v>
      </c>
      <c r="T3" s="74">
        <v>4380</v>
      </c>
      <c r="U3" s="74">
        <v>4380</v>
      </c>
      <c r="V3" s="74">
        <v>4380</v>
      </c>
      <c r="W3" s="74">
        <v>4380</v>
      </c>
      <c r="X3" s="74">
        <v>4380</v>
      </c>
      <c r="Y3" s="74">
        <v>4380</v>
      </c>
      <c r="Z3" s="74">
        <v>4380</v>
      </c>
      <c r="AA3" s="74">
        <v>4380</v>
      </c>
      <c r="AB3" s="74">
        <v>4380</v>
      </c>
    </row>
    <row r="4" spans="1:28" x14ac:dyDescent="0.25">
      <c r="A4" t="s">
        <v>183</v>
      </c>
      <c r="B4" t="s">
        <v>182</v>
      </c>
      <c r="C4" s="74">
        <v>96084.52034899282</v>
      </c>
      <c r="D4" s="74">
        <v>3898.663779793311</v>
      </c>
      <c r="E4" s="74">
        <v>3894.0568659738447</v>
      </c>
      <c r="F4" s="74">
        <v>3889.449952154378</v>
      </c>
      <c r="G4" s="74">
        <v>3884.843038334912</v>
      </c>
      <c r="H4" s="74">
        <v>3880.2361245154448</v>
      </c>
      <c r="I4" s="74">
        <v>3875.629210695978</v>
      </c>
      <c r="J4" s="74">
        <v>3871.022296876512</v>
      </c>
      <c r="K4" s="74">
        <v>3866.4153830570453</v>
      </c>
      <c r="L4" s="74">
        <v>3861.8084692375796</v>
      </c>
      <c r="M4" s="74">
        <v>3857.201555418113</v>
      </c>
      <c r="N4" s="74">
        <v>3852.594641598646</v>
      </c>
      <c r="O4" s="74">
        <v>3847.9877277791797</v>
      </c>
      <c r="P4" s="74">
        <v>3843.380813959713</v>
      </c>
      <c r="Q4" s="74">
        <v>3838.773900140247</v>
      </c>
      <c r="R4" s="74">
        <v>3834.1669863207803</v>
      </c>
      <c r="S4" s="74">
        <v>3829.5600725013137</v>
      </c>
      <c r="T4" s="74">
        <v>3824.9531586818475</v>
      </c>
      <c r="U4" s="74">
        <v>3820.346244862381</v>
      </c>
      <c r="V4" s="74">
        <v>3815.7393310429147</v>
      </c>
      <c r="W4" s="74">
        <v>3811.1324172234486</v>
      </c>
      <c r="X4" s="74">
        <v>3806.525503403981</v>
      </c>
      <c r="Y4" s="74">
        <v>3801.918589584515</v>
      </c>
      <c r="Z4" s="74">
        <v>3797.3116757650487</v>
      </c>
      <c r="AA4" s="74">
        <v>3792.704761945582</v>
      </c>
      <c r="AB4" s="74">
        <v>3788.097848126116</v>
      </c>
    </row>
    <row r="5" spans="1:28" x14ac:dyDescent="0.25">
      <c r="A5" t="s">
        <v>184</v>
      </c>
      <c r="B5" t="s">
        <v>8</v>
      </c>
      <c r="D5" s="72">
        <v>0.8901058857975596</v>
      </c>
      <c r="E5" s="72">
        <v>0.8890540789894622</v>
      </c>
      <c r="F5" s="72">
        <v>0.8880022721813648</v>
      </c>
      <c r="G5" s="72">
        <v>0.8869504653732675</v>
      </c>
      <c r="H5" s="72">
        <v>0.8858986585651701</v>
      </c>
      <c r="I5" s="72">
        <v>0.8848468517570727</v>
      </c>
      <c r="J5" s="72">
        <v>0.8837950449489753</v>
      </c>
      <c r="K5" s="72">
        <v>0.882743238140878</v>
      </c>
      <c r="L5" s="72">
        <v>0.8816914313327807</v>
      </c>
      <c r="M5" s="72">
        <v>0.8806396245246833</v>
      </c>
      <c r="N5" s="72">
        <v>0.8795878177165859</v>
      </c>
      <c r="O5" s="72">
        <v>0.8785360109084885</v>
      </c>
      <c r="P5" s="72">
        <v>0.8774842041003911</v>
      </c>
      <c r="Q5" s="72">
        <v>0.8764323972922938</v>
      </c>
      <c r="R5" s="72">
        <v>0.8753805904841964</v>
      </c>
      <c r="S5" s="72">
        <v>0.874328783676099</v>
      </c>
      <c r="T5" s="72">
        <v>0.8732769768680018</v>
      </c>
      <c r="U5" s="72">
        <v>0.8722251700599043</v>
      </c>
      <c r="V5" s="72">
        <v>0.8711733632518069</v>
      </c>
      <c r="W5" s="72">
        <v>0.8701215564437097</v>
      </c>
      <c r="X5" s="72">
        <v>0.8690697496356121</v>
      </c>
      <c r="Y5" s="72">
        <v>0.8680179428275149</v>
      </c>
      <c r="Z5" s="72">
        <v>0.8669661360194175</v>
      </c>
      <c r="AA5" s="72">
        <v>0.86591432921132</v>
      </c>
      <c r="AB5" s="72">
        <v>0.8648625224032228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6.862973373281052</v>
      </c>
      <c r="E7" s="75">
        <v>6.862973373281052</v>
      </c>
      <c r="F7" s="75">
        <v>6.862973373281052</v>
      </c>
      <c r="G7" s="75">
        <v>6.862973373281052</v>
      </c>
      <c r="H7" s="75">
        <v>6.862973373281052</v>
      </c>
      <c r="I7" s="75">
        <v>6.862973373281052</v>
      </c>
      <c r="J7" s="75">
        <v>6.862973373281052</v>
      </c>
      <c r="K7" s="75">
        <v>6.862973373281052</v>
      </c>
      <c r="L7" s="75">
        <v>6.862973373281052</v>
      </c>
      <c r="M7" s="75">
        <v>6.862973373281052</v>
      </c>
      <c r="N7" s="75">
        <v>6.862973373281052</v>
      </c>
      <c r="O7" s="75">
        <v>6.862973373281052</v>
      </c>
      <c r="P7" s="75">
        <v>6.862973373281052</v>
      </c>
      <c r="Q7" s="75">
        <v>6.862973373281052</v>
      </c>
      <c r="R7" s="75">
        <v>6.862973373281052</v>
      </c>
      <c r="S7" s="75">
        <v>6.862973373281052</v>
      </c>
      <c r="T7" s="75">
        <v>6.862973373281052</v>
      </c>
      <c r="U7" s="75">
        <v>6.862973373281052</v>
      </c>
      <c r="V7" s="75">
        <v>6.862973373281052</v>
      </c>
      <c r="W7" s="75">
        <v>6.862973373281052</v>
      </c>
      <c r="X7" s="75">
        <v>6.862973373281052</v>
      </c>
      <c r="Y7" s="75">
        <v>6.862973373281052</v>
      </c>
      <c r="Z7" s="75">
        <v>6.862973373281052</v>
      </c>
      <c r="AA7" s="75">
        <v>6.862973373281052</v>
      </c>
      <c r="AB7" s="75">
        <v>6.862973373281052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65942.55047396192</v>
      </c>
      <c r="D9" s="76">
        <v>2675.6425712096757</v>
      </c>
      <c r="E9" s="76">
        <v>2672.480858522076</v>
      </c>
      <c r="F9" s="76">
        <v>2669.319145834476</v>
      </c>
      <c r="G9" s="76">
        <v>2666.157433146876</v>
      </c>
      <c r="H9" s="76">
        <v>2662.9957204592756</v>
      </c>
      <c r="I9" s="76">
        <v>2659.8340077716757</v>
      </c>
      <c r="J9" s="76">
        <v>2656.6722950840763</v>
      </c>
      <c r="K9" s="76">
        <v>2653.510582396476</v>
      </c>
      <c r="L9" s="76">
        <v>2650.348869708877</v>
      </c>
      <c r="M9" s="76">
        <v>2647.1871570212766</v>
      </c>
      <c r="N9" s="76">
        <v>2644.025444333676</v>
      </c>
      <c r="O9" s="76">
        <v>2640.8637316460768</v>
      </c>
      <c r="P9" s="76">
        <v>2637.702018958477</v>
      </c>
      <c r="Q9" s="76">
        <v>2634.540306270877</v>
      </c>
      <c r="R9" s="76">
        <v>2631.378593583277</v>
      </c>
      <c r="S9" s="76">
        <v>2628.216880895677</v>
      </c>
      <c r="T9" s="76">
        <v>2625.0551682080772</v>
      </c>
      <c r="U9" s="76">
        <v>2621.8934555204773</v>
      </c>
      <c r="V9" s="76">
        <v>2618.7317428328774</v>
      </c>
      <c r="W9" s="76">
        <v>2615.570030145278</v>
      </c>
      <c r="X9" s="76">
        <v>2612.4083174576776</v>
      </c>
      <c r="Y9" s="76">
        <v>2609.2466047700777</v>
      </c>
      <c r="Z9" s="76">
        <v>2606.0848920824783</v>
      </c>
      <c r="AA9" s="76">
        <v>2602.923179394878</v>
      </c>
      <c r="AB9" s="76">
        <v>2599.761466707278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6488.123830629431</v>
      </c>
      <c r="D11" s="76">
        <v>241.93712141446966</v>
      </c>
      <c r="E11" s="76">
        <v>243.40277406536194</v>
      </c>
      <c r="F11" s="76">
        <v>244.86842671625425</v>
      </c>
      <c r="G11" s="76">
        <v>246.33407936714656</v>
      </c>
      <c r="H11" s="76">
        <v>247.79973201803884</v>
      </c>
      <c r="I11" s="76">
        <v>249.26538466893115</v>
      </c>
      <c r="J11" s="76">
        <v>250.73103731982346</v>
      </c>
      <c r="K11" s="76">
        <v>252.19668997071574</v>
      </c>
      <c r="L11" s="76">
        <v>253.66234262160805</v>
      </c>
      <c r="M11" s="76">
        <v>255.1279952725003</v>
      </c>
      <c r="N11" s="76">
        <v>256.5936479233926</v>
      </c>
      <c r="O11" s="76">
        <v>258.0593005742849</v>
      </c>
      <c r="P11" s="76">
        <v>259.5249532251772</v>
      </c>
      <c r="Q11" s="76">
        <v>260.99060587606954</v>
      </c>
      <c r="R11" s="76">
        <v>262.45625852696185</v>
      </c>
      <c r="S11" s="76">
        <v>263.9219111778541</v>
      </c>
      <c r="T11" s="76">
        <v>265.3875638287464</v>
      </c>
      <c r="U11" s="76">
        <v>266.8532164796387</v>
      </c>
      <c r="V11" s="76">
        <v>268.318869130531</v>
      </c>
      <c r="W11" s="76">
        <v>269.78452178142334</v>
      </c>
      <c r="X11" s="76">
        <v>271.2501744323156</v>
      </c>
      <c r="Y11" s="76">
        <v>272.7158270832079</v>
      </c>
      <c r="Z11" s="76">
        <v>274.1814797341002</v>
      </c>
      <c r="AA11" s="76">
        <v>275.64713238499246</v>
      </c>
      <c r="AB11" s="76">
        <v>277.11278503588477</v>
      </c>
    </row>
    <row r="12" spans="1:28" s="14" customFormat="1" x14ac:dyDescent="0.25">
      <c r="A12" s="14" t="s">
        <v>195</v>
      </c>
      <c r="B12" s="14" t="s">
        <v>8</v>
      </c>
      <c r="C12" s="77">
        <v>59454.42664333252</v>
      </c>
      <c r="D12" s="77">
        <v>2433.705449795206</v>
      </c>
      <c r="E12" s="77">
        <v>2429.078084456714</v>
      </c>
      <c r="F12" s="77">
        <v>2424.4507191182215</v>
      </c>
      <c r="G12" s="77">
        <v>2419.8233537797296</v>
      </c>
      <c r="H12" s="77">
        <v>2415.1959884412368</v>
      </c>
      <c r="I12" s="77">
        <v>2410.5686231027444</v>
      </c>
      <c r="J12" s="77">
        <v>2405.941257764253</v>
      </c>
      <c r="K12" s="77">
        <v>2401.31389242576</v>
      </c>
      <c r="L12" s="77">
        <v>2396.686527087269</v>
      </c>
      <c r="M12" s="77">
        <v>2392.059161748776</v>
      </c>
      <c r="N12" s="77">
        <v>2387.431796410284</v>
      </c>
      <c r="O12" s="77">
        <v>2382.804431071792</v>
      </c>
      <c r="P12" s="77">
        <v>2378.1770657332995</v>
      </c>
      <c r="Q12" s="77">
        <v>2373.5497003948076</v>
      </c>
      <c r="R12" s="77">
        <v>2368.922335056315</v>
      </c>
      <c r="S12" s="77">
        <v>2364.294969717823</v>
      </c>
      <c r="T12" s="77">
        <v>2359.667604379331</v>
      </c>
      <c r="U12" s="77">
        <v>2355.0402390408385</v>
      </c>
      <c r="V12" s="77">
        <v>2350.4128737023466</v>
      </c>
      <c r="W12" s="77">
        <v>2345.7855083638547</v>
      </c>
      <c r="X12" s="77">
        <v>2341.158143025362</v>
      </c>
      <c r="Y12" s="77">
        <v>2336.53077768687</v>
      </c>
      <c r="Z12" s="77">
        <v>2331.903412348378</v>
      </c>
      <c r="AA12" s="77">
        <v>2327.2760470098856</v>
      </c>
      <c r="AB12" s="77">
        <v>2322.648681671393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7868.8301512998105</v>
      </c>
      <c r="D14" s="76">
        <v>164.87132773999977</v>
      </c>
      <c r="E14" s="76">
        <v>173.11489412699976</v>
      </c>
      <c r="F14" s="76">
        <v>181.77063883334975</v>
      </c>
      <c r="G14" s="76">
        <v>190.85917077501725</v>
      </c>
      <c r="H14" s="76">
        <v>200.40212931376814</v>
      </c>
      <c r="I14" s="76">
        <v>210.42223577945657</v>
      </c>
      <c r="J14" s="76">
        <v>220.9433475684294</v>
      </c>
      <c r="K14" s="76">
        <v>231.99051494685088</v>
      </c>
      <c r="L14" s="76">
        <v>243.59004069419342</v>
      </c>
      <c r="M14" s="76">
        <v>255.7695427289031</v>
      </c>
      <c r="N14" s="76">
        <v>268.55801986534823</v>
      </c>
      <c r="O14" s="76">
        <v>281.98592085861566</v>
      </c>
      <c r="P14" s="76">
        <v>296.08521690154646</v>
      </c>
      <c r="Q14" s="76">
        <v>310.8894777466238</v>
      </c>
      <c r="R14" s="76">
        <v>326.433951633955</v>
      </c>
      <c r="S14" s="76">
        <v>342.7556492156528</v>
      </c>
      <c r="T14" s="76">
        <v>359.8934316764354</v>
      </c>
      <c r="U14" s="76">
        <v>377.88810326025725</v>
      </c>
      <c r="V14" s="76">
        <v>396.7825084232701</v>
      </c>
      <c r="W14" s="76">
        <v>416.62163384443363</v>
      </c>
      <c r="X14" s="76">
        <v>437.4527155366553</v>
      </c>
      <c r="Y14" s="76">
        <v>459.3253513134881</v>
      </c>
      <c r="Z14" s="76">
        <v>482.29161887916257</v>
      </c>
      <c r="AA14" s="76">
        <v>506.4061998231207</v>
      </c>
      <c r="AB14" s="76">
        <v>531.7265098142767</v>
      </c>
    </row>
    <row r="15" spans="1:28" x14ac:dyDescent="0.25">
      <c r="A15" t="s">
        <v>126</v>
      </c>
      <c r="B15" t="s">
        <v>8</v>
      </c>
      <c r="C15" s="76">
        <v>1104.816416740084</v>
      </c>
      <c r="D15" s="76">
        <v>44.19265666960336</v>
      </c>
      <c r="E15" s="76">
        <v>44.19265666960336</v>
      </c>
      <c r="F15" s="76">
        <v>44.19265666960336</v>
      </c>
      <c r="G15" s="76">
        <v>44.19265666960336</v>
      </c>
      <c r="H15" s="76">
        <v>44.19265666960336</v>
      </c>
      <c r="I15" s="76">
        <v>44.19265666960336</v>
      </c>
      <c r="J15" s="76">
        <v>44.19265666960336</v>
      </c>
      <c r="K15" s="76">
        <v>44.19265666960336</v>
      </c>
      <c r="L15" s="76">
        <v>44.19265666960336</v>
      </c>
      <c r="M15" s="76">
        <v>44.19265666960336</v>
      </c>
      <c r="N15" s="76">
        <v>44.19265666960336</v>
      </c>
      <c r="O15" s="76">
        <v>44.19265666960336</v>
      </c>
      <c r="P15" s="76">
        <v>44.19265666960336</v>
      </c>
      <c r="Q15" s="76">
        <v>44.19265666960336</v>
      </c>
      <c r="R15" s="76">
        <v>44.19265666960336</v>
      </c>
      <c r="S15" s="76">
        <v>44.19265666960336</v>
      </c>
      <c r="T15" s="76">
        <v>44.19265666960336</v>
      </c>
      <c r="U15" s="76">
        <v>44.19265666960336</v>
      </c>
      <c r="V15" s="76">
        <v>44.19265666960336</v>
      </c>
      <c r="W15" s="76">
        <v>44.19265666960336</v>
      </c>
      <c r="X15" s="76">
        <v>44.19265666960336</v>
      </c>
      <c r="Y15" s="76">
        <v>44.19265666960336</v>
      </c>
      <c r="Z15" s="76">
        <v>44.19265666960336</v>
      </c>
      <c r="AA15" s="76">
        <v>44.19265666960336</v>
      </c>
      <c r="AB15" s="76">
        <v>44.19265666960336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8973.646568039896</v>
      </c>
      <c r="D17" s="77">
        <v>209.06398440960314</v>
      </c>
      <c r="E17" s="77">
        <v>217.30755079660312</v>
      </c>
      <c r="F17" s="77">
        <v>225.96329550295312</v>
      </c>
      <c r="G17" s="77">
        <v>235.0518274446206</v>
      </c>
      <c r="H17" s="77">
        <v>244.5947859833715</v>
      </c>
      <c r="I17" s="77">
        <v>254.61489244905994</v>
      </c>
      <c r="J17" s="77">
        <v>265.13600423803274</v>
      </c>
      <c r="K17" s="77">
        <v>276.1831716164542</v>
      </c>
      <c r="L17" s="77">
        <v>287.7826973637968</v>
      </c>
      <c r="M17" s="77">
        <v>299.96219939850647</v>
      </c>
      <c r="N17" s="77">
        <v>312.7506765349516</v>
      </c>
      <c r="O17" s="77">
        <v>326.178577528219</v>
      </c>
      <c r="P17" s="77">
        <v>340.2778735711498</v>
      </c>
      <c r="Q17" s="77">
        <v>355.0821344162272</v>
      </c>
      <c r="R17" s="77">
        <v>370.6266083035584</v>
      </c>
      <c r="S17" s="77">
        <v>386.94830588525616</v>
      </c>
      <c r="T17" s="77">
        <v>404.08608834603876</v>
      </c>
      <c r="U17" s="77">
        <v>422.0807599298606</v>
      </c>
      <c r="V17" s="77">
        <v>440.97516509287345</v>
      </c>
      <c r="W17" s="77">
        <v>460.814290514037</v>
      </c>
      <c r="X17" s="77">
        <v>481.6453722062587</v>
      </c>
      <c r="Y17" s="77">
        <v>503.5180079830915</v>
      </c>
      <c r="Z17" s="77">
        <v>526.4842755487659</v>
      </c>
      <c r="AA17" s="77">
        <v>550.598856492724</v>
      </c>
      <c r="AB17" s="77">
        <v>575.9191664838801</v>
      </c>
    </row>
    <row r="18" spans="1:1" s="5" customFormat="1" x14ac:dyDescent="0.25">
      <c r="A18" s="5" t="s">
        <v>349</v>
      </c>
    </row>
    <row r="19" spans="1:28" x14ac:dyDescent="0.25">
      <c r="A19" t="s">
        <v>143</v>
      </c>
      <c r="B19" t="s">
        <v>8</v>
      </c>
      <c r="C19" s="76">
        <v>2428.4229884463393</v>
      </c>
      <c r="D19" s="76">
        <v>0</v>
      </c>
      <c r="E19" s="76">
        <v>101.18429118526417</v>
      </c>
      <c r="F19" s="76">
        <v>101.18429118526417</v>
      </c>
      <c r="G19" s="76">
        <v>101.18429118526417</v>
      </c>
      <c r="H19" s="76">
        <v>101.18429118526417</v>
      </c>
      <c r="I19" s="76">
        <v>101.18429118526417</v>
      </c>
      <c r="J19" s="76">
        <v>101.18429118526417</v>
      </c>
      <c r="K19" s="76">
        <v>101.18429118526417</v>
      </c>
      <c r="L19" s="76">
        <v>101.18429118526417</v>
      </c>
      <c r="M19" s="76">
        <v>101.18429118526417</v>
      </c>
      <c r="N19" s="76">
        <v>101.18429118526417</v>
      </c>
      <c r="O19" s="76">
        <v>101.18429118526417</v>
      </c>
      <c r="P19" s="76">
        <v>101.18429118526417</v>
      </c>
      <c r="Q19" s="76">
        <v>101.18429118526417</v>
      </c>
      <c r="R19" s="76">
        <v>101.18429118526417</v>
      </c>
      <c r="S19" s="76">
        <v>101.18429118526417</v>
      </c>
      <c r="T19" s="76">
        <v>101.18429118526417</v>
      </c>
      <c r="U19" s="76">
        <v>101.18429118526417</v>
      </c>
      <c r="V19" s="76">
        <v>101.18429118526417</v>
      </c>
      <c r="W19" s="76">
        <v>101.18429118526417</v>
      </c>
      <c r="X19" s="76">
        <v>101.18429118526417</v>
      </c>
      <c r="Y19" s="76">
        <v>101.18429118526417</v>
      </c>
      <c r="Z19" s="76">
        <v>101.18429118526417</v>
      </c>
      <c r="AA19" s="76">
        <v>101.18429118526417</v>
      </c>
      <c r="AB19" s="76">
        <v>101.18429118526417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322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</row>
    <row r="2" spans="1:1" s="5" customFormat="1" x14ac:dyDescent="0.25">
      <c r="A2" s="5" t="s">
        <v>348</v>
      </c>
    </row>
    <row r="3" spans="1:28" x14ac:dyDescent="0.25">
      <c r="A3" t="s">
        <v>181</v>
      </c>
      <c r="B3" t="s">
        <v>182</v>
      </c>
      <c r="C3" s="74">
        <v>109500</v>
      </c>
      <c r="D3" s="74">
        <v>4380</v>
      </c>
      <c r="E3" s="74">
        <v>4380</v>
      </c>
      <c r="F3" s="74">
        <v>4380</v>
      </c>
      <c r="G3" s="74">
        <v>4380</v>
      </c>
      <c r="H3" s="74">
        <v>4380</v>
      </c>
      <c r="I3" s="74">
        <v>4380</v>
      </c>
      <c r="J3" s="74">
        <v>4380</v>
      </c>
      <c r="K3" s="74">
        <v>4380</v>
      </c>
      <c r="L3" s="74">
        <v>4380</v>
      </c>
      <c r="M3" s="74">
        <v>4380</v>
      </c>
      <c r="N3" s="74">
        <v>4380</v>
      </c>
      <c r="O3" s="74">
        <v>4380</v>
      </c>
      <c r="P3" s="74">
        <v>4380</v>
      </c>
      <c r="Q3" s="74">
        <v>4380</v>
      </c>
      <c r="R3" s="74">
        <v>4380</v>
      </c>
      <c r="S3" s="74">
        <v>4380</v>
      </c>
      <c r="T3" s="74">
        <v>4380</v>
      </c>
      <c r="U3" s="74">
        <v>4380</v>
      </c>
      <c r="V3" s="74">
        <v>4380</v>
      </c>
      <c r="W3" s="74">
        <v>4380</v>
      </c>
      <c r="X3" s="74">
        <v>4380</v>
      </c>
      <c r="Y3" s="74">
        <v>4380</v>
      </c>
      <c r="Z3" s="74">
        <v>4380</v>
      </c>
      <c r="AA3" s="74">
        <v>4380</v>
      </c>
      <c r="AB3" s="74">
        <v>4380</v>
      </c>
    </row>
    <row r="4" spans="1:28" x14ac:dyDescent="0.25">
      <c r="A4" t="s">
        <v>183</v>
      </c>
      <c r="B4" t="s">
        <v>182</v>
      </c>
      <c r="C4" s="74">
        <v>96084.52034899282</v>
      </c>
      <c r="D4" s="74">
        <v>3898.663779793311</v>
      </c>
      <c r="E4" s="74">
        <v>3894.0568659738447</v>
      </c>
      <c r="F4" s="74">
        <v>3889.449952154378</v>
      </c>
      <c r="G4" s="74">
        <v>3884.843038334912</v>
      </c>
      <c r="H4" s="74">
        <v>3880.2361245154448</v>
      </c>
      <c r="I4" s="74">
        <v>3875.629210695978</v>
      </c>
      <c r="J4" s="74">
        <v>3871.022296876512</v>
      </c>
      <c r="K4" s="74">
        <v>3866.4153830570453</v>
      </c>
      <c r="L4" s="74">
        <v>3861.8084692375796</v>
      </c>
      <c r="M4" s="74">
        <v>3857.201555418113</v>
      </c>
      <c r="N4" s="74">
        <v>3852.594641598646</v>
      </c>
      <c r="O4" s="74">
        <v>3847.9877277791797</v>
      </c>
      <c r="P4" s="74">
        <v>3843.380813959713</v>
      </c>
      <c r="Q4" s="74">
        <v>3838.773900140247</v>
      </c>
      <c r="R4" s="74">
        <v>3834.1669863207803</v>
      </c>
      <c r="S4" s="74">
        <v>3829.5600725013137</v>
      </c>
      <c r="T4" s="74">
        <v>3824.9531586818475</v>
      </c>
      <c r="U4" s="74">
        <v>3820.346244862381</v>
      </c>
      <c r="V4" s="74">
        <v>3815.7393310429147</v>
      </c>
      <c r="W4" s="74">
        <v>3811.1324172234486</v>
      </c>
      <c r="X4" s="74">
        <v>3806.525503403981</v>
      </c>
      <c r="Y4" s="74">
        <v>3801.918589584515</v>
      </c>
      <c r="Z4" s="74">
        <v>3797.3116757650487</v>
      </c>
      <c r="AA4" s="74">
        <v>3792.704761945582</v>
      </c>
      <c r="AB4" s="74">
        <v>3788.097848126116</v>
      </c>
    </row>
    <row r="5" spans="1:28" x14ac:dyDescent="0.25">
      <c r="A5" t="s">
        <v>184</v>
      </c>
      <c r="B5" t="s">
        <v>8</v>
      </c>
      <c r="D5" s="72">
        <v>0.8901058857975596</v>
      </c>
      <c r="E5" s="72">
        <v>0.8890540789894622</v>
      </c>
      <c r="F5" s="72">
        <v>0.8880022721813648</v>
      </c>
      <c r="G5" s="72">
        <v>0.8869504653732675</v>
      </c>
      <c r="H5" s="72">
        <v>0.8858986585651701</v>
      </c>
      <c r="I5" s="72">
        <v>0.8848468517570727</v>
      </c>
      <c r="J5" s="72">
        <v>0.8837950449489753</v>
      </c>
      <c r="K5" s="72">
        <v>0.882743238140878</v>
      </c>
      <c r="L5" s="72">
        <v>0.8816914313327807</v>
      </c>
      <c r="M5" s="72">
        <v>0.8806396245246833</v>
      </c>
      <c r="N5" s="72">
        <v>0.8795878177165859</v>
      </c>
      <c r="O5" s="72">
        <v>0.8785360109084885</v>
      </c>
      <c r="P5" s="72">
        <v>0.8774842041003911</v>
      </c>
      <c r="Q5" s="72">
        <v>0.8764323972922938</v>
      </c>
      <c r="R5" s="72">
        <v>0.8753805904841964</v>
      </c>
      <c r="S5" s="72">
        <v>0.874328783676099</v>
      </c>
      <c r="T5" s="72">
        <v>0.8732769768680018</v>
      </c>
      <c r="U5" s="72">
        <v>0.8722251700599043</v>
      </c>
      <c r="V5" s="72">
        <v>0.8711733632518069</v>
      </c>
      <c r="W5" s="72">
        <v>0.8701215564437097</v>
      </c>
      <c r="X5" s="72">
        <v>0.8690697496356121</v>
      </c>
      <c r="Y5" s="72">
        <v>0.8680179428275149</v>
      </c>
      <c r="Z5" s="72">
        <v>0.8669661360194175</v>
      </c>
      <c r="AA5" s="72">
        <v>0.86591432921132</v>
      </c>
      <c r="AB5" s="72">
        <v>0.8648625224032228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6.862973373281052</v>
      </c>
      <c r="E7" s="75">
        <v>6.862973373281052</v>
      </c>
      <c r="F7" s="75">
        <v>6.862973373281052</v>
      </c>
      <c r="G7" s="75">
        <v>6.862973373281052</v>
      </c>
      <c r="H7" s="75">
        <v>6.862973373281052</v>
      </c>
      <c r="I7" s="75">
        <v>6.862973373281052</v>
      </c>
      <c r="J7" s="75">
        <v>6.862973373281052</v>
      </c>
      <c r="K7" s="75">
        <v>6.862973373281052</v>
      </c>
      <c r="L7" s="75">
        <v>6.862973373281052</v>
      </c>
      <c r="M7" s="75">
        <v>6.862973373281052</v>
      </c>
      <c r="N7" s="75">
        <v>6.862973373281052</v>
      </c>
      <c r="O7" s="75">
        <v>6.862973373281052</v>
      </c>
      <c r="P7" s="75">
        <v>6.862973373281052</v>
      </c>
      <c r="Q7" s="75">
        <v>6.862973373281052</v>
      </c>
      <c r="R7" s="75">
        <v>6.862973373281052</v>
      </c>
      <c r="S7" s="75">
        <v>6.862973373281052</v>
      </c>
      <c r="T7" s="75">
        <v>6.862973373281052</v>
      </c>
      <c r="U7" s="75">
        <v>6.862973373281052</v>
      </c>
      <c r="V7" s="75">
        <v>6.862973373281052</v>
      </c>
      <c r="W7" s="75">
        <v>6.862973373281052</v>
      </c>
      <c r="X7" s="75">
        <v>6.862973373281052</v>
      </c>
      <c r="Y7" s="75">
        <v>6.862973373281052</v>
      </c>
      <c r="Z7" s="75">
        <v>6.862973373281052</v>
      </c>
      <c r="AA7" s="75">
        <v>6.862973373281052</v>
      </c>
      <c r="AB7" s="75">
        <v>6.862973373281052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65942.55047396192</v>
      </c>
      <c r="D9" s="76">
        <v>2675.6425712096757</v>
      </c>
      <c r="E9" s="76">
        <v>2672.480858522076</v>
      </c>
      <c r="F9" s="76">
        <v>2669.319145834476</v>
      </c>
      <c r="G9" s="76">
        <v>2666.157433146876</v>
      </c>
      <c r="H9" s="76">
        <v>2662.9957204592756</v>
      </c>
      <c r="I9" s="76">
        <v>2659.8340077716757</v>
      </c>
      <c r="J9" s="76">
        <v>2656.6722950840763</v>
      </c>
      <c r="K9" s="76">
        <v>2653.510582396476</v>
      </c>
      <c r="L9" s="76">
        <v>2650.348869708877</v>
      </c>
      <c r="M9" s="76">
        <v>2647.1871570212766</v>
      </c>
      <c r="N9" s="76">
        <v>2644.025444333676</v>
      </c>
      <c r="O9" s="76">
        <v>2640.8637316460768</v>
      </c>
      <c r="P9" s="76">
        <v>2637.702018958477</v>
      </c>
      <c r="Q9" s="76">
        <v>2634.540306270877</v>
      </c>
      <c r="R9" s="76">
        <v>2631.378593583277</v>
      </c>
      <c r="S9" s="76">
        <v>2628.216880895677</v>
      </c>
      <c r="T9" s="76">
        <v>2625.0551682080772</v>
      </c>
      <c r="U9" s="76">
        <v>2621.8934555204773</v>
      </c>
      <c r="V9" s="76">
        <v>2618.7317428328774</v>
      </c>
      <c r="W9" s="76">
        <v>2615.570030145278</v>
      </c>
      <c r="X9" s="76">
        <v>2612.4083174576776</v>
      </c>
      <c r="Y9" s="76">
        <v>2609.2466047700777</v>
      </c>
      <c r="Z9" s="76">
        <v>2606.0848920824783</v>
      </c>
      <c r="AA9" s="76">
        <v>2602.923179394878</v>
      </c>
      <c r="AB9" s="76">
        <v>2599.761466707278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6488.123830629431</v>
      </c>
      <c r="D11" s="76">
        <v>241.93712141446966</v>
      </c>
      <c r="E11" s="76">
        <v>243.40277406536194</v>
      </c>
      <c r="F11" s="76">
        <v>244.86842671625425</v>
      </c>
      <c r="G11" s="76">
        <v>246.33407936714656</v>
      </c>
      <c r="H11" s="76">
        <v>247.79973201803884</v>
      </c>
      <c r="I11" s="76">
        <v>249.26538466893115</v>
      </c>
      <c r="J11" s="76">
        <v>250.73103731982346</v>
      </c>
      <c r="K11" s="76">
        <v>252.19668997071574</v>
      </c>
      <c r="L11" s="76">
        <v>253.66234262160805</v>
      </c>
      <c r="M11" s="76">
        <v>255.1279952725003</v>
      </c>
      <c r="N11" s="76">
        <v>256.5936479233926</v>
      </c>
      <c r="O11" s="76">
        <v>258.0593005742849</v>
      </c>
      <c r="P11" s="76">
        <v>259.5249532251772</v>
      </c>
      <c r="Q11" s="76">
        <v>260.99060587606954</v>
      </c>
      <c r="R11" s="76">
        <v>262.45625852696185</v>
      </c>
      <c r="S11" s="76">
        <v>263.9219111778541</v>
      </c>
      <c r="T11" s="76">
        <v>265.3875638287464</v>
      </c>
      <c r="U11" s="76">
        <v>266.8532164796387</v>
      </c>
      <c r="V11" s="76">
        <v>268.318869130531</v>
      </c>
      <c r="W11" s="76">
        <v>269.78452178142334</v>
      </c>
      <c r="X11" s="76">
        <v>271.2501744323156</v>
      </c>
      <c r="Y11" s="76">
        <v>272.7158270832079</v>
      </c>
      <c r="Z11" s="76">
        <v>274.1814797341002</v>
      </c>
      <c r="AA11" s="76">
        <v>275.64713238499246</v>
      </c>
      <c r="AB11" s="76">
        <v>277.11278503588477</v>
      </c>
    </row>
    <row r="12" spans="1:28" s="14" customFormat="1" x14ac:dyDescent="0.25">
      <c r="A12" s="14" t="s">
        <v>195</v>
      </c>
      <c r="B12" s="14" t="s">
        <v>8</v>
      </c>
      <c r="C12" s="77">
        <v>59454.42664333252</v>
      </c>
      <c r="D12" s="77">
        <v>2433.705449795206</v>
      </c>
      <c r="E12" s="77">
        <v>2429.078084456714</v>
      </c>
      <c r="F12" s="77">
        <v>2424.4507191182215</v>
      </c>
      <c r="G12" s="77">
        <v>2419.8233537797296</v>
      </c>
      <c r="H12" s="77">
        <v>2415.1959884412368</v>
      </c>
      <c r="I12" s="77">
        <v>2410.5686231027444</v>
      </c>
      <c r="J12" s="77">
        <v>2405.941257764253</v>
      </c>
      <c r="K12" s="77">
        <v>2401.31389242576</v>
      </c>
      <c r="L12" s="77">
        <v>2396.686527087269</v>
      </c>
      <c r="M12" s="77">
        <v>2392.059161748776</v>
      </c>
      <c r="N12" s="77">
        <v>2387.431796410284</v>
      </c>
      <c r="O12" s="77">
        <v>2382.804431071792</v>
      </c>
      <c r="P12" s="77">
        <v>2378.1770657332995</v>
      </c>
      <c r="Q12" s="77">
        <v>2373.5497003948076</v>
      </c>
      <c r="R12" s="77">
        <v>2368.922335056315</v>
      </c>
      <c r="S12" s="77">
        <v>2364.294969717823</v>
      </c>
      <c r="T12" s="77">
        <v>2359.667604379331</v>
      </c>
      <c r="U12" s="77">
        <v>2355.0402390408385</v>
      </c>
      <c r="V12" s="77">
        <v>2350.4128737023466</v>
      </c>
      <c r="W12" s="77">
        <v>2345.7855083638547</v>
      </c>
      <c r="X12" s="77">
        <v>2341.158143025362</v>
      </c>
      <c r="Y12" s="77">
        <v>2336.53077768687</v>
      </c>
      <c r="Z12" s="77">
        <v>2331.903412348378</v>
      </c>
      <c r="AA12" s="77">
        <v>2327.2760470098856</v>
      </c>
      <c r="AB12" s="77">
        <v>2322.648681671393</v>
      </c>
    </row>
    <row r="13" spans="1:1" s="5" customFormat="1" x14ac:dyDescent="0.25">
      <c r="A13" s="5" t="s">
        <v>196</v>
      </c>
    </row>
    <row r="14" spans="1:28" x14ac:dyDescent="0.25">
      <c r="A14" t="s">
        <v>302</v>
      </c>
      <c r="B14" t="s">
        <v>8</v>
      </c>
      <c r="C14" s="76">
        <v>7868.8301512998105</v>
      </c>
      <c r="D14" s="76">
        <v>164.87132773999977</v>
      </c>
      <c r="E14" s="76">
        <v>173.11489412699976</v>
      </c>
      <c r="F14" s="76">
        <v>181.77063883334975</v>
      </c>
      <c r="G14" s="76">
        <v>190.85917077501725</v>
      </c>
      <c r="H14" s="76">
        <v>200.40212931376814</v>
      </c>
      <c r="I14" s="76">
        <v>210.42223577945657</v>
      </c>
      <c r="J14" s="76">
        <v>220.9433475684294</v>
      </c>
      <c r="K14" s="76">
        <v>231.99051494685088</v>
      </c>
      <c r="L14" s="76">
        <v>243.59004069419342</v>
      </c>
      <c r="M14" s="76">
        <v>255.7695427289031</v>
      </c>
      <c r="N14" s="76">
        <v>268.55801986534823</v>
      </c>
      <c r="O14" s="76">
        <v>281.98592085861566</v>
      </c>
      <c r="P14" s="76">
        <v>296.08521690154646</v>
      </c>
      <c r="Q14" s="76">
        <v>310.8894777466238</v>
      </c>
      <c r="R14" s="76">
        <v>326.433951633955</v>
      </c>
      <c r="S14" s="76">
        <v>342.7556492156528</v>
      </c>
      <c r="T14" s="76">
        <v>359.8934316764354</v>
      </c>
      <c r="U14" s="76">
        <v>377.88810326025725</v>
      </c>
      <c r="V14" s="76">
        <v>396.7825084232701</v>
      </c>
      <c r="W14" s="76">
        <v>416.62163384443363</v>
      </c>
      <c r="X14" s="76">
        <v>437.4527155366553</v>
      </c>
      <c r="Y14" s="76">
        <v>459.3253513134881</v>
      </c>
      <c r="Z14" s="76">
        <v>482.29161887916257</v>
      </c>
      <c r="AA14" s="76">
        <v>506.4061998231207</v>
      </c>
      <c r="AB14" s="76">
        <v>531.7265098142767</v>
      </c>
    </row>
    <row r="15" spans="1:28" x14ac:dyDescent="0.25">
      <c r="A15" t="s">
        <v>126</v>
      </c>
      <c r="B15" t="s">
        <v>8</v>
      </c>
      <c r="C15" s="76">
        <v>1104.816416740084</v>
      </c>
      <c r="D15" s="76">
        <v>44.19265666960336</v>
      </c>
      <c r="E15" s="76">
        <v>44.19265666960336</v>
      </c>
      <c r="F15" s="76">
        <v>44.19265666960336</v>
      </c>
      <c r="G15" s="76">
        <v>44.19265666960336</v>
      </c>
      <c r="H15" s="76">
        <v>44.19265666960336</v>
      </c>
      <c r="I15" s="76">
        <v>44.19265666960336</v>
      </c>
      <c r="J15" s="76">
        <v>44.19265666960336</v>
      </c>
      <c r="K15" s="76">
        <v>44.19265666960336</v>
      </c>
      <c r="L15" s="76">
        <v>44.19265666960336</v>
      </c>
      <c r="M15" s="76">
        <v>44.19265666960336</v>
      </c>
      <c r="N15" s="76">
        <v>44.19265666960336</v>
      </c>
      <c r="O15" s="76">
        <v>44.19265666960336</v>
      </c>
      <c r="P15" s="76">
        <v>44.19265666960336</v>
      </c>
      <c r="Q15" s="76">
        <v>44.19265666960336</v>
      </c>
      <c r="R15" s="76">
        <v>44.19265666960336</v>
      </c>
      <c r="S15" s="76">
        <v>44.19265666960336</v>
      </c>
      <c r="T15" s="76">
        <v>44.19265666960336</v>
      </c>
      <c r="U15" s="76">
        <v>44.19265666960336</v>
      </c>
      <c r="V15" s="76">
        <v>44.19265666960336</v>
      </c>
      <c r="W15" s="76">
        <v>44.19265666960336</v>
      </c>
      <c r="X15" s="76">
        <v>44.19265666960336</v>
      </c>
      <c r="Y15" s="76">
        <v>44.19265666960336</v>
      </c>
      <c r="Z15" s="76">
        <v>44.19265666960336</v>
      </c>
      <c r="AA15" s="76">
        <v>44.19265666960336</v>
      </c>
      <c r="AB15" s="76">
        <v>44.19265666960336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8973.646568039896</v>
      </c>
      <c r="D17" s="77">
        <v>209.06398440960314</v>
      </c>
      <c r="E17" s="77">
        <v>217.30755079660312</v>
      </c>
      <c r="F17" s="77">
        <v>225.96329550295312</v>
      </c>
      <c r="G17" s="77">
        <v>235.0518274446206</v>
      </c>
      <c r="H17" s="77">
        <v>244.5947859833715</v>
      </c>
      <c r="I17" s="77">
        <v>254.61489244905994</v>
      </c>
      <c r="J17" s="77">
        <v>265.13600423803274</v>
      </c>
      <c r="K17" s="77">
        <v>276.1831716164542</v>
      </c>
      <c r="L17" s="77">
        <v>287.7826973637968</v>
      </c>
      <c r="M17" s="77">
        <v>299.96219939850647</v>
      </c>
      <c r="N17" s="77">
        <v>312.7506765349516</v>
      </c>
      <c r="O17" s="77">
        <v>326.178577528219</v>
      </c>
      <c r="P17" s="77">
        <v>340.2778735711498</v>
      </c>
      <c r="Q17" s="77">
        <v>355.0821344162272</v>
      </c>
      <c r="R17" s="77">
        <v>370.6266083035584</v>
      </c>
      <c r="S17" s="77">
        <v>386.94830588525616</v>
      </c>
      <c r="T17" s="77">
        <v>404.08608834603876</v>
      </c>
      <c r="U17" s="77">
        <v>422.0807599298606</v>
      </c>
      <c r="V17" s="77">
        <v>440.97516509287345</v>
      </c>
      <c r="W17" s="77">
        <v>460.814290514037</v>
      </c>
      <c r="X17" s="77">
        <v>481.6453722062587</v>
      </c>
      <c r="Y17" s="77">
        <v>503.5180079830915</v>
      </c>
      <c r="Z17" s="77">
        <v>526.4842755487659</v>
      </c>
      <c r="AA17" s="77">
        <v>550.598856492724</v>
      </c>
      <c r="AB17" s="77">
        <v>575.9191664838801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50480.78007529259</v>
      </c>
      <c r="D19" s="77">
        <v>2224.6414653856027</v>
      </c>
      <c r="E19" s="77">
        <v>2211.7705336601107</v>
      </c>
      <c r="F19" s="77">
        <v>2198.487423615268</v>
      </c>
      <c r="G19" s="77">
        <v>2184.771526335109</v>
      </c>
      <c r="H19" s="77">
        <v>2170.6012024578654</v>
      </c>
      <c r="I19" s="77">
        <v>2155.9537306536845</v>
      </c>
      <c r="J19" s="77">
        <v>2140.80525352622</v>
      </c>
      <c r="K19" s="77">
        <v>2125.130720809306</v>
      </c>
      <c r="L19" s="77">
        <v>2108.9038297234724</v>
      </c>
      <c r="M19" s="77">
        <v>2092.0969623502697</v>
      </c>
      <c r="N19" s="77">
        <v>2074.681119875332</v>
      </c>
      <c r="O19" s="77">
        <v>2056.6258535435727</v>
      </c>
      <c r="P19" s="77">
        <v>2037.8991921621496</v>
      </c>
      <c r="Q19" s="77">
        <v>2018.4675659785803</v>
      </c>
      <c r="R19" s="77">
        <v>1998.2957267527568</v>
      </c>
      <c r="S19" s="77">
        <v>1977.3466638325667</v>
      </c>
      <c r="T19" s="77">
        <v>1955.5815160332922</v>
      </c>
      <c r="U19" s="77">
        <v>1932.959479110978</v>
      </c>
      <c r="V19" s="77">
        <v>1909.4377086094732</v>
      </c>
      <c r="W19" s="77">
        <v>1884.9712178498175</v>
      </c>
      <c r="X19" s="77">
        <v>1859.512770819103</v>
      </c>
      <c r="Y19" s="77">
        <v>1833.0127697037783</v>
      </c>
      <c r="Z19" s="77">
        <v>1805.419136799612</v>
      </c>
      <c r="AA19" s="77">
        <v>1776.6771905171615</v>
      </c>
      <c r="AB19" s="77">
        <v>1746.7295151875132</v>
      </c>
    </row>
    <row r="20" spans="1:28" x14ac:dyDescent="0.25">
      <c r="A20" t="s">
        <v>201</v>
      </c>
      <c r="B20" t="s">
        <v>8</v>
      </c>
      <c r="C20" s="76">
        <v>16349.109839371395</v>
      </c>
      <c r="D20" s="76">
        <v>556.8274740370023</v>
      </c>
      <c r="E20" s="76">
        <v>561.0434861697216</v>
      </c>
      <c r="F20" s="76">
        <v>565.4428031777766</v>
      </c>
      <c r="G20" s="76">
        <v>570.0420891407431</v>
      </c>
      <c r="H20" s="76">
        <v>574.8603887209938</v>
      </c>
      <c r="I20" s="76">
        <v>579.919603280257</v>
      </c>
      <c r="J20" s="76">
        <v>585.2450922900077</v>
      </c>
      <c r="K20" s="76">
        <v>590.8664418003002</v>
      </c>
      <c r="L20" s="76">
        <v>596.8184589288452</v>
      </c>
      <c r="M20" s="76">
        <v>603.1424771279242</v>
      </c>
      <c r="N20" s="76">
        <v>609.8880965402751</v>
      </c>
      <c r="O20" s="76">
        <v>617.1155459106511</v>
      </c>
      <c r="P20" s="76">
        <v>624.8989529249022</v>
      </c>
      <c r="Q20" s="76">
        <v>633.330977190341</v>
      </c>
      <c r="R20" s="76">
        <v>642.529549116274</v>
      </c>
      <c r="S20" s="76">
        <v>652.6479782348005</v>
      </c>
      <c r="T20" s="76">
        <v>663.8906772553853</v>
      </c>
      <c r="U20" s="76">
        <v>676.5387136535434</v>
      </c>
      <c r="V20" s="76">
        <v>690.9936123942954</v>
      </c>
      <c r="W20" s="76">
        <v>707.8576609251728</v>
      </c>
      <c r="X20" s="76">
        <v>728.0945191622257</v>
      </c>
      <c r="Y20" s="76">
        <v>753.3905919585417</v>
      </c>
      <c r="Z20" s="76">
        <v>787.1186890202964</v>
      </c>
      <c r="AA20" s="76">
        <v>837.7108346129285</v>
      </c>
      <c r="AB20" s="76">
        <v>938.8951257981927</v>
      </c>
    </row>
    <row r="21" spans="1:28" x14ac:dyDescent="0.25">
      <c r="A21" t="s">
        <v>206</v>
      </c>
      <c r="B21" t="s">
        <v>8</v>
      </c>
      <c r="C21" s="76">
        <v>7795.584636518033</v>
      </c>
      <c r="D21" s="76">
        <v>974.4480795647539</v>
      </c>
      <c r="E21" s="76">
        <v>909.4848742604371</v>
      </c>
      <c r="F21" s="76">
        <v>844.5216689561202</v>
      </c>
      <c r="G21" s="76">
        <v>779.5584636518033</v>
      </c>
      <c r="H21" s="76">
        <v>714.5952583474864</v>
      </c>
      <c r="I21" s="76">
        <v>649.6320530431694</v>
      </c>
      <c r="J21" s="76">
        <v>584.6688477388526</v>
      </c>
      <c r="K21" s="76">
        <v>519.7056424345357</v>
      </c>
      <c r="L21" s="76">
        <v>454.74243713021866</v>
      </c>
      <c r="M21" s="76">
        <v>389.7792318259018</v>
      </c>
      <c r="N21" s="76">
        <v>324.81602652158483</v>
      </c>
      <c r="O21" s="76">
        <v>259.8528212172679</v>
      </c>
      <c r="P21" s="76">
        <v>194.88961591295097</v>
      </c>
      <c r="Q21" s="76">
        <v>129.92641060863403</v>
      </c>
      <c r="R21" s="76">
        <v>64.9632053043171</v>
      </c>
      <c r="S21" s="76">
        <v>1.8417267710901796e-13</v>
      </c>
      <c r="T21" s="76">
        <v>1.8417267710901796e-13</v>
      </c>
      <c r="U21" s="76">
        <v>1.8417267710901796e-13</v>
      </c>
      <c r="V21" s="76">
        <v>1.8417267710901796e-13</v>
      </c>
      <c r="W21" s="76">
        <v>1.8417267710901796e-13</v>
      </c>
      <c r="X21" s="76">
        <v>1.8417267710901796e-13</v>
      </c>
      <c r="Y21" s="76">
        <v>1.8417267710901796e-13</v>
      </c>
      <c r="Z21" s="76">
        <v>1.8417267710901796e-13</v>
      </c>
      <c r="AA21" s="76">
        <v>1.8417267710901796e-13</v>
      </c>
      <c r="AB21" s="76">
        <v>1.8417267710901796e-13</v>
      </c>
    </row>
    <row r="22" spans="1:28" x14ac:dyDescent="0.25">
      <c r="A22" t="s">
        <v>216</v>
      </c>
      <c r="B22" t="s">
        <v>8</v>
      </c>
      <c r="C22" s="76">
        <v>26336.085599403163</v>
      </c>
      <c r="D22" s="76">
        <v>693.3659117838465</v>
      </c>
      <c r="E22" s="76">
        <v>741.2421732299518</v>
      </c>
      <c r="F22" s="76">
        <v>788.5229514813715</v>
      </c>
      <c r="G22" s="76">
        <v>835.1709735425625</v>
      </c>
      <c r="H22" s="76">
        <v>881.1455553893852</v>
      </c>
      <c r="I22" s="76">
        <v>926.4020743302581</v>
      </c>
      <c r="J22" s="76">
        <v>970.8913134973596</v>
      </c>
      <c r="K22" s="76">
        <v>1014.5586365744699</v>
      </c>
      <c r="L22" s="76">
        <v>1057.3429336644085</v>
      </c>
      <c r="M22" s="76">
        <v>1099.1752533964436</v>
      </c>
      <c r="N22" s="76">
        <v>1139.9769968134724</v>
      </c>
      <c r="O22" s="76">
        <v>1179.6574864156537</v>
      </c>
      <c r="P22" s="76">
        <v>1218.1106233242963</v>
      </c>
      <c r="Q22" s="76">
        <v>1255.2101781796052</v>
      </c>
      <c r="R22" s="76">
        <v>1290.8029723321656</v>
      </c>
      <c r="S22" s="76">
        <v>1324.698685597766</v>
      </c>
      <c r="T22" s="76">
        <v>1291.6908387779067</v>
      </c>
      <c r="U22" s="76">
        <v>1256.4207654574345</v>
      </c>
      <c r="V22" s="76">
        <v>1218.4440962151778</v>
      </c>
      <c r="W22" s="76">
        <v>1177.1135569246446</v>
      </c>
      <c r="X22" s="76">
        <v>1131.4182516568771</v>
      </c>
      <c r="Y22" s="76">
        <v>1079.6221777452363</v>
      </c>
      <c r="Z22" s="76">
        <v>1018.3004477793154</v>
      </c>
      <c r="AA22" s="76">
        <v>938.9663559042328</v>
      </c>
      <c r="AB22" s="76">
        <v>807.8343893893203</v>
      </c>
    </row>
    <row r="23" spans="1:28" x14ac:dyDescent="0.25">
      <c r="A23" t="s">
        <v>163</v>
      </c>
      <c r="B23" t="s">
        <v>8</v>
      </c>
      <c r="C23" s="76">
        <v>17744.033130855725</v>
      </c>
      <c r="D23" s="76">
        <v>6186.97193374447</v>
      </c>
      <c r="E23" s="76">
        <v>3752.6568767207873</v>
      </c>
      <c r="F23" s="76">
        <v>2292.067842506578</v>
      </c>
      <c r="G23" s="76">
        <v>1415.7144219780525</v>
      </c>
      <c r="H23" s="76">
        <v>889.9023696609371</v>
      </c>
      <c r="I23" s="76">
        <v>574.415138270668</v>
      </c>
      <c r="J23" s="76">
        <v>385.12279943650645</v>
      </c>
      <c r="K23" s="76">
        <v>271.5473961360096</v>
      </c>
      <c r="L23" s="76">
        <v>203.4021541557114</v>
      </c>
      <c r="M23" s="76">
        <v>162.51500896753248</v>
      </c>
      <c r="N23" s="76">
        <v>137.98272185462517</v>
      </c>
      <c r="O23" s="76">
        <v>123.26334958688076</v>
      </c>
      <c r="P23" s="76">
        <v>114.43172622623413</v>
      </c>
      <c r="Q23" s="76">
        <v>109.13275220984616</v>
      </c>
      <c r="R23" s="76">
        <v>105.95336780001335</v>
      </c>
      <c r="S23" s="76">
        <v>104.04573715411368</v>
      </c>
      <c r="T23" s="76">
        <v>102.90115876657387</v>
      </c>
      <c r="U23" s="76">
        <v>102.21441173404999</v>
      </c>
      <c r="V23" s="76">
        <v>101.80236351453567</v>
      </c>
      <c r="W23" s="76">
        <v>101.55513458282707</v>
      </c>
      <c r="X23" s="76">
        <v>101.4067972238019</v>
      </c>
      <c r="Y23" s="76">
        <v>101.3177948083868</v>
      </c>
      <c r="Z23" s="76">
        <v>101.26439335913774</v>
      </c>
      <c r="AA23" s="76">
        <v>101.23235248958832</v>
      </c>
      <c r="AB23" s="76">
        <v>101.21312796785865</v>
      </c>
    </row>
    <row r="24" spans="1:28" x14ac:dyDescent="0.25">
      <c r="A24" t="s">
        <v>222</v>
      </c>
      <c r="B24" t="s">
        <v>8</v>
      </c>
      <c r="C24" s="76">
        <v>6277.69055290317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67.85643765789969</v>
      </c>
      <c r="O24" s="76">
        <v>421.222387145513</v>
      </c>
      <c r="P24" s="76">
        <v>435.0830448507801</v>
      </c>
      <c r="Q24" s="76">
        <v>447.87709507539716</v>
      </c>
      <c r="R24" s="76">
        <v>459.9513329733088</v>
      </c>
      <c r="S24" s="76">
        <v>471.5098432449666</v>
      </c>
      <c r="T24" s="76">
        <v>466.3196459240329</v>
      </c>
      <c r="U24" s="76">
        <v>460.7985334587727</v>
      </c>
      <c r="V24" s="76">
        <v>454.98181636039567</v>
      </c>
      <c r="W24" s="76">
        <v>448.8858281583014</v>
      </c>
      <c r="X24" s="76">
        <v>442.51527355393716</v>
      </c>
      <c r="Y24" s="76">
        <v>435.8676251811699</v>
      </c>
      <c r="Z24" s="76">
        <v>428.93574892396725</v>
      </c>
      <c r="AA24" s="76">
        <v>421.7094657315401</v>
      </c>
      <c r="AB24" s="76">
        <v>414.176474663187</v>
      </c>
    </row>
    <row r="25" spans="1:28" s="14" customFormat="1" x14ac:dyDescent="0.25">
      <c r="A25" s="14" t="s">
        <v>223</v>
      </c>
      <c r="B25" s="14" t="s">
        <v>8</v>
      </c>
      <c r="C25" s="77">
        <v>20058.39504649999</v>
      </c>
      <c r="D25" s="77">
        <v>693.3659117838465</v>
      </c>
      <c r="E25" s="77">
        <v>741.2421732299518</v>
      </c>
      <c r="F25" s="77">
        <v>788.5229514813715</v>
      </c>
      <c r="G25" s="77">
        <v>835.1709735425625</v>
      </c>
      <c r="H25" s="77">
        <v>881.1455553893852</v>
      </c>
      <c r="I25" s="77">
        <v>926.4020743302581</v>
      </c>
      <c r="J25" s="77">
        <v>970.8913134973596</v>
      </c>
      <c r="K25" s="77">
        <v>1014.5586365744699</v>
      </c>
      <c r="L25" s="77">
        <v>1057.3429336644085</v>
      </c>
      <c r="M25" s="77">
        <v>1099.1752533964436</v>
      </c>
      <c r="N25" s="77">
        <v>1072.1205591555727</v>
      </c>
      <c r="O25" s="77">
        <v>758.4350992701407</v>
      </c>
      <c r="P25" s="77">
        <v>783.0275784735162</v>
      </c>
      <c r="Q25" s="77">
        <v>807.3330831042081</v>
      </c>
      <c r="R25" s="77">
        <v>830.8516393588568</v>
      </c>
      <c r="S25" s="77">
        <v>853.1888423527994</v>
      </c>
      <c r="T25" s="77">
        <v>825.3711928538738</v>
      </c>
      <c r="U25" s="77">
        <v>795.6222319986618</v>
      </c>
      <c r="V25" s="77">
        <v>763.4622798547821</v>
      </c>
      <c r="W25" s="77">
        <v>728.2277287663433</v>
      </c>
      <c r="X25" s="77">
        <v>688.90297810294</v>
      </c>
      <c r="Y25" s="77">
        <v>643.7545525640664</v>
      </c>
      <c r="Z25" s="77">
        <v>589.3646988553481</v>
      </c>
      <c r="AA25" s="77">
        <v>517.2568901726927</v>
      </c>
      <c r="AB25" s="77">
        <v>393.65791472613336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300.04587737201166</v>
      </c>
      <c r="E27" s="76">
        <v>299.4753802754853</v>
      </c>
      <c r="F27" s="76">
        <v>298.9048831789588</v>
      </c>
      <c r="G27" s="76">
        <v>298.3343860824324</v>
      </c>
      <c r="H27" s="76">
        <v>297.7638889859059</v>
      </c>
      <c r="I27" s="76">
        <v>297.1933918893794</v>
      </c>
      <c r="J27" s="76">
        <v>296.6228947928531</v>
      </c>
      <c r="K27" s="76">
        <v>296.0523976963266</v>
      </c>
      <c r="L27" s="76">
        <v>295.4819005998003</v>
      </c>
      <c r="M27" s="76">
        <v>294.9114035032738</v>
      </c>
      <c r="N27" s="76">
        <v>294.3409064067473</v>
      </c>
      <c r="O27" s="76">
        <v>293.7704093102209</v>
      </c>
      <c r="P27" s="76">
        <v>293.19991221369446</v>
      </c>
      <c r="Q27" s="76">
        <v>292.6294151171681</v>
      </c>
      <c r="R27" s="76">
        <v>292.0589180206416</v>
      </c>
      <c r="S27" s="76">
        <v>291.48842092411513</v>
      </c>
      <c r="T27" s="76">
        <v>290.91792382758877</v>
      </c>
      <c r="U27" s="76">
        <v>290.3474267310623</v>
      </c>
      <c r="V27" s="76">
        <v>289.77692963453586</v>
      </c>
      <c r="W27" s="76">
        <v>289.2064325380095</v>
      </c>
      <c r="X27" s="76">
        <v>288.63593544148296</v>
      </c>
      <c r="Y27" s="76">
        <v>288.0654383449566</v>
      </c>
      <c r="Z27" s="76">
        <v>287.49494124843017</v>
      </c>
      <c r="AA27" s="76">
        <v>286.9244441519037</v>
      </c>
      <c r="AB27" s="76">
        <v>286.35394705537726</v>
      </c>
    </row>
    <row r="28" spans="1:28" x14ac:dyDescent="0.25">
      <c r="A28" t="s">
        <v>350</v>
      </c>
      <c r="B28" t="s">
        <v>8</v>
      </c>
      <c r="C28" s="76">
        <v>286.35394705537726</v>
      </c>
      <c r="D28" s="76">
        <v>300.04587737201166</v>
      </c>
      <c r="E28" s="76">
        <v>-0.5704970965263669</v>
      </c>
      <c r="F28" s="76">
        <v>-0.5704970965264806</v>
      </c>
      <c r="G28" s="76">
        <v>-0.5704970965264238</v>
      </c>
      <c r="H28" s="76">
        <v>-0.5704970965264806</v>
      </c>
      <c r="I28" s="76">
        <v>-0.5704970965264806</v>
      </c>
      <c r="J28" s="76">
        <v>-0.5704970965263101</v>
      </c>
      <c r="K28" s="76">
        <v>-0.5704970965265375</v>
      </c>
      <c r="L28" s="76">
        <v>-0.5704970965262532</v>
      </c>
      <c r="M28" s="76">
        <v>-0.5704970965265375</v>
      </c>
      <c r="N28" s="76">
        <v>-0.5704970965264806</v>
      </c>
      <c r="O28" s="76">
        <v>-0.5704970965264238</v>
      </c>
      <c r="P28" s="76">
        <v>-0.5704970965264238</v>
      </c>
      <c r="Q28" s="76">
        <v>-0.5704970965263669</v>
      </c>
      <c r="R28" s="76">
        <v>-0.5704970965264806</v>
      </c>
      <c r="S28" s="76">
        <v>-0.5704970965264806</v>
      </c>
      <c r="T28" s="76">
        <v>-0.5704970965263669</v>
      </c>
      <c r="U28" s="76">
        <v>-0.5704970965264806</v>
      </c>
      <c r="V28" s="76">
        <v>-0.5704970965264238</v>
      </c>
      <c r="W28" s="76">
        <v>-0.5704970965263669</v>
      </c>
      <c r="X28" s="76">
        <v>-0.5704970965265375</v>
      </c>
      <c r="Y28" s="76">
        <v>-0.5704970965263669</v>
      </c>
      <c r="Z28" s="76">
        <v>-0.5704970965264238</v>
      </c>
      <c r="AA28" s="76">
        <v>-0.5704970965264806</v>
      </c>
      <c r="AB28" s="76">
        <v>-0.5704970965264238</v>
      </c>
    </row>
    <row r="29" spans="1:28" x14ac:dyDescent="0.25">
      <c r="A29" t="s">
        <v>143</v>
      </c>
      <c r="B29" t="s">
        <v>8</v>
      </c>
      <c r="C29" s="76">
        <v>2428.4229884463393</v>
      </c>
      <c r="D29" s="76">
        <v>0</v>
      </c>
      <c r="E29" s="76">
        <v>101.18429118526417</v>
      </c>
      <c r="F29" s="76">
        <v>101.18429118526417</v>
      </c>
      <c r="G29" s="76">
        <v>101.18429118526417</v>
      </c>
      <c r="H29" s="76">
        <v>101.18429118526417</v>
      </c>
      <c r="I29" s="76">
        <v>101.18429118526417</v>
      </c>
      <c r="J29" s="76">
        <v>101.18429118526417</v>
      </c>
      <c r="K29" s="76">
        <v>101.18429118526417</v>
      </c>
      <c r="L29" s="76">
        <v>101.18429118526417</v>
      </c>
      <c r="M29" s="76">
        <v>101.18429118526417</v>
      </c>
      <c r="N29" s="76">
        <v>101.18429118526417</v>
      </c>
      <c r="O29" s="76">
        <v>101.18429118526417</v>
      </c>
      <c r="P29" s="76">
        <v>101.18429118526417</v>
      </c>
      <c r="Q29" s="76">
        <v>101.18429118526417</v>
      </c>
      <c r="R29" s="76">
        <v>101.18429118526417</v>
      </c>
      <c r="S29" s="76">
        <v>101.18429118526417</v>
      </c>
      <c r="T29" s="76">
        <v>101.18429118526417</v>
      </c>
      <c r="U29" s="76">
        <v>101.18429118526417</v>
      </c>
      <c r="V29" s="76">
        <v>101.18429118526417</v>
      </c>
      <c r="W29" s="76">
        <v>101.18429118526417</v>
      </c>
      <c r="X29" s="76">
        <v>101.18429118526417</v>
      </c>
      <c r="Y29" s="76">
        <v>101.18429118526417</v>
      </c>
      <c r="Z29" s="76">
        <v>101.18429118526417</v>
      </c>
      <c r="AA29" s="76">
        <v>101.18429118526417</v>
      </c>
      <c r="AB29" s="76">
        <v>101.18429118526417</v>
      </c>
    </row>
    <row r="30" spans="1:28" s="14" customFormat="1" x14ac:dyDescent="0.25">
      <c r="A30" s="14" t="s">
        <v>351</v>
      </c>
      <c r="B30" s="14" t="s">
        <v>8</v>
      </c>
      <c r="C30" s="77">
        <v>41488.3125868877</v>
      </c>
      <c r="D30" s="77">
        <v>1924.5955880135912</v>
      </c>
      <c r="E30" s="77">
        <v>2111.156739571373</v>
      </c>
      <c r="F30" s="77">
        <v>2097.8736295265307</v>
      </c>
      <c r="G30" s="77">
        <v>2084.1577322463713</v>
      </c>
      <c r="H30" s="77">
        <v>2069.987408369128</v>
      </c>
      <c r="I30" s="77">
        <v>2055.339936564947</v>
      </c>
      <c r="J30" s="77">
        <v>2040.191459437482</v>
      </c>
      <c r="K30" s="77">
        <v>2024.5169267205683</v>
      </c>
      <c r="L30" s="77">
        <v>2008.2900356347345</v>
      </c>
      <c r="M30" s="77">
        <v>1991.4831682615322</v>
      </c>
      <c r="N30" s="77">
        <v>1906.2108881286947</v>
      </c>
      <c r="O30" s="77">
        <v>1534.789672309322</v>
      </c>
      <c r="P30" s="77">
        <v>1502.202353222632</v>
      </c>
      <c r="Q30" s="77">
        <v>1469.9766768144455</v>
      </c>
      <c r="R30" s="77">
        <v>1437.7305996907103</v>
      </c>
      <c r="S30" s="77">
        <v>1405.2230264988625</v>
      </c>
      <c r="T30" s="77">
        <v>1388.6480760205216</v>
      </c>
      <c r="U30" s="77">
        <v>1371.5471515634677</v>
      </c>
      <c r="V30" s="77">
        <v>1353.84209816034</v>
      </c>
      <c r="W30" s="77">
        <v>1335.4715956027785</v>
      </c>
      <c r="X30" s="77">
        <v>1316.3837031764283</v>
      </c>
      <c r="Y30" s="77">
        <v>1296.5313504338708</v>
      </c>
      <c r="Z30" s="77">
        <v>1275.8695937869072</v>
      </c>
      <c r="AA30" s="77">
        <v>1254.3539306968837</v>
      </c>
      <c r="AB30" s="77">
        <v>1231.9392464355885</v>
      </c>
    </row>
    <row r="31" spans="1:28" x14ac:dyDescent="0.25">
      <c r="A31" t="s">
        <v>209</v>
      </c>
      <c r="B31" t="s">
        <v>8</v>
      </c>
      <c r="C31" s="76">
        <v>18622.785520570862</v>
      </c>
      <c r="D31" s="76">
        <v>1696.2614718349419</v>
      </c>
      <c r="E31" s="76">
        <v>1631.2982665306251</v>
      </c>
      <c r="F31" s="76">
        <v>1566.3350612263082</v>
      </c>
      <c r="G31" s="76">
        <v>1501.3718559219915</v>
      </c>
      <c r="H31" s="76">
        <v>1436.4086506176745</v>
      </c>
      <c r="I31" s="76">
        <v>1371.4454453133576</v>
      </c>
      <c r="J31" s="76">
        <v>1306.4822400090407</v>
      </c>
      <c r="K31" s="76">
        <v>1241.5190347047237</v>
      </c>
      <c r="L31" s="76">
        <v>1176.5558294004068</v>
      </c>
      <c r="M31" s="76">
        <v>1111.5926240960898</v>
      </c>
      <c r="N31" s="76">
        <v>1046.6294187917729</v>
      </c>
      <c r="O31" s="76">
        <v>981.6662134874559</v>
      </c>
      <c r="P31" s="76">
        <v>916.703008183139</v>
      </c>
      <c r="Q31" s="76">
        <v>851.739802878822</v>
      </c>
      <c r="R31" s="76">
        <v>786.7765975745051</v>
      </c>
      <c r="S31" s="76">
        <v>1.8417267710901796e-13</v>
      </c>
      <c r="T31" s="76">
        <v>1.8417267710901796e-13</v>
      </c>
      <c r="U31" s="76">
        <v>1.8417267710901796e-13</v>
      </c>
      <c r="V31" s="76">
        <v>1.8417267710901796e-13</v>
      </c>
      <c r="W31" s="76">
        <v>1.8417267710901796e-13</v>
      </c>
      <c r="X31" s="76">
        <v>1.8417267710901796e-13</v>
      </c>
      <c r="Y31" s="76">
        <v>1.8417267710901796e-13</v>
      </c>
      <c r="Z31" s="76">
        <v>1.8417267710901796e-13</v>
      </c>
      <c r="AA31" s="76">
        <v>1.8417267710901796e-13</v>
      </c>
      <c r="AB31" s="76">
        <v>1.8417267710901796e-13</v>
      </c>
    </row>
    <row r="32" spans="1:28" s="14" customFormat="1" x14ac:dyDescent="0.25">
      <c r="A32" s="14" t="s">
        <v>352</v>
      </c>
      <c r="B32" s="14" t="s">
        <v>8</v>
      </c>
      <c r="C32" s="77">
        <v>24698.62399680835</v>
      </c>
      <c r="D32" s="77">
        <v>228.3341161786493</v>
      </c>
      <c r="E32" s="77">
        <v>479.85847304074764</v>
      </c>
      <c r="F32" s="77">
        <v>531.5385683002226</v>
      </c>
      <c r="G32" s="77">
        <v>582.7858763243798</v>
      </c>
      <c r="H32" s="77">
        <v>633.5787577514534</v>
      </c>
      <c r="I32" s="77">
        <v>683.8944912515894</v>
      </c>
      <c r="J32" s="77">
        <v>733.7092194284414</v>
      </c>
      <c r="K32" s="77">
        <v>782.9978920158446</v>
      </c>
      <c r="L32" s="77">
        <v>831.7342062343278</v>
      </c>
      <c r="M32" s="77">
        <v>879.8905441654424</v>
      </c>
      <c r="N32" s="77">
        <v>859.5814693369218</v>
      </c>
      <c r="O32" s="77">
        <v>553.123458821866</v>
      </c>
      <c r="P32" s="77">
        <v>585.4993450394929</v>
      </c>
      <c r="Q32" s="77">
        <v>618.2368739356234</v>
      </c>
      <c r="R32" s="77">
        <v>650.9540021162052</v>
      </c>
      <c r="S32" s="77">
        <v>1405.2230264988623</v>
      </c>
      <c r="T32" s="77">
        <v>1388.6480760205213</v>
      </c>
      <c r="U32" s="77">
        <v>1371.5471515634674</v>
      </c>
      <c r="V32" s="77">
        <v>1353.8420981603397</v>
      </c>
      <c r="W32" s="77">
        <v>1335.4715956027783</v>
      </c>
      <c r="X32" s="77">
        <v>1316.383703176428</v>
      </c>
      <c r="Y32" s="77">
        <v>1296.5313504338706</v>
      </c>
      <c r="Z32" s="77">
        <v>1275.869593786907</v>
      </c>
      <c r="AA32" s="77">
        <v>1254.3539306968835</v>
      </c>
      <c r="AB32" s="77">
        <v>3065.036176927081</v>
      </c>
    </row>
    <row r="33" spans="1:28" x14ac:dyDescent="0.25">
      <c r="A33" t="s">
        <v>233</v>
      </c>
      <c r="B33" t="s">
        <v>86</v>
      </c>
      <c r="D33" s="76">
        <v>-4411.894834129705</v>
      </c>
      <c r="E33" s="76">
        <v>-3932.036361088957</v>
      </c>
      <c r="F33" s="76">
        <v>-3400.497792788735</v>
      </c>
      <c r="G33" s="76">
        <v>-2817.711916464355</v>
      </c>
      <c r="H33" s="76">
        <v>-2184.1331587129016</v>
      </c>
      <c r="I33" s="76">
        <v>-1500.2386674613122</v>
      </c>
      <c r="J33" s="76">
        <v>-766.5294480328707</v>
      </c>
      <c r="K33" s="76">
        <v>16.468443982973895</v>
      </c>
      <c r="L33" s="76">
        <v>848.2026502173017</v>
      </c>
      <c r="M33" s="76">
        <v>1728.093194382744</v>
      </c>
      <c r="N33" s="76">
        <v>2587.6746637196657</v>
      </c>
      <c r="O33" s="76">
        <v>3140.7981225415315</v>
      </c>
      <c r="P33" s="76">
        <v>3726.2974675810246</v>
      </c>
      <c r="Q33" s="76">
        <v>4344.534341516648</v>
      </c>
      <c r="R33" s="76">
        <v>4995.488343632853</v>
      </c>
      <c r="S33" s="76">
        <v>6400.711370131715</v>
      </c>
      <c r="T33" s="76">
        <v>7789.359446152236</v>
      </c>
      <c r="U33" s="76">
        <v>9160.906597715704</v>
      </c>
      <c r="V33" s="76">
        <v>10514.748695876044</v>
      </c>
      <c r="W33" s="76">
        <v>11850.220291478821</v>
      </c>
      <c r="X33" s="76">
        <v>13166.60399465525</v>
      </c>
      <c r="Y33" s="76">
        <v>14463.13534508912</v>
      </c>
      <c r="Z33" s="76">
        <v>15739.004938876027</v>
      </c>
      <c r="AA33" s="76">
        <v>16993.358869572912</v>
      </c>
      <c r="AB33" s="76">
        <v>20058.395046499994</v>
      </c>
    </row>
    <row r="34" spans="1:28" x14ac:dyDescent="0.25">
      <c r="A34" t="s">
        <v>353</v>
      </c>
      <c r="B34" t="s">
        <v>8</v>
      </c>
      <c r="C34" s="76">
        <v>39950.54700149837</v>
      </c>
      <c r="D34" s="76">
        <v>1924.5955880135912</v>
      </c>
      <c r="E34" s="76">
        <v>2111.156739571373</v>
      </c>
      <c r="F34" s="76">
        <v>2097.8736295265307</v>
      </c>
      <c r="G34" s="76">
        <v>1890.5860590797001</v>
      </c>
      <c r="H34" s="76">
        <v>1747.6355121541408</v>
      </c>
      <c r="I34" s="76">
        <v>1657.2666728621416</v>
      </c>
      <c r="J34" s="76">
        <v>1598.2861857431012</v>
      </c>
      <c r="K34" s="76">
        <v>1557.9700039002996</v>
      </c>
      <c r="L34" s="76">
        <v>1528.675263894329</v>
      </c>
      <c r="M34" s="76">
        <v>1505.8073905950973</v>
      </c>
      <c r="N34" s="76">
        <v>1486.6003390047824</v>
      </c>
      <c r="O34" s="76">
        <v>1469.3847172089356</v>
      </c>
      <c r="P34" s="76">
        <v>1453.148636897342</v>
      </c>
      <c r="Q34" s="76">
        <v>1437.2741992642523</v>
      </c>
      <c r="R34" s="76">
        <v>1421.3793609156137</v>
      </c>
      <c r="S34" s="76">
        <v>1405.2230264988625</v>
      </c>
      <c r="T34" s="76">
        <v>1388.6480760205216</v>
      </c>
      <c r="U34" s="76">
        <v>1371.5471515634677</v>
      </c>
      <c r="V34" s="76">
        <v>1353.84209816034</v>
      </c>
      <c r="W34" s="76">
        <v>1335.4715956027783</v>
      </c>
      <c r="X34" s="76">
        <v>1316.3837031764283</v>
      </c>
      <c r="Y34" s="76">
        <v>1296.5313504338706</v>
      </c>
      <c r="Z34" s="76">
        <v>1275.869593786907</v>
      </c>
      <c r="AA34" s="76">
        <v>1254.3539306968837</v>
      </c>
      <c r="AB34" s="76">
        <v>3065.036176927083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10827.200884052821</v>
      </c>
      <c r="E36" s="76">
        <v>10105.387491782634</v>
      </c>
      <c r="F36" s="76">
        <v>9383.574099512447</v>
      </c>
      <c r="G36" s="76">
        <v>8661.76070724226</v>
      </c>
      <c r="H36" s="76">
        <v>7939.947314972072</v>
      </c>
      <c r="I36" s="76">
        <v>7218.133922701883</v>
      </c>
      <c r="J36" s="76">
        <v>6496.320530431695</v>
      </c>
      <c r="K36" s="76">
        <v>5774.507138161507</v>
      </c>
      <c r="L36" s="76">
        <v>5052.693745891319</v>
      </c>
      <c r="M36" s="76">
        <v>4330.880353621131</v>
      </c>
      <c r="N36" s="76">
        <v>3609.0669613509426</v>
      </c>
      <c r="O36" s="76">
        <v>2887.2535690807545</v>
      </c>
      <c r="P36" s="76">
        <v>2165.4401768105663</v>
      </c>
      <c r="Q36" s="76">
        <v>1443.6267845403781</v>
      </c>
      <c r="R36" s="76">
        <v>721.8133922701901</v>
      </c>
      <c r="S36" s="76">
        <v>2.0463630789890885e-12</v>
      </c>
      <c r="T36" s="76">
        <v>2.0463630789890885e-12</v>
      </c>
      <c r="U36" s="76">
        <v>2.0463630789890885e-12</v>
      </c>
      <c r="V36" s="76">
        <v>2.0463630789890885e-12</v>
      </c>
      <c r="W36" s="76">
        <v>2.0463630789890885e-12</v>
      </c>
      <c r="X36" s="76">
        <v>2.0463630789890885e-12</v>
      </c>
      <c r="Y36" s="76">
        <v>2.0463630789890885e-12</v>
      </c>
      <c r="Z36" s="76">
        <v>2.0463630789890885e-12</v>
      </c>
      <c r="AA36" s="76">
        <v>2.0463630789890885e-12</v>
      </c>
      <c r="AB36" s="76">
        <v>2.0463630789890885e-12</v>
      </c>
    </row>
    <row r="37" spans="1:28" x14ac:dyDescent="0.25">
      <c r="A37" t="s">
        <v>206</v>
      </c>
      <c r="B37" t="s">
        <v>8</v>
      </c>
      <c r="C37" s="76">
        <v>7795.584636518033</v>
      </c>
      <c r="D37" s="76">
        <v>974.4480795647539</v>
      </c>
      <c r="E37" s="76">
        <v>909.4848742604371</v>
      </c>
      <c r="F37" s="76">
        <v>844.5216689561202</v>
      </c>
      <c r="G37" s="76">
        <v>779.5584636518033</v>
      </c>
      <c r="H37" s="76">
        <v>714.5952583474864</v>
      </c>
      <c r="I37" s="76">
        <v>649.6320530431694</v>
      </c>
      <c r="J37" s="76">
        <v>584.6688477388526</v>
      </c>
      <c r="K37" s="76">
        <v>519.7056424345357</v>
      </c>
      <c r="L37" s="76">
        <v>454.74243713021866</v>
      </c>
      <c r="M37" s="76">
        <v>389.7792318259018</v>
      </c>
      <c r="N37" s="76">
        <v>324.81602652158483</v>
      </c>
      <c r="O37" s="76">
        <v>259.8528212172679</v>
      </c>
      <c r="P37" s="76">
        <v>194.88961591295097</v>
      </c>
      <c r="Q37" s="76">
        <v>129.92641060863403</v>
      </c>
      <c r="R37" s="76">
        <v>64.9632053043171</v>
      </c>
      <c r="S37" s="76">
        <v>1.8417267710901796e-13</v>
      </c>
      <c r="T37" s="76">
        <v>1.8417267710901796e-13</v>
      </c>
      <c r="U37" s="76">
        <v>1.8417267710901796e-13</v>
      </c>
      <c r="V37" s="76">
        <v>1.8417267710901796e-13</v>
      </c>
      <c r="W37" s="76">
        <v>1.8417267710901796e-13</v>
      </c>
      <c r="X37" s="76">
        <v>1.8417267710901796e-13</v>
      </c>
      <c r="Y37" s="76">
        <v>1.8417267710901796e-13</v>
      </c>
      <c r="Z37" s="76">
        <v>1.8417267710901796e-13</v>
      </c>
      <c r="AA37" s="76">
        <v>1.8417267710901796e-13</v>
      </c>
      <c r="AB37" s="76">
        <v>1.8417267710901796e-13</v>
      </c>
    </row>
    <row r="38" spans="1:28" x14ac:dyDescent="0.25">
      <c r="A38" t="s">
        <v>207</v>
      </c>
      <c r="B38" t="s">
        <v>8</v>
      </c>
      <c r="C38" s="76">
        <v>10827.200884052818</v>
      </c>
      <c r="D38" s="76">
        <v>721.813392270188</v>
      </c>
      <c r="E38" s="76">
        <v>721.813392270188</v>
      </c>
      <c r="F38" s="76">
        <v>721.813392270188</v>
      </c>
      <c r="G38" s="76">
        <v>721.813392270188</v>
      </c>
      <c r="H38" s="76">
        <v>721.813392270188</v>
      </c>
      <c r="I38" s="76">
        <v>721.813392270188</v>
      </c>
      <c r="J38" s="76">
        <v>721.813392270188</v>
      </c>
      <c r="K38" s="76">
        <v>721.813392270188</v>
      </c>
      <c r="L38" s="76">
        <v>721.813392270188</v>
      </c>
      <c r="M38" s="76">
        <v>721.813392270188</v>
      </c>
      <c r="N38" s="76">
        <v>721.813392270188</v>
      </c>
      <c r="O38" s="76">
        <v>721.813392270188</v>
      </c>
      <c r="P38" s="76">
        <v>721.813392270188</v>
      </c>
      <c r="Q38" s="76">
        <v>721.813392270188</v>
      </c>
      <c r="R38" s="76">
        <v>721.813392270188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10105.387491782634</v>
      </c>
      <c r="E39" s="76">
        <v>9383.574099512447</v>
      </c>
      <c r="F39" s="76">
        <v>8661.76070724226</v>
      </c>
      <c r="G39" s="76">
        <v>7939.947314972072</v>
      </c>
      <c r="H39" s="76">
        <v>7218.133922701883</v>
      </c>
      <c r="I39" s="76">
        <v>6496.320530431695</v>
      </c>
      <c r="J39" s="76">
        <v>5774.507138161507</v>
      </c>
      <c r="K39" s="76">
        <v>5052.693745891319</v>
      </c>
      <c r="L39" s="76">
        <v>4330.880353621131</v>
      </c>
      <c r="M39" s="76">
        <v>3609.0669613509426</v>
      </c>
      <c r="N39" s="76">
        <v>2887.2535690807545</v>
      </c>
      <c r="O39" s="76">
        <v>2165.4401768105663</v>
      </c>
      <c r="P39" s="76">
        <v>1443.6267845403781</v>
      </c>
      <c r="Q39" s="76">
        <v>721.8133922701901</v>
      </c>
      <c r="R39" s="76">
        <v>2.0463630789890885e-12</v>
      </c>
      <c r="S39" s="76">
        <v>2.0463630789890885e-12</v>
      </c>
      <c r="T39" s="76">
        <v>2.0463630789890885e-12</v>
      </c>
      <c r="U39" s="76">
        <v>2.0463630789890885e-12</v>
      </c>
      <c r="V39" s="76">
        <v>2.0463630789890885e-12</v>
      </c>
      <c r="W39" s="76">
        <v>2.0463630789890885e-12</v>
      </c>
      <c r="X39" s="76">
        <v>2.0463630789890885e-12</v>
      </c>
      <c r="Y39" s="76">
        <v>2.0463630789890885e-12</v>
      </c>
      <c r="Z39" s="76">
        <v>2.0463630789890885e-12</v>
      </c>
      <c r="AA39" s="76">
        <v>2.0463630789890885e-12</v>
      </c>
      <c r="AB39" s="76">
        <v>2.0463630789890885e-12</v>
      </c>
    </row>
    <row r="40" spans="1:28" x14ac:dyDescent="0.25">
      <c r="A40" t="s">
        <v>229</v>
      </c>
      <c r="B40" t="s">
        <v>88</v>
      </c>
      <c r="D40" s="78">
        <v>1.1346102119101058</v>
      </c>
      <c r="E40" s="78">
        <v>1.2941574100126336</v>
      </c>
      <c r="F40" s="78">
        <v>1.339351765441599</v>
      </c>
      <c r="G40" s="78">
        <v>1.3881689096712762</v>
      </c>
      <c r="H40" s="78">
        <v>1.4410853119542313</v>
      </c>
      <c r="I40" s="78">
        <v>1.498666931002369</v>
      </c>
      <c r="J40" s="78">
        <v>1.5615914223398584</v>
      </c>
      <c r="K40" s="78">
        <v>1.630677315553256</v>
      </c>
      <c r="L40" s="78">
        <v>1.706922855210529</v>
      </c>
      <c r="M40" s="78">
        <v>1.7915584586403137</v>
      </c>
      <c r="N40" s="78">
        <v>1.8212854080952752</v>
      </c>
      <c r="O40" s="78">
        <v>1.5634536986424807</v>
      </c>
      <c r="P40" s="78">
        <v>1.6387012367287026</v>
      </c>
      <c r="Q40" s="78">
        <v>1.725851805734598</v>
      </c>
      <c r="R40" s="78">
        <v>1.827368282334506</v>
      </c>
    </row>
    <row r="42" spans="1:1" s="5" customFormat="1" x14ac:dyDescent="0.25">
      <c r="A42" s="5" t="s">
        <v>354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323</v>
      </c>
      <c r="E43" s="67" t="s">
        <v>324</v>
      </c>
      <c r="F43" s="67" t="s">
        <v>325</v>
      </c>
      <c r="G43" s="67" t="s">
        <v>326</v>
      </c>
      <c r="H43" s="67" t="s">
        <v>327</v>
      </c>
      <c r="I43" s="67" t="s">
        <v>328</v>
      </c>
      <c r="J43" s="67" t="s">
        <v>329</v>
      </c>
      <c r="K43" s="67" t="s">
        <v>330</v>
      </c>
      <c r="L43" s="67" t="s">
        <v>331</v>
      </c>
      <c r="M43" s="67" t="s">
        <v>332</v>
      </c>
      <c r="N43" s="67" t="s">
        <v>333</v>
      </c>
      <c r="O43" s="67" t="s">
        <v>334</v>
      </c>
      <c r="P43" s="67" t="s">
        <v>335</v>
      </c>
      <c r="Q43" s="67" t="s">
        <v>336</v>
      </c>
      <c r="R43" s="67" t="s">
        <v>337</v>
      </c>
      <c r="S43" s="67" t="s">
        <v>338</v>
      </c>
      <c r="T43" s="67" t="s">
        <v>339</v>
      </c>
      <c r="U43" s="67" t="s">
        <v>340</v>
      </c>
      <c r="V43" s="67" t="s">
        <v>341</v>
      </c>
      <c r="W43" s="67" t="s">
        <v>342</v>
      </c>
      <c r="X43" s="67" t="s">
        <v>343</v>
      </c>
      <c r="Y43" s="67" t="s">
        <v>344</v>
      </c>
      <c r="Z43" s="67" t="s">
        <v>345</v>
      </c>
      <c r="AA43" s="67" t="s">
        <v>346</v>
      </c>
      <c r="AB43" s="67" t="s">
        <v>347</v>
      </c>
    </row>
    <row r="44" spans="1:28" x14ac:dyDescent="0.25">
      <c r="A44" t="s">
        <v>355</v>
      </c>
      <c r="B44" t="s">
        <v>86</v>
      </c>
      <c r="C44" s="76">
        <v>-4640.228950308354</v>
      </c>
      <c r="D44" s="76">
        <v>228.3341161786493</v>
      </c>
      <c r="E44" s="76">
        <v>479.85847304074764</v>
      </c>
      <c r="F44" s="76">
        <v>531.5385683002226</v>
      </c>
      <c r="G44" s="76">
        <v>582.7858763243798</v>
      </c>
      <c r="H44" s="76">
        <v>633.5787577514534</v>
      </c>
      <c r="I44" s="76">
        <v>683.8944912515894</v>
      </c>
      <c r="J44" s="76">
        <v>733.7092194284414</v>
      </c>
      <c r="K44" s="76">
        <v>782.9978920158446</v>
      </c>
      <c r="L44" s="76">
        <v>831.7342062343278</v>
      </c>
      <c r="M44" s="76">
        <v>879.8905441654424</v>
      </c>
      <c r="N44" s="76">
        <v>859.5814693369218</v>
      </c>
      <c r="O44" s="76">
        <v>553.123458821866</v>
      </c>
      <c r="P44" s="76">
        <v>585.4993450394929</v>
      </c>
      <c r="Q44" s="76">
        <v>618.2368739356234</v>
      </c>
      <c r="R44" s="76">
        <v>650.9540021162052</v>
      </c>
      <c r="S44" s="76">
        <v>1405.2230264988623</v>
      </c>
      <c r="T44" s="76">
        <v>1388.6480760205213</v>
      </c>
      <c r="U44" s="76">
        <v>1371.5471515634674</v>
      </c>
      <c r="V44" s="76">
        <v>1353.8420981603397</v>
      </c>
      <c r="W44" s="76">
        <v>1335.4715956027783</v>
      </c>
      <c r="X44" s="76">
        <v>1316.383703176428</v>
      </c>
      <c r="Y44" s="76">
        <v>1296.5313504338706</v>
      </c>
      <c r="Z44" s="76">
        <v>1275.869593786907</v>
      </c>
      <c r="AA44" s="76">
        <v>1254.3539306968835</v>
      </c>
      <c r="AB44" s="76">
        <v>3065.036176927081</v>
      </c>
    </row>
    <row r="45" spans="1:28" x14ac:dyDescent="0.25">
      <c r="A45" t="s">
        <v>353</v>
      </c>
      <c r="B45" t="s">
        <v>86</v>
      </c>
      <c r="C45" s="76">
        <v>-15467.429834361175</v>
      </c>
      <c r="D45" s="76">
        <v>1924.5955880135912</v>
      </c>
      <c r="E45" s="76">
        <v>2111.156739571373</v>
      </c>
      <c r="F45" s="76">
        <v>2097.8736295265307</v>
      </c>
      <c r="G45" s="76">
        <v>1890.5860590797001</v>
      </c>
      <c r="H45" s="76">
        <v>1747.6355121541408</v>
      </c>
      <c r="I45" s="76">
        <v>1657.2666728621416</v>
      </c>
      <c r="J45" s="76">
        <v>1598.2861857431012</v>
      </c>
      <c r="K45" s="76">
        <v>1557.9700039002996</v>
      </c>
      <c r="L45" s="76">
        <v>1528.675263894329</v>
      </c>
      <c r="M45" s="76">
        <v>1505.8073905950973</v>
      </c>
      <c r="N45" s="76">
        <v>1486.6003390047824</v>
      </c>
      <c r="O45" s="76">
        <v>1469.3847172089356</v>
      </c>
      <c r="P45" s="76">
        <v>1453.148636897342</v>
      </c>
      <c r="Q45" s="76">
        <v>1437.2741992642523</v>
      </c>
      <c r="R45" s="76">
        <v>1421.3793609156137</v>
      </c>
      <c r="S45" s="76">
        <v>1405.2230264988625</v>
      </c>
      <c r="T45" s="76">
        <v>1388.6480760205216</v>
      </c>
      <c r="U45" s="76">
        <v>1371.5471515634677</v>
      </c>
      <c r="V45" s="76">
        <v>1353.84209816034</v>
      </c>
      <c r="W45" s="76">
        <v>1335.4715956027783</v>
      </c>
      <c r="X45" s="76">
        <v>1316.3837031764283</v>
      </c>
      <c r="Y45" s="76">
        <v>1296.5313504338706</v>
      </c>
      <c r="Z45" s="76">
        <v>1275.869593786907</v>
      </c>
      <c r="AA45" s="76">
        <v>1254.3539306968837</v>
      </c>
      <c r="AB45" s="76">
        <v>3065.036176927083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0.09960296833771282</v>
      </c>
      <c r="C47" t="s">
        <v>8</v>
      </c>
    </row>
    <row r="48" spans="1:3" x14ac:dyDescent="0.25">
      <c r="A48" t="s">
        <v>10</v>
      </c>
      <c r="B48" s="8">
        <v>7.389644451905042e-13</v>
      </c>
      <c r="C48" t="s">
        <v>8</v>
      </c>
    </row>
    <row r="49" spans="1:3" x14ac:dyDescent="0.25">
      <c r="A49" t="s">
        <v>11</v>
      </c>
      <c r="B49" s="9">
        <v>1.1346102119101058</v>
      </c>
      <c r="C49" t="s">
        <v>8</v>
      </c>
    </row>
    <row r="50" spans="1:3" x14ac:dyDescent="0.25">
      <c r="A50" t="s">
        <v>12</v>
      </c>
      <c r="B50" s="9">
        <v>1.557563401551449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2026-10-24T16:55:15Z</dcterms:created>
  <dcterms:modified xsi:type="dcterms:W3CDTF">2026-10-24T16:55:15Z</dcterms:modified>
</cp:coreProperties>
</file>