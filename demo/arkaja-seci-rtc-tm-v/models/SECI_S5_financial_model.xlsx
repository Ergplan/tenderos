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ve model" state="visible" r:id="rId5"/>
    <sheet sheetId="3" name="Tender conditions" state="visible" r:id="rId6"/>
    <sheet sheetId="4" name="Inputs" state="visible" r:id="rId7"/>
    <sheet sheetId="5" name="Plant and capex" state="visible" r:id="rId8"/>
    <sheet sheetId="6" name="Revenue and costs (values)" state="visible" r:id="rId9"/>
    <sheet sheetId="7" name="Financial model (values)" state="visible" r:id="rId10"/>
  </sheets>
  <definedNames>
    <definedName name="_xlnm.Print_Titles" localSheetId="1">'Live model'!$5:$5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49" authorId="0">
      <text>
        <r>
          <t>Escalates with O&amp;M</t>
        </r>
      </text>
    </comment>
    <comment ref="A55" authorId="0">
      <text>
        <r>
          <t>On the energy short of each time-block's floor, at this multiple of the year's tariff (SECI RTC-TM: 1.5)</t>
        </r>
      </text>
    </comment>
    <comment ref="A70" authorId="0">
      <text>
        <r>
          <t>wdv: written-down value at the WDV rate; slm: the book depreciation</t>
        </r>
      </text>
    </comment>
    <comment ref="A87" authorId="0">
      <text>
        <r>
          <t>The PPA term the optimiser dispatched; one column per year</t>
        </r>
      </text>
    </comment>
    <comment ref="A99" authorId="0">
      <text>
        <r>
          <t>Each hour's energy below its floor (peak and off-peak blocks), from the dispatch</t>
        </r>
      </text>
    </comment>
    <comment ref="A111" authorId="0">
      <text>
        <r>
          <t>Delivered MU × tariff ₹/kWh ÷ 10 = ₹ crore</t>
        </r>
      </text>
    </comment>
    <comment ref="A114" authorId="0">
      <text>
        <r>
          <t>Energy short of the block floors × multiple × the year's tariff</t>
        </r>
      </text>
    </comment>
    <comment ref="A118" authorId="0">
      <text>
        <r>
          <t>Size × ₹ lakh ÷ 100 = ₹ crore, escalated</t>
        </r>
      </text>
    </comment>
    <comment ref="A119" authorId="0">
      <text>
        <r>
          <t>Size × ₹ lakh ÷ 100 = ₹ crore, escalated</t>
        </r>
      </text>
    </comment>
    <comment ref="A120" authorId="0">
      <text>
        <r>
          <t>Size × ₹ lakh ÷ 100 = ₹ crore, escalated</t>
        </r>
      </text>
    </comment>
    <comment ref="A128" authorId="0">
      <text>
        <r>
          <t>annual: each year from year 2 replaces the year's fade (MWh × fade × the year's battery price); oneTime: the fade to that year (at most 60%), once</t>
        </r>
      </text>
    </comment>
    <comment ref="A132" authorId="0">
      <text>
        <r>
          <t>Augmentation is depreciated over the years left</t>
        </r>
      </text>
    </comment>
    <comment ref="A154" authorId="0">
      <text>
        <r>
          <t>EBITDA − interest − tax depreciation</t>
        </r>
      </text>
    </comment>
    <comment ref="A163" authorId="0">
      <text>
        <r>
          <t>Revenue × receivable days ÷ 365, held at the year end</t>
        </r>
      </text>
    </comment>
    <comment ref="A165" authorId="0">
      <text>
        <r>
          <t>EBITDA − tax − working capital − battery augmentation</t>
        </r>
      </text>
    </comment>
    <comment ref="A172" authorId="0">
      <text>
        <r>
          <t>The payback year is the first year marked here</t>
        </r>
      </text>
    </comment>
    <comment ref="A173" authorId="0">
      <text>
        <r>
          <t>The project IRR's tax: no interest shield, no losses carried</t>
        </r>
      </text>
    </comment>
  </commentList>
</comments>
</file>

<file path=xl/sharedStrings.xml><?xml version="1.0" encoding="utf-8"?>
<sst xmlns="http://schemas.openxmlformats.org/spreadsheetml/2006/main" count="933" uniqueCount="361">
  <si>
    <t>SECI RTC-TM · bid financial model</t>
  </si>
  <si>
    <t>SECI/C&amp;P/IPP/13/0020/25-26 · 500 MW round the clock · 25 years</t>
  </si>
  <si>
    <t>Prepared 2026-10-24 by Demo · Tender to Bid (TenderOS)</t>
  </si>
  <si>
    <t>The key results below are linked to the Live model tab: change an input there (blue cells) and they follow.</t>
  </si>
  <si>
    <t>Key results</t>
  </si>
  <si>
    <t>Bid tariff (₹/kWh)</t>
  </si>
  <si>
    <t>Tariff that gives the 14.00% target equity IRR</t>
  </si>
  <si>
    <t>Equity IRR</t>
  </si>
  <si>
    <t/>
  </si>
  <si>
    <t>Project IRR</t>
  </si>
  <si>
    <t>Equity NPV at the target IRR (₹ cr)</t>
  </si>
  <si>
    <t>Minimum DSCR</t>
  </si>
  <si>
    <t>Average DSCR</t>
  </si>
  <si>
    <t>Equity payback (year)</t>
  </si>
  <si>
    <t>Project cost (₹ cr)</t>
  </si>
  <si>
    <t>₹31.64 cr per contracted MW</t>
  </si>
  <si>
    <t>Debt (₹ cr)</t>
  </si>
  <si>
    <t>Equity (₹ cr)</t>
  </si>
  <si>
    <t>Levelised cost of supply (₹/kWh)</t>
  </si>
  <si>
    <t>at a 10.0% discount rate</t>
  </si>
  <si>
    <t>Least-tariff sizing (HiGHS, ₹/kWh)</t>
  </si>
  <si>
    <t>Screening tariff of the sizing; the bid tariff is from the full financial model</t>
  </si>
  <si>
    <t>Year-1 supply (MU)</t>
  </si>
  <si>
    <t>88.9% of contracted</t>
  </si>
  <si>
    <t>Year-1 market sale (MU)</t>
  </si>
  <si>
    <t>Revenue over 25 years (₹ cr)</t>
  </si>
  <si>
    <t>Tender conditions</t>
  </si>
  <si>
    <t>5 met, 0 not met</t>
  </si>
  <si>
    <t>Plant</t>
  </si>
  <si>
    <t>Contracted capacity (MW)</t>
  </si>
  <si>
    <t>bid capacity</t>
  </si>
  <si>
    <t>Solar (MW)</t>
  </si>
  <si>
    <t>sized by the optimizer</t>
  </si>
  <si>
    <t>Wind (MW)</t>
  </si>
  <si>
    <t>Battery power (MW)</t>
  </si>
  <si>
    <t>Battery energy (MWh)</t>
  </si>
  <si>
    <t>Key inputs</t>
  </si>
  <si>
    <t>Bid capacity (MW)</t>
  </si>
  <si>
    <t>Solar</t>
  </si>
  <si>
    <t>CUF (AC) 25.0% · Capex per MWac 4 ₹ cr/MWac · O&amp;M per MWac 4 ₹ lakh/MWac/yr</t>
  </si>
  <si>
    <t>Wind</t>
  </si>
  <si>
    <t>CUF 33.0% · Capex 6.5 ₹ cr/MW · O&amp;M 9 ₹ lakh/MW/yr</t>
  </si>
  <si>
    <t>Battery storage</t>
  </si>
  <si>
    <t>Discharge duration 4 hours · Round-trip efficiency 87.0% · Capex 1.2 ₹ cr/MWh · O&amp;M 1.2 ₹ lakh/MWh/yr</t>
  </si>
  <si>
    <t>Financing</t>
  </si>
  <si>
    <t>equity IRR 14.0% · debt 70% at 9.00% for 15 years · tax 25.17%</t>
  </si>
  <si>
    <t>Market sale</t>
  </si>
  <si>
    <t>none</t>
  </si>
  <si>
    <t>Tender</t>
  </si>
  <si>
    <t>Procurer</t>
  </si>
  <si>
    <t>Solar Energy Corporation of India Limited (SECI)</t>
  </si>
  <si>
    <t>SECI/C&amp;P/IPP/13/0020/25-26</t>
  </si>
  <si>
    <t>Supply of 1000 MW Round-the-Clock Thermal Mimic (RTC-TM) power from ISTS-connected RE projects</t>
  </si>
  <si>
    <t>Capacity</t>
  </si>
  <si>
    <t>1000 MW</t>
  </si>
  <si>
    <t>Supply floors</t>
  </si>
  <si>
    <t>Peak Hours floor (every block) 90% · Off-peak floor (every block) 70%</t>
  </si>
  <si>
    <t>Least green share</t>
  </si>
  <si>
    <t>Not stated</t>
  </si>
  <si>
    <t>Mandatory solar</t>
  </si>
  <si>
    <t>PPA term</t>
  </si>
  <si>
    <t>25 years</t>
  </si>
  <si>
    <t>Supply start</t>
  </si>
  <si>
    <t>07.08.2028</t>
  </si>
  <si>
    <t>Ceiling tariff</t>
  </si>
  <si>
    <t>Every tender condition comes from the tender reading, with its page and quote (sheet Tender conditions).</t>
  </si>
  <si>
    <t>Inputs marked "Industry benchmark" are industry benchmark (CERC norms, 2025–26 market prices), not from the tender; the rest are the bidder's own (sheet Inputs).</t>
  </si>
  <si>
    <t>Every number below is a formula on the blue inputs and the optimiser's energy (green). Change a blue cell: the whole model, the returns and the Cover move with it.</t>
  </si>
  <si>
    <t>Colour key</t>
  </si>
  <si>
    <t>Input</t>
  </si>
  <si>
    <t>Optimiser</t>
  </si>
  <si>
    <t>Formula</t>
  </si>
  <si>
    <t>The optimiser's energy comes from the hourly HiGHS dispatch of every year; changing a plant size here moves its cost, not its energy (size the plant again in TenderOS for that).</t>
  </si>
  <si>
    <t>₹ crore unless stated</t>
  </si>
  <si>
    <t>Unit</t>
  </si>
  <si>
    <t>Total / value</t>
  </si>
  <si>
    <t>Year 0</t>
  </si>
  <si>
    <t>This workbook</t>
  </si>
  <si>
    <t>App</t>
  </si>
  <si>
    <t>Difference</t>
  </si>
  <si>
    <t>Same as app?</t>
  </si>
  <si>
    <t>Bid tariff</t>
  </si>
  <si>
    <t>₹/kWh</t>
  </si>
  <si>
    <t>%</t>
  </si>
  <si>
    <t>Equity IRR less the target</t>
  </si>
  <si>
    <t>Equity NPV at the target IRR</t>
  </si>
  <si>
    <t>₹ cr</t>
  </si>
  <si>
    <t>Project NPV at the discount rate</t>
  </si>
  <si>
    <t>×</t>
  </si>
  <si>
    <t>Levelised cost of supply</t>
  </si>
  <si>
    <t>Levelised tariff</t>
  </si>
  <si>
    <t>Equity payback</t>
  </si>
  <si>
    <t>year</t>
  </si>
  <si>
    <t>Project cost</t>
  </si>
  <si>
    <t>Debt</t>
  </si>
  <si>
    <t>Equity</t>
  </si>
  <si>
    <t>Revenue over 25 years</t>
  </si>
  <si>
    <t>Model checks</t>
  </si>
  <si>
    <t>To price the bid again after changing an input: Data › What-If Analysis › Goal Seek, set the cell "Equity IRR less the target" to 0 by changing the bid tariff.</t>
  </si>
  <si>
    <t>Inputs</t>
  </si>
  <si>
    <t>Tariff</t>
  </si>
  <si>
    <t>Solved in TenderOS for the target equity IRR</t>
  </si>
  <si>
    <t>Tariff escalation</t>
  </si>
  <si>
    <t>%/yr</t>
  </si>
  <si>
    <t>Industry benchmark</t>
  </si>
  <si>
    <t>Plant (sized by the optimiser)</t>
  </si>
  <si>
    <t>MW</t>
  </si>
  <si>
    <t>HiGHS sizing</t>
  </si>
  <si>
    <t>Battery power</t>
  </si>
  <si>
    <t>Battery energy</t>
  </si>
  <si>
    <t>MWh</t>
  </si>
  <si>
    <t>Capital cost</t>
  </si>
  <si>
    <t>₹ cr/MW</t>
  </si>
  <si>
    <t>₹ cr/MWh</t>
  </si>
  <si>
    <t>Battery power conversion</t>
  </si>
  <si>
    <t>Included in the energy price</t>
  </si>
  <si>
    <t>Transmission / evacuation</t>
  </si>
  <si>
    <t>Pre-operative and IDC</t>
  </si>
  <si>
    <t>% of hard cost</t>
  </si>
  <si>
    <t>Operating cost</t>
  </si>
  <si>
    <t>Solar O&amp;M</t>
  </si>
  <si>
    <t>₹ lakh/MW/yr</t>
  </si>
  <si>
    <t>Wind O&amp;M</t>
  </si>
  <si>
    <t>Battery O&amp;M</t>
  </si>
  <si>
    <t>₹ lakh/MWh/yr</t>
  </si>
  <si>
    <t>O&amp;M escalation</t>
  </si>
  <si>
    <t>Insurance</t>
  </si>
  <si>
    <t>% of hard cost/yr</t>
  </si>
  <si>
    <t>Other fixed cost</t>
  </si>
  <si>
    <t>₹ cr/yr</t>
  </si>
  <si>
    <t>Model default</t>
  </si>
  <si>
    <t>Revenue and supply</t>
  </si>
  <si>
    <t>Sell surplus in the market</t>
  </si>
  <si>
    <t>Yes / No</t>
  </si>
  <si>
    <t>No</t>
  </si>
  <si>
    <t>Market sale price</t>
  </si>
  <si>
    <t>Not used: no market sale</t>
  </si>
  <si>
    <t>Annual supply floor</t>
  </si>
  <si>
    <t>% of contracted</t>
  </si>
  <si>
    <t>Shortfall penalty</t>
  </si>
  <si>
    <t>₹/kWh short</t>
  </si>
  <si>
    <t>Time-block shortfall penalty</t>
  </si>
  <si>
    <t>× tariff</t>
  </si>
  <si>
    <t>Battery augmentation</t>
  </si>
  <si>
    <t>Augmentation</t>
  </si>
  <si>
    <t>annual / oneTime / none</t>
  </si>
  <si>
    <t>annual</t>
  </si>
  <si>
    <t>Battery capacity fade</t>
  </si>
  <si>
    <t>One-time augmentation year</t>
  </si>
  <si>
    <t>Model default (used with oneTime)</t>
  </si>
  <si>
    <t>Battery price decline</t>
  </si>
  <si>
    <t>Debt share</t>
  </si>
  <si>
    <t>% of project cost</t>
  </si>
  <si>
    <t>Interest rate</t>
  </si>
  <si>
    <t>Loan tenor</t>
  </si>
  <si>
    <t>years</t>
  </si>
  <si>
    <t>Repayment</t>
  </si>
  <si>
    <t>annuity / equal</t>
  </si>
  <si>
    <t>equal</t>
  </si>
  <si>
    <t>Target equity IRR</t>
  </si>
  <si>
    <t>Discount rate (LCOE, project NPV)</t>
  </si>
  <si>
    <t>Tax and depreciation</t>
  </si>
  <si>
    <t>Corporate tax</t>
  </si>
  <si>
    <t>Tax depreciation</t>
  </si>
  <si>
    <t>wdv / slm</t>
  </si>
  <si>
    <t>wdv</t>
  </si>
  <si>
    <t>WDV rate</t>
  </si>
  <si>
    <t>Book life</t>
  </si>
  <si>
    <t>Salvage value</t>
  </si>
  <si>
    <t>Receivable days</t>
  </si>
  <si>
    <t>days</t>
  </si>
  <si>
    <t>Project cost and funding</t>
  </si>
  <si>
    <t>Hard cost</t>
  </si>
  <si>
    <t>Total project cost</t>
  </si>
  <si>
    <t>Model years</t>
  </si>
  <si>
    <t>Loan tenor used</t>
  </si>
  <si>
    <t>Annuity (interest + principal) if annuity repayment</t>
  </si>
  <si>
    <t>Principal a year if equal repayment</t>
  </si>
  <si>
    <t>Depreciable value (less salvage)</t>
  </si>
  <si>
    <t>Book depreciation a year</t>
  </si>
  <si>
    <t>Energy (the optimiser's hourly dispatch, summed by year)</t>
  </si>
  <si>
    <t>Contracted energy</t>
  </si>
  <si>
    <t>MU</t>
  </si>
  <si>
    <t>Delivered to the procurer</t>
  </si>
  <si>
    <t>Delivered ÷ contracted</t>
  </si>
  <si>
    <t>Short of the annual floor</t>
  </si>
  <si>
    <t>Short of the time-block floors</t>
  </si>
  <si>
    <t>Sold in the market</t>
  </si>
  <si>
    <t>Escalation and discount factors</t>
  </si>
  <si>
    <t>O&amp;M and other fixed cost</t>
  </si>
  <si>
    <t>Battery price</t>
  </si>
  <si>
    <t>Discount factor</t>
  </si>
  <si>
    <t>Revenue</t>
  </si>
  <si>
    <t>PPA supply revenue</t>
  </si>
  <si>
    <t>Market sale revenue</t>
  </si>
  <si>
    <t>Total revenue</t>
  </si>
  <si>
    <t>Operating costs</t>
  </si>
  <si>
    <t>Total operating cost</t>
  </si>
  <si>
    <t>EBITDA</t>
  </si>
  <si>
    <t>EBITDA margin</t>
  </si>
  <si>
    <t>Battery augmentation (capital spend in operation)</t>
  </si>
  <si>
    <t>Book depreciation</t>
  </si>
  <si>
    <t>On the project cost (straight line)</t>
  </si>
  <si>
    <t>Added for this year's augmentation</t>
  </si>
  <si>
    <t>On augmentation</t>
  </si>
  <si>
    <t>Opening debt</t>
  </si>
  <si>
    <t>Interest</t>
  </si>
  <si>
    <t>Principal</t>
  </si>
  <si>
    <t>Closing debt</t>
  </si>
  <si>
    <t>Debt service</t>
  </si>
  <si>
    <t>Tax block, opening</t>
  </si>
  <si>
    <t>Added: augmentation</t>
  </si>
  <si>
    <t>Tax block, closing</t>
  </si>
  <si>
    <t>Profit and loss</t>
  </si>
  <si>
    <t>Less: book depreciation</t>
  </si>
  <si>
    <t>Less: interest</t>
  </si>
  <si>
    <t>Profit before tax</t>
  </si>
  <si>
    <t>Taxable profit before losses brought forward</t>
  </si>
  <si>
    <t>Tax losses brought forward</t>
  </si>
  <si>
    <t>Losses set off</t>
  </si>
  <si>
    <t>Taxable income</t>
  </si>
  <si>
    <t>Tax losses carried forward</t>
  </si>
  <si>
    <t>Tax</t>
  </si>
  <si>
    <t>Profit after tax</t>
  </si>
  <si>
    <t>Cash flow</t>
  </si>
  <si>
    <t>Receivables</t>
  </si>
  <si>
    <t>Increase in working capital</t>
  </si>
  <si>
    <t>Cash flow available for debt service (CFADS)</t>
  </si>
  <si>
    <t>Less: debt service</t>
  </si>
  <si>
    <t>DSCR</t>
  </si>
  <si>
    <t>Salvage and receivables released (final year)</t>
  </si>
  <si>
    <t>Debt still owed, repaid in the final year</t>
  </si>
  <si>
    <t>Equity cash flow (year 0: the equity put in)</t>
  </si>
  <si>
    <t>Cumulative equity cash</t>
  </si>
  <si>
    <t>Equity paid back by this year</t>
  </si>
  <si>
    <t>Tax on the unlevered project</t>
  </si>
  <si>
    <t>Project cash flow (year 0: the project cost)</t>
  </si>
  <si>
    <t>Levelised cost and tariff</t>
  </si>
  <si>
    <t>Operating cost and augmentation</t>
  </si>
  <si>
    <t>Discounted</t>
  </si>
  <si>
    <t>Delivered energy, discounted</t>
  </si>
  <si>
    <t>PPA supply revenue, discounted</t>
  </si>
  <si>
    <t>Returns</t>
  </si>
  <si>
    <t>Levelised cost of supply (project cost + discounted costs) ÷ discounted energy</t>
  </si>
  <si>
    <t>Checks</t>
  </si>
  <si>
    <t>Debt + equity = project cost</t>
  </si>
  <si>
    <t>Debt repaid by the end of the loan tenor</t>
  </si>
  <si>
    <t>Revenue − operating cost = EBITDA over the term</t>
  </si>
  <si>
    <t>Tax losses never negative</t>
  </si>
  <si>
    <t>Equity IRR meets the target</t>
  </si>
  <si>
    <t>Minimum DSCR at least 1.0</t>
  </si>
  <si>
    <t>Condition</t>
  </si>
  <si>
    <t>Tender says</t>
  </si>
  <si>
    <t>Page</t>
  </si>
  <si>
    <t>Quote</t>
  </si>
  <si>
    <t>Plant and bid</t>
  </si>
  <si>
    <t>Status</t>
  </si>
  <si>
    <t>Bid capacity</t>
  </si>
  <si>
    <t>1,000 MW; one bidder 50–500 MW</t>
  </si>
  <si>
    <t>a minimum quantum of cumulative Contracted Capacity of 50 MW and a maximum quantum of 500 MW</t>
  </si>
  <si>
    <t>500 MW bid</t>
  </si>
  <si>
    <t>Met</t>
  </si>
  <si>
    <t>Peak Hours floor (every block)</t>
  </si>
  <si>
    <t>At least 90% of contracted capacity in every peak time-block; shortfall costs 1.5 × tariff</t>
  </si>
  <si>
    <t>(i) a minimum DFR of 90% in each time-block during the Peak Hours</t>
  </si>
  <si>
    <t>83.8% of the hours at the floor; 273.02 MU short in the worst modelled year</t>
  </si>
  <si>
    <t>Noted</t>
  </si>
  <si>
    <t>Off-peak floor (every block)</t>
  </si>
  <si>
    <t>At least 70% of contracted capacity in every off-peak time-block; shortfall costs 1.5 × tariff</t>
  </si>
  <si>
    <t>(ii) a minimum DFR of 70% in each time-block during the off-Peak Hours.</t>
  </si>
  <si>
    <t>98.9% of the hours at the floor; 1.45 MU short in the worst modelled year</t>
  </si>
  <si>
    <t>Peak hours</t>
  </si>
  <si>
    <t>Any 6 of the 16 hours (the Buying Entity picks 6 hours between 18:00 and 10:00, day-ahead) a day</t>
  </si>
  <si>
    <t>The Buying Entity shall choose any 6 hours, on a daily basis, between 18:00 Hrs. in the evening of a day and 10:00 Hrs. in the morning of the subsequent day</t>
  </si>
  <si>
    <t>Checked in the chosen window</t>
  </si>
  <si>
    <t>Energy storage</t>
  </si>
  <si>
    <t>Mandatory</t>
  </si>
  <si>
    <t>Energy Storage Systems (ESS) shall mandatorily constitute part of the Project. It is clarified that ESS charged using a source other than RE power would not qualify as RE power.</t>
  </si>
  <si>
    <t>1,057 MW / 4,229 MWh</t>
  </si>
  <si>
    <t>What may be sold in the market</t>
  </si>
  <si>
    <t>Free to sell to any third party or power exchange, no NOC needed</t>
  </si>
  <si>
    <t>the SECI/RPD is free to sell power in excess of the Contracted Capacity in any time-block, to any third party or power exchange, without requiring any NOC from Buying Entity.</t>
  </si>
  <si>
    <t>Nothing sold</t>
  </si>
  <si>
    <t>The PPAs shall be valid for a period of 25 years from the SCSD.</t>
  </si>
  <si>
    <t>Modelled and financed over 25 years</t>
  </si>
  <si>
    <t>SECI reserves the right to cancel any or all of the bids in view of higher tariff discovered after e-RA.</t>
  </si>
  <si>
    <t>Bid tariff ₹7.043/kWh</t>
  </si>
  <si>
    <t>Not required</t>
  </si>
  <si>
    <t>The Scheduled Commencement of Supply Date (SCSD) for supplying power from the full Project capacity shall be the date as on 24 months from the Effective Date of the PPA</t>
  </si>
  <si>
    <t>Build schedule is not modelled</t>
  </si>
  <si>
    <t>Group</t>
  </si>
  <si>
    <t>Value</t>
  </si>
  <si>
    <t>Source</t>
  </si>
  <si>
    <t>Bid</t>
  </si>
  <si>
    <t>Your input</t>
  </si>
  <si>
    <t>Sized for the greenshoe</t>
  </si>
  <si>
    <t>automatic limit</t>
  </si>
  <si>
    <t>Upper limit for the optimizer</t>
  </si>
  <si>
    <t>CUF (AC)</t>
  </si>
  <si>
    <t>DC:AC ratio</t>
  </si>
  <si>
    <t>MWp/MWac</t>
  </si>
  <si>
    <t>Annual degradation</t>
  </si>
  <si>
    <t>Capex per MWac</t>
  </si>
  <si>
    <t>₹ cr/MWac</t>
  </si>
  <si>
    <t>O&amp;M per MWac</t>
  </si>
  <si>
    <t>₹ lakh/MWac/yr</t>
  </si>
  <si>
    <t>CUF</t>
  </si>
  <si>
    <t>Capex</t>
  </si>
  <si>
    <t>O&amp;M</t>
  </si>
  <si>
    <t>Discharge duration</t>
  </si>
  <si>
    <t>4 hours</t>
  </si>
  <si>
    <t>Round-trip efficiency</t>
  </si>
  <si>
    <t>Minimum state of charge</t>
  </si>
  <si>
    <t>Maximum state of charge</t>
  </si>
  <si>
    <t>Capacity fade</t>
  </si>
  <si>
    <t>Every year</t>
  </si>
  <si>
    <t>Pre-operative &amp; IDC</t>
  </si>
  <si>
    <t>Model default (editable on Financials)</t>
  </si>
  <si>
    <t>Discount rate (LCOE, NPV)</t>
  </si>
  <si>
    <t>Market</t>
  </si>
  <si>
    <t>Sell in the market</t>
  </si>
  <si>
    <t>Item</t>
  </si>
  <si>
    <t>Note</t>
  </si>
  <si>
    <t>₹ crore</t>
  </si>
  <si>
    <t>Total project cost (incl. pre-operative &amp; IDC)</t>
  </si>
  <si>
    <t>pre-operative 5.0% of hard cost</t>
  </si>
  <si>
    <t>70%</t>
  </si>
  <si>
    <t>Total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</si>
  <si>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</si>
  <si>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</si>
  <si>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</si>
  <si>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</si>
  <si>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</si>
  <si>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</si>
  <si>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</si>
  <si>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</si>
  <si>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</si>
  <si>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</si>
  <si>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</si>
  <si>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</si>
  <si>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</si>
  <si>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</si>
  <si>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</si>
  <si>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</si>
  <si>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</si>
  <si>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</si>
  <si>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</si>
  <si>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</si>
  <si>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</si>
  <si>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</si>
  <si>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</si>
  <si>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</si>
  <si>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</si>
  <si>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Energy and tariff</t>
  </si>
  <si>
    <t>Capital spend in operation</t>
  </si>
  <si>
    <t>Working capital change</t>
  </si>
  <si>
    <t>CFADS</t>
  </si>
  <si>
    <t>Free cash to equity</t>
  </si>
  <si>
    <t>Project cash flow</t>
  </si>
  <si>
    <t>Returns (year 0 is the investment)</t>
  </si>
  <si>
    <t>Equity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</si>
</sst>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&quot;Year &quot;0"/>
    <numFmt numFmtId="166" formatCode="#,##0.00;[Red]-#,##0.00;&quot;–&quot;"/>
    <numFmt numFmtId="167" formatCode="0.00&quot;×&quot;"/>
    <numFmt numFmtId="168" formatCode="#,##0.0;[Red]-#,##0.0;&quot;–&quot;"/>
    <numFmt numFmtId="169" formatCode="0.0000"/>
    <numFmt numFmtId="170" formatCode="#,##0.####"/>
  </numFmts>
  <fonts count="22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i/>
      <color rgb="FF777777"/>
    </font>
    <font>
      <i/>
      <color rgb="FF0000FF"/>
    </font>
    <font>
      <b/>
      <color rgb="FF111111"/>
    </font>
    <font>
      <i/>
      <color rgb="FF555555"/>
    </font>
    <font>
      <b/>
    </font>
    <font>
      <color rgb="FF0000FF"/>
    </font>
    <font>
      <color rgb="FF00703C"/>
    </font>
    <font>
      <color rgb="FF000000"/>
    </font>
    <font>
      <b/>
      <color rgb="FFFFFFFF"/>
    </font>
    <font>
      <b/>
      <color rgb="FFFFFFFF"/>
      <sz val="12"/>
    </font>
    <font>
      <b/>
      <color rgb="FF555555"/>
    </font>
    <font>
      <color rgb="FF666666"/>
    </font>
    <font>
      <b/>
      <color rgb="FF000000"/>
    </font>
    <font>
      <i/>
      <color rgb="FF666666"/>
    </font>
    <font/>
    <font>
      <i/>
      <color rgb="FFB26A00"/>
    </font>
    <font>
      <b/>
      <color rgb="FF1E7B34"/>
    </font>
    <font>
      <b/>
      <color rgb="FF666666"/>
    </font>
    <font>
      <color rgb="FFB26A00"/>
    </font>
  </fonts>
  <fills count="7">
    <fill>
      <patternFill patternType="none"/>
    </fill>
    <fill>
      <patternFill patternType="gray125"/>
    </fill>
    <fill>
      <patternFill patternType="solid">
        <fgColor rgb="FFD4FF3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11111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1111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right"/>
    </xf>
    <xf numFmtId="165" fontId="11" fillId="5" borderId="0" xfId="0" applyNumberFormat="1" applyFont="1" applyFill="1" applyAlignment="1">
      <alignment horizontal="right"/>
    </xf>
    <xf numFmtId="0" fontId="12" fillId="5" borderId="0" xfId="0" applyFont="1" applyFill="1"/>
    <xf numFmtId="0" fontId="0" fillId="5" borderId="0" xfId="0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0" applyFont="1" applyAlignment="1">
      <alignment indent="1"/>
    </xf>
    <xf numFmtId="0" fontId="14" fillId="0" borderId="0" xfId="0" applyFont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/>
    <xf numFmtId="164" fontId="10" fillId="0" borderId="0" xfId="0" applyNumberFormat="1" applyFont="1"/>
    <xf numFmtId="10" fontId="15" fillId="0" borderId="0" xfId="0" applyNumberFormat="1" applyFont="1" applyAlignment="1">
      <alignment horizontal="right"/>
    </xf>
    <xf numFmtId="10" fontId="16" fillId="0" borderId="0" xfId="0" applyNumberFormat="1" applyFont="1"/>
    <xf numFmtId="10" fontId="10" fillId="0" borderId="0" xfId="0" applyNumberFormat="1" applyFont="1"/>
    <xf numFmtId="0" fontId="17" fillId="0" borderId="0" xfId="0" applyFont="1" applyAlignment="1">
      <alignment indent="1"/>
    </xf>
    <xf numFmtId="10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16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 applyAlignment="1">
      <alignment horizontal="right"/>
    </xf>
    <xf numFmtId="167" fontId="16" fillId="0" borderId="0" xfId="0" applyNumberFormat="1" applyFont="1"/>
    <xf numFmtId="167" fontId="10" fillId="0" borderId="0" xfId="0" applyNumberFormat="1" applyFont="1"/>
    <xf numFmtId="164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16" fillId="0" borderId="0" xfId="0" applyNumberFormat="1" applyFont="1"/>
    <xf numFmtId="1" fontId="10" fillId="0" borderId="0" xfId="0" applyNumberFormat="1" applyFont="1"/>
    <xf numFmtId="0" fontId="10" fillId="0" borderId="0" xfId="0" applyFont="1" applyAlignment="1">
      <alignment horizontal="right"/>
    </xf>
    <xf numFmtId="0" fontId="5" fillId="6" borderId="0" xfId="0" applyFont="1" applyFill="1"/>
    <xf numFmtId="0" fontId="0" fillId="6" borderId="0" xfId="0" applyFill="1"/>
    <xf numFmtId="164" fontId="8" fillId="3" borderId="1" xfId="0" applyNumberFormat="1" applyFont="1" applyFill="1" applyBorder="1"/>
    <xf numFmtId="10" fontId="8" fillId="3" borderId="1" xfId="0" applyNumberFormat="1" applyFont="1" applyFill="1" applyBorder="1"/>
    <xf numFmtId="0" fontId="18" fillId="0" borderId="0" xfId="0" applyFont="1"/>
    <xf numFmtId="168" fontId="9" fillId="4" borderId="1" xfId="0" applyNumberFormat="1" applyFont="1" applyFill="1" applyBorder="1"/>
    <xf numFmtId="4" fontId="8" fillId="3" borderId="1" xfId="0" applyNumberFormat="1" applyFont="1" applyFill="1" applyBorder="1"/>
    <xf numFmtId="166" fontId="8" fillId="3" borderId="1" xfId="0" applyNumberFormat="1" applyFont="1" applyFill="1" applyBorder="1"/>
    <xf numFmtId="0" fontId="8" fillId="3" borderId="1" xfId="0" applyFont="1" applyFill="1" applyBorder="1"/>
    <xf numFmtId="167" fontId="8" fillId="3" borderId="1" xfId="0" applyNumberFormat="1" applyFont="1" applyFill="1" applyBorder="1"/>
    <xf numFmtId="1" fontId="8" fillId="3" borderId="1" xfId="0" applyNumberFormat="1" applyFont="1" applyFill="1" applyBorder="1"/>
    <xf numFmtId="166" fontId="15" fillId="0" borderId="0" xfId="0" applyNumberFormat="1" applyFont="1"/>
    <xf numFmtId="168" fontId="15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0" fontId="7" fillId="0" borderId="2" xfId="0" applyFont="1" applyBorder="1" applyAlignment="1">
      <alignment indent="1"/>
    </xf>
    <xf numFmtId="0" fontId="14" fillId="0" borderId="2" xfId="0" applyFont="1" applyBorder="1"/>
    <xf numFmtId="166" fontId="15" fillId="0" borderId="2" xfId="0" applyNumberFormat="1" applyFont="1" applyBorder="1"/>
    <xf numFmtId="0" fontId="0" fillId="0" borderId="2" xfId="0" applyBorder="1"/>
    <xf numFmtId="10" fontId="15" fillId="0" borderId="0" xfId="0" applyNumberFormat="1" applyFont="1"/>
    <xf numFmtId="0" fontId="10" fillId="0" borderId="0" xfId="0" applyFont="1"/>
    <xf numFmtId="0" fontId="11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170" fontId="0" fillId="0" borderId="0" xfId="0" applyNumberFormat="1"/>
    <xf numFmtId="10" fontId="0" fillId="0" borderId="0" xfId="0" applyNumberFormat="1"/>
    <xf numFmtId="0" fontId="21" fillId="0" borderId="0" xfId="0" applyFon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" fontId="7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font>
        <b/>
        <color rgb="FF1E7B34"/>
      </font>
    </dxf>
    <dxf>
      <font>
        <b/>
        <color rgb="FFB26A00"/>
      </font>
    </dxf>
    <dxf>
      <font>
        <b/>
        <color rgb="FF1E7B34"/>
      </font>
    </dxf>
    <dxf>
      <font>
        <b/>
        <color rgb="FFB326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FF3F"/>
  </sheetPr>
  <dimension ref="A1:C54"/>
  <sheetFormatPr defaultRowHeight="15" outlineLevelRow="0" outlineLevelCol="0" x14ac:dyDescent="55"/>
  <cols>
    <col min="1" max="1" width="42" customWidth="1"/>
    <col min="2" max="2" width="22" customWidth="1"/>
    <col min="3" max="3" width="70" customWidth="1"/>
  </cols>
  <sheetData>
    <row r="1" ht="24" customHeight="1" x14ac:dyDescent="0.25"/>
    <row r="2" ht="24" customHeight="1" x14ac:dyDescent="0.25"/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6" spans="1:1" s="3" customFormat="1" x14ac:dyDescent="0.25">
      <c r="A6" s="3" t="s">
        <v>2</v>
      </c>
    </row>
    <row r="7" spans="1:1" s="4" customFormat="1" x14ac:dyDescent="0.25">
      <c r="A7" s="4" t="s">
        <v>3</v>
      </c>
    </row>
    <row r="9" spans="1:1" s="5" customFormat="1" x14ac:dyDescent="0.25">
      <c r="A9" s="5" t="s">
        <v>4</v>
      </c>
    </row>
    <row r="10" spans="1:3" x14ac:dyDescent="0.25">
      <c r="A10" t="s">
        <v>5</v>
      </c>
      <c r="B10" s="6">
        <f>'Live model'!$C$9</f>
        <v>7.043367848320873</v>
      </c>
      <c r="C10" t="s">
        <v>6</v>
      </c>
    </row>
    <row r="11" spans="1:3" x14ac:dyDescent="0.25">
      <c r="A11" t="s">
        <v>7</v>
      </c>
      <c r="B11" s="7">
        <f>'Live model'!$C$10</f>
        <v>0.13999999993597156</v>
      </c>
      <c r="C11" t="s">
        <v>8</v>
      </c>
    </row>
    <row r="12" spans="1:3" x14ac:dyDescent="0.25">
      <c r="A12" t="s">
        <v>9</v>
      </c>
      <c r="B12" s="7">
        <f>'Live model'!$C$12</f>
        <v>0.09960342112113721</v>
      </c>
      <c r="C12" t="s">
        <v>8</v>
      </c>
    </row>
    <row r="13" spans="1:3" x14ac:dyDescent="0.25">
      <c r="A13" t="s">
        <v>10</v>
      </c>
      <c r="B13" s="8">
        <f>'Live model'!$C$13</f>
        <v>8.526512829121202e-14</v>
      </c>
      <c r="C13" t="s">
        <v>8</v>
      </c>
    </row>
    <row r="14" spans="1:3" x14ac:dyDescent="0.25">
      <c r="A14" t="s">
        <v>11</v>
      </c>
      <c r="B14" s="9">
        <f>'Live model'!$C$15</f>
        <v>1.1337114683595606</v>
      </c>
      <c r="C14" t="s">
        <v>8</v>
      </c>
    </row>
    <row r="15" spans="1:3" x14ac:dyDescent="0.25">
      <c r="A15" t="s">
        <v>12</v>
      </c>
      <c r="B15" s="9">
        <f>'Live model'!$C$16</f>
        <v>1.5576959212327723</v>
      </c>
      <c r="C15" t="s">
        <v>8</v>
      </c>
    </row>
    <row r="16" spans="1:3" x14ac:dyDescent="0.25">
      <c r="A16" t="s">
        <v>13</v>
      </c>
      <c r="B16" s="10">
        <f>'Live model'!$C$19</f>
        <v>8</v>
      </c>
      <c r="C16" t="s">
        <v>8</v>
      </c>
    </row>
    <row r="17" spans="1:3" x14ac:dyDescent="0.25">
      <c r="A17" t="s">
        <v>14</v>
      </c>
      <c r="B17" s="8">
        <f>'Live model'!$C$20</f>
        <v>15819.723285425918</v>
      </c>
      <c r="C17" t="s">
        <v>15</v>
      </c>
    </row>
    <row r="18" spans="1:3" x14ac:dyDescent="0.25">
      <c r="A18" t="s">
        <v>16</v>
      </c>
      <c r="B18" s="8">
        <f>'Live model'!$C$21</f>
        <v>11073.806299798141</v>
      </c>
      <c r="C18" t="s">
        <v>8</v>
      </c>
    </row>
    <row r="19" spans="1:3" x14ac:dyDescent="0.25">
      <c r="A19" t="s">
        <v>17</v>
      </c>
      <c r="B19" s="8">
        <f>'Live model'!$C$22</f>
        <v>4745.916985627777</v>
      </c>
      <c r="C19" t="s">
        <v>8</v>
      </c>
    </row>
    <row r="20" spans="1:3" x14ac:dyDescent="0.25">
      <c r="A20" t="s">
        <v>18</v>
      </c>
      <c r="B20" s="6">
        <f>'Live model'!$C$17</f>
        <v>5.533527030216563</v>
      </c>
      <c r="C20" t="s">
        <v>19</v>
      </c>
    </row>
    <row r="21" spans="1:3" x14ac:dyDescent="0.25">
      <c r="A21" t="s">
        <v>20</v>
      </c>
      <c r="B21" s="6">
        <v>7.037582326856201</v>
      </c>
      <c r="C21" t="s">
        <v>21</v>
      </c>
    </row>
    <row r="22" spans="1:3" x14ac:dyDescent="0.25">
      <c r="A22" t="s">
        <v>22</v>
      </c>
      <c r="B22" s="11">
        <v>3893.019923950853</v>
      </c>
      <c r="C22" t="s">
        <v>23</v>
      </c>
    </row>
    <row r="23" spans="1:3" x14ac:dyDescent="0.25">
      <c r="A23" t="s">
        <v>24</v>
      </c>
      <c r="B23" s="11">
        <v>0</v>
      </c>
      <c r="C23" t="s">
        <v>8</v>
      </c>
    </row>
    <row r="24" spans="1:3" x14ac:dyDescent="0.25">
      <c r="A24" t="s">
        <v>25</v>
      </c>
      <c r="B24" s="8">
        <f>'Live model'!$C$23</f>
        <v>60779.18396113619</v>
      </c>
      <c r="C24" t="s">
        <v>8</v>
      </c>
    </row>
    <row r="25" spans="1:3" x14ac:dyDescent="0.25">
      <c r="A25" t="s">
        <v>26</v>
      </c>
      <c r="B25" s="12" t="s">
        <v>27</v>
      </c>
      <c r="C25" t="s">
        <v>8</v>
      </c>
    </row>
    <row r="27" spans="1:1" s="5" customFormat="1" x14ac:dyDescent="0.25">
      <c r="A27" s="5" t="s">
        <v>28</v>
      </c>
    </row>
    <row r="28" spans="1:3" x14ac:dyDescent="0.25">
      <c r="A28" t="s">
        <v>29</v>
      </c>
      <c r="B28" s="11">
        <v>500</v>
      </c>
      <c r="C28" t="s">
        <v>30</v>
      </c>
    </row>
    <row r="29" spans="1:3" x14ac:dyDescent="0.25">
      <c r="A29" t="s">
        <v>31</v>
      </c>
      <c r="B29" s="11">
        <v>1307.7878579954233</v>
      </c>
      <c r="C29" t="s">
        <v>32</v>
      </c>
    </row>
    <row r="30" spans="1:3" x14ac:dyDescent="0.25">
      <c r="A30" t="s">
        <v>33</v>
      </c>
      <c r="B30" s="11">
        <v>732.3155483158617</v>
      </c>
      <c r="C30" t="s">
        <v>32</v>
      </c>
    </row>
    <row r="31" spans="1:3" x14ac:dyDescent="0.25">
      <c r="A31" t="s">
        <v>34</v>
      </c>
      <c r="B31" s="11">
        <v>1057.3334651963064</v>
      </c>
      <c r="C31" t="s">
        <v>8</v>
      </c>
    </row>
    <row r="32" spans="1:3" x14ac:dyDescent="0.25">
      <c r="A32" t="s">
        <v>35</v>
      </c>
      <c r="B32" s="11">
        <v>4229.333860785226</v>
      </c>
      <c r="C32" t="s">
        <v>8</v>
      </c>
    </row>
    <row r="34" spans="1:1" s="5" customFormat="1" x14ac:dyDescent="0.25">
      <c r="A34" s="5" t="s">
        <v>36</v>
      </c>
    </row>
    <row r="35" spans="1:3" x14ac:dyDescent="0.25">
      <c r="A35" t="s">
        <v>37</v>
      </c>
      <c r="B35" s="11">
        <v>500</v>
      </c>
      <c r="C35" t="s">
        <v>8</v>
      </c>
    </row>
    <row r="36" spans="1:3" x14ac:dyDescent="0.25">
      <c r="A36" t="s">
        <v>38</v>
      </c>
      <c r="B36" s="12" t="s">
        <v>39</v>
      </c>
      <c r="C36" t="s">
        <v>8</v>
      </c>
    </row>
    <row r="37" spans="1:3" x14ac:dyDescent="0.25">
      <c r="A37" t="s">
        <v>40</v>
      </c>
      <c r="B37" s="12" t="s">
        <v>41</v>
      </c>
      <c r="C37" t="s">
        <v>8</v>
      </c>
    </row>
    <row r="38" spans="1:3" x14ac:dyDescent="0.25">
      <c r="A38" t="s">
        <v>42</v>
      </c>
      <c r="B38" s="12" t="s">
        <v>43</v>
      </c>
      <c r="C38" t="s">
        <v>8</v>
      </c>
    </row>
    <row r="39" spans="1:3" x14ac:dyDescent="0.25">
      <c r="A39" t="s">
        <v>44</v>
      </c>
      <c r="B39" s="12" t="s">
        <v>45</v>
      </c>
      <c r="C39" t="s">
        <v>8</v>
      </c>
    </row>
    <row r="40" spans="1:3" x14ac:dyDescent="0.25">
      <c r="A40" t="s">
        <v>46</v>
      </c>
      <c r="B40" s="12" t="s">
        <v>47</v>
      </c>
      <c r="C40" t="s">
        <v>8</v>
      </c>
    </row>
    <row r="42" spans="1:1" s="5" customFormat="1" x14ac:dyDescent="0.25">
      <c r="A42" s="5" t="s">
        <v>48</v>
      </c>
    </row>
    <row r="43" spans="1:3" x14ac:dyDescent="0.25">
      <c r="A43" t="s">
        <v>49</v>
      </c>
      <c r="B43" s="12" t="s">
        <v>50</v>
      </c>
      <c r="C43" t="s">
        <v>8</v>
      </c>
    </row>
    <row r="44" spans="1:3" x14ac:dyDescent="0.25">
      <c r="A44" t="s">
        <v>48</v>
      </c>
      <c r="B44" s="12" t="s">
        <v>51</v>
      </c>
      <c r="C44" t="s">
        <v>52</v>
      </c>
    </row>
    <row r="45" spans="1:3" x14ac:dyDescent="0.25">
      <c r="A45" t="s">
        <v>53</v>
      </c>
      <c r="B45" s="12" t="s">
        <v>54</v>
      </c>
      <c r="C45" t="s">
        <v>8</v>
      </c>
    </row>
    <row r="46" spans="1:3" x14ac:dyDescent="0.25">
      <c r="A46" t="s">
        <v>55</v>
      </c>
      <c r="B46" s="12" t="s">
        <v>56</v>
      </c>
      <c r="C46" t="s">
        <v>8</v>
      </c>
    </row>
    <row r="47" spans="1:3" x14ac:dyDescent="0.25">
      <c r="A47" t="s">
        <v>57</v>
      </c>
      <c r="B47" s="12" t="s">
        <v>58</v>
      </c>
      <c r="C47" t="s">
        <v>8</v>
      </c>
    </row>
    <row r="48" spans="1:3" x14ac:dyDescent="0.25">
      <c r="A48" t="s">
        <v>59</v>
      </c>
      <c r="B48" s="12" t="s">
        <v>58</v>
      </c>
      <c r="C48" t="s">
        <v>8</v>
      </c>
    </row>
    <row r="49" spans="1:3" x14ac:dyDescent="0.25">
      <c r="A49" t="s">
        <v>60</v>
      </c>
      <c r="B49" s="12" t="s">
        <v>61</v>
      </c>
      <c r="C49" t="s">
        <v>8</v>
      </c>
    </row>
    <row r="50" spans="1:3" x14ac:dyDescent="0.25">
      <c r="A50" t="s">
        <v>62</v>
      </c>
      <c r="B50" s="12" t="s">
        <v>63</v>
      </c>
      <c r="C50" t="s">
        <v>8</v>
      </c>
    </row>
    <row r="51" spans="1:3" x14ac:dyDescent="0.25">
      <c r="A51" t="s">
        <v>64</v>
      </c>
      <c r="B51" s="12" t="s">
        <v>58</v>
      </c>
      <c r="C51" t="s">
        <v>8</v>
      </c>
    </row>
    <row r="53" spans="1:1" s="13" customFormat="1" x14ac:dyDescent="0.25">
      <c r="A53" s="13" t="s">
        <v>65</v>
      </c>
    </row>
    <row r="54" spans="1:1" s="13" customFormat="1" x14ac:dyDescent="0.25">
      <c r="A54" s="1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C199"/>
  <sheetViews>
    <sheetView workbookViewId="0" showGridLines="0">
      <pane xSplit="3" ySplit="5" topLeftCell="D6" activePane="bottomRight" state="frozen"/>
      <selection pane="bottomRight" activeCell="C1" sqref="C1"/>
    </sheetView>
  </sheetViews>
  <sheetFormatPr defaultRowHeight="15" outlineLevelRow="0" outlineLevelCol="0" x14ac:dyDescent="55"/>
  <cols>
    <col min="1" max="1" width="54" customWidth="1"/>
    <col min="2" max="3" width="16" customWidth="1"/>
    <col min="4" max="4" width="14" customWidth="1"/>
    <col min="5" max="29" width="12" customWidth="1"/>
  </cols>
  <sheetData>
    <row r="1" spans="1:1" x14ac:dyDescent="0.25">
      <c r="A1" s="1" t="s">
        <v>0</v>
      </c>
    </row>
    <row r="2" spans="1:1" x14ac:dyDescent="0.25">
      <c r="A2" s="2" t="s">
        <v>67</v>
      </c>
    </row>
    <row r="3" spans="1:4" x14ac:dyDescent="0.25">
      <c r="A3" s="14" t="s">
        <v>68</v>
      </c>
      <c r="B3" s="15" t="s">
        <v>69</v>
      </c>
      <c r="C3" s="16" t="s">
        <v>70</v>
      </c>
      <c r="D3" s="17" t="s">
        <v>71</v>
      </c>
    </row>
    <row r="4" spans="1:1" x14ac:dyDescent="0.25">
      <c r="A4" s="3" t="s">
        <v>72</v>
      </c>
    </row>
    <row r="5" spans="1:29" x14ac:dyDescent="0.25">
      <c r="A5" s="18" t="s">
        <v>73</v>
      </c>
      <c r="B5" s="18" t="s">
        <v>74</v>
      </c>
      <c r="C5" s="19" t="s">
        <v>75</v>
      </c>
      <c r="D5" s="19" t="s">
        <v>76</v>
      </c>
      <c r="E5" s="20">
        <v>1</v>
      </c>
      <c r="F5" s="20">
        <f>E5+1</f>
        <v>2</v>
      </c>
      <c r="G5" s="20">
        <f>F5+1</f>
        <v>3</v>
      </c>
      <c r="H5" s="20">
        <f>G5+1</f>
        <v>4</v>
      </c>
      <c r="I5" s="20">
        <f>H5+1</f>
        <v>5</v>
      </c>
      <c r="J5" s="20">
        <f>I5+1</f>
        <v>6</v>
      </c>
      <c r="K5" s="20">
        <f>J5+1</f>
        <v>7</v>
      </c>
      <c r="L5" s="20">
        <f>K5+1</f>
        <v>8</v>
      </c>
      <c r="M5" s="20">
        <f>L5+1</f>
        <v>9</v>
      </c>
      <c r="N5" s="20">
        <f>M5+1</f>
        <v>10</v>
      </c>
      <c r="O5" s="20">
        <f>N5+1</f>
        <v>11</v>
      </c>
      <c r="P5" s="20">
        <f>O5+1</f>
        <v>12</v>
      </c>
      <c r="Q5" s="20">
        <f>P5+1</f>
        <v>13</v>
      </c>
      <c r="R5" s="20">
        <f>Q5+1</f>
        <v>14</v>
      </c>
      <c r="S5" s="20">
        <f>R5+1</f>
        <v>15</v>
      </c>
      <c r="T5" s="20">
        <f>S5+1</f>
        <v>16</v>
      </c>
      <c r="U5" s="20">
        <f>T5+1</f>
        <v>17</v>
      </c>
      <c r="V5" s="20">
        <f>U5+1</f>
        <v>18</v>
      </c>
      <c r="W5" s="20">
        <f>V5+1</f>
        <v>19</v>
      </c>
      <c r="X5" s="20">
        <f>W5+1</f>
        <v>20</v>
      </c>
      <c r="Y5" s="20">
        <f>X5+1</f>
        <v>21</v>
      </c>
      <c r="Z5" s="20">
        <f>Y5+1</f>
        <v>22</v>
      </c>
      <c r="AA5" s="20">
        <f>Z5+1</f>
        <v>23</v>
      </c>
      <c r="AB5" s="20">
        <f>AA5+1</f>
        <v>24</v>
      </c>
      <c r="AC5" s="20">
        <f>AB5+1</f>
        <v>25</v>
      </c>
    </row>
    <row r="7" ht="20" customHeight="1" spans="1:29" x14ac:dyDescent="0.2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6" x14ac:dyDescent="0.25">
      <c r="A8" s="23"/>
      <c r="B8" s="23"/>
      <c r="C8" s="24" t="s">
        <v>77</v>
      </c>
      <c r="D8" s="24" t="s">
        <v>78</v>
      </c>
      <c r="E8" s="24" t="s">
        <v>79</v>
      </c>
      <c r="F8" s="24" t="s">
        <v>80</v>
      </c>
    </row>
    <row r="9" spans="1:6" x14ac:dyDescent="0.25">
      <c r="A9" s="25" t="s">
        <v>81</v>
      </c>
      <c r="B9" s="26" t="s">
        <v>82</v>
      </c>
      <c r="C9" s="27">
        <f>$C$29</f>
        <v>7.043367848320873</v>
      </c>
      <c r="D9" s="28">
        <v>7.043367848320873</v>
      </c>
      <c r="E9" s="29">
        <f>IF(ISNUMBER(C9),C9-D9,"")</f>
        <v>0</v>
      </c>
      <c r="F9" s="12" t="str">
        <f>IF(ISNUMBER(E9),IF(ABS(E9)&lt;=0.000007043367848320873,"Yes","Changed"),"")</f>
        <v>Yes</v>
      </c>
    </row>
    <row r="10" spans="1:6" x14ac:dyDescent="0.25">
      <c r="A10" s="25" t="s">
        <v>7</v>
      </c>
      <c r="B10" s="26" t="s">
        <v>83</v>
      </c>
      <c r="C10" s="30">
        <f>IFERROR(IRR(D170:AC170),"n/a")</f>
        <v>0.1400000000002308</v>
      </c>
      <c r="D10" s="31">
        <v>0.13999999993597156</v>
      </c>
      <c r="E10" s="32">
        <f>IF(ISNUMBER(C10),C10-D10,"")</f>
        <v>6.42592368205186e-11</v>
      </c>
      <c r="F10" s="12" t="str">
        <f>IF(ISNUMBER(E10),IF(ABS(E10)&lt;=0.00001,"Yes","Changed"),"")</f>
        <v>Yes</v>
      </c>
    </row>
    <row r="11" spans="1:6" x14ac:dyDescent="0.25">
      <c r="A11" s="33" t="s">
        <v>84</v>
      </c>
      <c r="B11" s="26" t="s">
        <v>83</v>
      </c>
      <c r="C11" s="34">
        <f>IFERROR($C$10-$C$66,"n/a")</f>
        <v>2.307876112439544e-13</v>
      </c>
      <c r="D11" s="31">
        <v>-6.402844920927464e-11</v>
      </c>
      <c r="E11" s="32">
        <f>IF(ISNUMBER(C11),C11-D11,"")</f>
        <v>6.42592368205186e-11</v>
      </c>
      <c r="F11" s="12" t="str">
        <f>IF(ISNUMBER(E11),IF(ABS(E11)&lt;=0.00001,"Yes","Changed"),"")</f>
        <v>Yes</v>
      </c>
    </row>
    <row r="12" spans="1:6" x14ac:dyDescent="0.25">
      <c r="A12" s="33" t="s">
        <v>9</v>
      </c>
      <c r="B12" s="26" t="s">
        <v>83</v>
      </c>
      <c r="C12" s="34">
        <f>IFERROR(IRR(D174:AC174),"n/a")</f>
        <v>0.09960342138751571</v>
      </c>
      <c r="D12" s="31">
        <v>0.09960342112113721</v>
      </c>
      <c r="E12" s="32">
        <f>IF(ISNUMBER(C12),C12-D12,"")</f>
        <v>2.663785025891485e-10</v>
      </c>
      <c r="F12" s="12" t="str">
        <f>IF(ISNUMBER(E12),IF(ABS(E12)&lt;=0.00001,"Yes","Changed"),"")</f>
        <v>Yes</v>
      </c>
    </row>
    <row r="13" spans="1:6" x14ac:dyDescent="0.25">
      <c r="A13" s="33" t="s">
        <v>85</v>
      </c>
      <c r="B13" s="26" t="s">
        <v>86</v>
      </c>
      <c r="C13" s="35">
        <f>D170+NPV($C$66,E170:AC170)</f>
        <v>8.526512829121202e-14</v>
      </c>
      <c r="D13" s="36">
        <v>8.526512829121202e-14</v>
      </c>
      <c r="E13" s="37">
        <f>IF(ISNUMBER(C13),C13-D13,"")</f>
        <v>0</v>
      </c>
      <c r="F13" s="12" t="str">
        <f>IF(ISNUMBER(E13),IF(ABS(E13)&lt;=0.000001,"Yes","Changed"),"")</f>
        <v>Yes</v>
      </c>
    </row>
    <row r="14" spans="1:6" x14ac:dyDescent="0.25">
      <c r="A14" s="33" t="s">
        <v>87</v>
      </c>
      <c r="B14" s="26" t="s">
        <v>86</v>
      </c>
      <c r="C14" s="35">
        <f>D174+NPV($C$67,E174:AC174)</f>
        <v>-44.14653759393008</v>
      </c>
      <c r="D14" s="36">
        <v>-44.14653759392826</v>
      </c>
      <c r="E14" s="37">
        <f>IF(ISNUMBER(C14),C14-D14,"")</f>
        <v>-1.8189894035458565e-12</v>
      </c>
      <c r="F14" s="12" t="str">
        <f>IF(ISNUMBER(E14),IF(ABS(E14)&lt;=0.00004414653759392826,"Yes","Changed"),"")</f>
        <v>Yes</v>
      </c>
    </row>
    <row r="15" spans="1:6" x14ac:dyDescent="0.25">
      <c r="A15" s="33" t="s">
        <v>11</v>
      </c>
      <c r="B15" s="26" t="s">
        <v>88</v>
      </c>
      <c r="C15" s="38">
        <f>IF(COUNT(E167:AC167)=0,"",MIN(E167:AC167))</f>
        <v>1.1337114683595604</v>
      </c>
      <c r="D15" s="39">
        <v>1.1337114683595606</v>
      </c>
      <c r="E15" s="40">
        <f>IF(ISNUMBER(C15),C15-D15,"")</f>
        <v>-2.220446049250313e-16</v>
      </c>
      <c r="F15" s="12" t="str">
        <f>IF(ISNUMBER(E15),IF(ABS(E15)&lt;=0.0000011337114683595605,"Yes","Changed"),"")</f>
        <v>Yes</v>
      </c>
    </row>
    <row r="16" spans="1:6" x14ac:dyDescent="0.25">
      <c r="A16" s="33" t="s">
        <v>12</v>
      </c>
      <c r="B16" s="26" t="s">
        <v>88</v>
      </c>
      <c r="C16" s="38">
        <f>IF(COUNT(E167:AC167)=0,"",AVERAGE(E167:AC167))</f>
        <v>1.5576959212327723</v>
      </c>
      <c r="D16" s="39">
        <v>1.5576959212327723</v>
      </c>
      <c r="E16" s="40">
        <f>IF(ISNUMBER(C16),C16-D16,"")</f>
        <v>0</v>
      </c>
      <c r="F16" s="12" t="str">
        <f>IF(ISNUMBER(E16),IF(ABS(E16)&lt;=0.0000015576959212327723,"Yes","Changed"),"")</f>
        <v>Yes</v>
      </c>
    </row>
    <row r="17" spans="1:6" x14ac:dyDescent="0.25">
      <c r="A17" s="33" t="s">
        <v>89</v>
      </c>
      <c r="B17" s="26" t="s">
        <v>82</v>
      </c>
      <c r="C17" s="41">
        <f>IF(C179&gt;0,($C$84+C178)*10/C179,"")</f>
        <v>5.53352703021656</v>
      </c>
      <c r="D17" s="28">
        <v>5.533527030216563</v>
      </c>
      <c r="E17" s="29">
        <f>IF(ISNUMBER(C17),C17-D17,"")</f>
        <v>-2.6645352591003757e-15</v>
      </c>
      <c r="F17" s="12" t="str">
        <f>IF(ISNUMBER(E17),IF(ABS(E17)&lt;=0.000005533527030216562,"Yes","Changed"),"")</f>
        <v>Yes</v>
      </c>
    </row>
    <row r="18" spans="1:6" x14ac:dyDescent="0.25">
      <c r="A18" s="33" t="s">
        <v>90</v>
      </c>
      <c r="B18" s="26" t="s">
        <v>82</v>
      </c>
      <c r="C18" s="41">
        <f>IF(C179&gt;0,C180*10/C179,"")</f>
        <v>7.043367848320871</v>
      </c>
      <c r="D18" s="28">
        <v>7.043367848320872</v>
      </c>
      <c r="E18" s="29">
        <f>IF(ISNUMBER(C18),C18-D18,"")</f>
        <v>-8.881784197001252e-16</v>
      </c>
      <c r="F18" s="12" t="str">
        <f>IF(ISNUMBER(E18),IF(ABS(E18)&lt;=0.000007043367848320872,"Yes","Changed"),"")</f>
        <v>Yes</v>
      </c>
    </row>
    <row r="19" spans="1:6" x14ac:dyDescent="0.25">
      <c r="A19" s="33" t="s">
        <v>91</v>
      </c>
      <c r="B19" s="26" t="s">
        <v>92</v>
      </c>
      <c r="C19" s="42">
        <f>IF(COUNT(E172:AC172)=0,"beyond the term",MIN(E172:AC172))</f>
        <v>8</v>
      </c>
      <c r="D19" s="43">
        <v>8</v>
      </c>
      <c r="E19" s="44">
        <f>IF(ISNUMBER(C19),C19-D19,"")</f>
        <v>0</v>
      </c>
      <c r="F19" s="12" t="str">
        <f>IF(ISNUMBER(E19),IF(ABS(E19)&lt;=0.000008,"Yes","Changed"),"")</f>
        <v>Yes</v>
      </c>
    </row>
    <row r="20" spans="1:6" x14ac:dyDescent="0.25">
      <c r="A20" s="33" t="s">
        <v>93</v>
      </c>
      <c r="B20" s="26" t="s">
        <v>86</v>
      </c>
      <c r="C20" s="35">
        <f>$C$84</f>
        <v>15819.723285425918</v>
      </c>
      <c r="D20" s="36">
        <v>15819.723285425918</v>
      </c>
      <c r="E20" s="37">
        <f>IF(ISNUMBER(C20),C20-D20,"")</f>
        <v>0</v>
      </c>
      <c r="F20" s="12" t="str">
        <f>IF(ISNUMBER(E20),IF(ABS(E20)&lt;=0.015819723285425916,"Yes","Changed"),"")</f>
        <v>Yes</v>
      </c>
    </row>
    <row r="21" spans="1:6" x14ac:dyDescent="0.25">
      <c r="A21" s="33" t="s">
        <v>94</v>
      </c>
      <c r="B21" s="26" t="s">
        <v>86</v>
      </c>
      <c r="C21" s="35">
        <f>$C$85</f>
        <v>11073.806299798141</v>
      </c>
      <c r="D21" s="36">
        <v>11073.806299798141</v>
      </c>
      <c r="E21" s="37">
        <f>IF(ISNUMBER(C21),C21-D21,"")</f>
        <v>0</v>
      </c>
      <c r="F21" s="12" t="str">
        <f>IF(ISNUMBER(E21),IF(ABS(E21)&lt;=0.011073806299798141,"Yes","Changed"),"")</f>
        <v>Yes</v>
      </c>
    </row>
    <row r="22" spans="1:6" x14ac:dyDescent="0.25">
      <c r="A22" s="33" t="s">
        <v>95</v>
      </c>
      <c r="B22" s="26" t="s">
        <v>86</v>
      </c>
      <c r="C22" s="35">
        <f>$C$86</f>
        <v>4745.916985627777</v>
      </c>
      <c r="D22" s="36">
        <v>4745.916985627777</v>
      </c>
      <c r="E22" s="37">
        <f>IF(ISNUMBER(C22),C22-D22,"")</f>
        <v>0</v>
      </c>
      <c r="F22" s="12" t="str">
        <f>IF(ISNUMBER(E22),IF(ABS(E22)&lt;=0.004745916985627777,"Yes","Changed"),"")</f>
        <v>Yes</v>
      </c>
    </row>
    <row r="23" spans="1:6" x14ac:dyDescent="0.25">
      <c r="A23" s="33" t="s">
        <v>96</v>
      </c>
      <c r="B23" s="26" t="s">
        <v>86</v>
      </c>
      <c r="C23" s="35">
        <f>C115</f>
        <v>60779.18396113619</v>
      </c>
      <c r="D23" s="36">
        <v>60779.18396113619</v>
      </c>
      <c r="E23" s="37">
        <f>IF(ISNUMBER(C23),C23-D23,"")</f>
        <v>0</v>
      </c>
      <c r="F23" s="12" t="str">
        <f>IF(ISNUMBER(E23),IF(ABS(E23)&lt;=0.060779183961136185,"Yes","Changed"),"")</f>
        <v>Yes</v>
      </c>
    </row>
    <row r="24" spans="1:6" x14ac:dyDescent="0.25">
      <c r="A24" s="33" t="s">
        <v>97</v>
      </c>
      <c r="C24" s="45" t="str">
        <f>IF(AND($C$194="OK",$C$195="OK",$C$196="OK",$C$197="OK"),"OK","CHECK")</f>
        <v>OK</v>
      </c>
      <c r="F24" s="12" t="str">
        <f>IF(C24="OK","OK","CHECK")</f>
        <v>OK</v>
      </c>
    </row>
    <row r="25" spans="1:1" x14ac:dyDescent="0.25">
      <c r="A25" s="13" t="s">
        <v>98</v>
      </c>
    </row>
    <row r="27" ht="20" customHeight="1" spans="1:29" x14ac:dyDescent="0.25">
      <c r="A27" s="21" t="s">
        <v>99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4" x14ac:dyDescent="0.25">
      <c r="A28" s="46" t="s">
        <v>100</v>
      </c>
      <c r="B28" s="47"/>
      <c r="C28" s="47"/>
      <c r="D28" s="47"/>
    </row>
    <row r="29" spans="1:4" x14ac:dyDescent="0.25">
      <c r="A29" s="33" t="s">
        <v>81</v>
      </c>
      <c r="B29" s="26" t="s">
        <v>82</v>
      </c>
      <c r="C29" s="48">
        <v>7.043367848320873</v>
      </c>
      <c r="D29" s="3" t="s">
        <v>101</v>
      </c>
    </row>
    <row r="30" spans="1:4" x14ac:dyDescent="0.25">
      <c r="A30" s="33" t="s">
        <v>102</v>
      </c>
      <c r="B30" s="26" t="s">
        <v>103</v>
      </c>
      <c r="C30" s="49">
        <v>0</v>
      </c>
      <c r="D30" s="50" t="s">
        <v>104</v>
      </c>
    </row>
    <row r="31" spans="1:4" x14ac:dyDescent="0.25">
      <c r="A31" s="46" t="s">
        <v>105</v>
      </c>
      <c r="B31" s="47"/>
      <c r="C31" s="47"/>
      <c r="D31" s="47"/>
    </row>
    <row r="32" spans="1:4" x14ac:dyDescent="0.25">
      <c r="A32" s="33" t="s">
        <v>38</v>
      </c>
      <c r="B32" s="26" t="s">
        <v>106</v>
      </c>
      <c r="C32" s="51">
        <v>1307.7878579954233</v>
      </c>
      <c r="D32" s="3" t="s">
        <v>107</v>
      </c>
    </row>
    <row r="33" spans="1:4" x14ac:dyDescent="0.25">
      <c r="A33" s="33" t="s">
        <v>40</v>
      </c>
      <c r="B33" s="26" t="s">
        <v>106</v>
      </c>
      <c r="C33" s="51">
        <v>732.3155483158617</v>
      </c>
      <c r="D33" s="3" t="s">
        <v>107</v>
      </c>
    </row>
    <row r="34" spans="1:4" x14ac:dyDescent="0.25">
      <c r="A34" s="33" t="s">
        <v>108</v>
      </c>
      <c r="B34" s="26" t="s">
        <v>106</v>
      </c>
      <c r="C34" s="51">
        <v>1057.3334651963064</v>
      </c>
      <c r="D34" s="3" t="s">
        <v>107</v>
      </c>
    </row>
    <row r="35" spans="1:4" x14ac:dyDescent="0.25">
      <c r="A35" s="33" t="s">
        <v>109</v>
      </c>
      <c r="B35" s="26" t="s">
        <v>110</v>
      </c>
      <c r="C35" s="51">
        <v>4229.333860785226</v>
      </c>
      <c r="D35" s="3" t="s">
        <v>107</v>
      </c>
    </row>
    <row r="36" spans="1:4" x14ac:dyDescent="0.25">
      <c r="A36" s="46" t="s">
        <v>111</v>
      </c>
      <c r="B36" s="47"/>
      <c r="C36" s="47"/>
      <c r="D36" s="47"/>
    </row>
    <row r="37" spans="1:4" x14ac:dyDescent="0.25">
      <c r="A37" s="33" t="s">
        <v>38</v>
      </c>
      <c r="B37" s="26" t="s">
        <v>112</v>
      </c>
      <c r="C37" s="52">
        <v>4</v>
      </c>
      <c r="D37" s="50" t="s">
        <v>104</v>
      </c>
    </row>
    <row r="38" spans="1:4" x14ac:dyDescent="0.25">
      <c r="A38" s="33" t="s">
        <v>40</v>
      </c>
      <c r="B38" s="26" t="s">
        <v>112</v>
      </c>
      <c r="C38" s="52">
        <v>6.5</v>
      </c>
      <c r="D38" s="50" t="s">
        <v>104</v>
      </c>
    </row>
    <row r="39" spans="1:4" x14ac:dyDescent="0.25">
      <c r="A39" s="33" t="s">
        <v>109</v>
      </c>
      <c r="B39" s="26" t="s">
        <v>113</v>
      </c>
      <c r="C39" s="52">
        <v>1.2</v>
      </c>
      <c r="D39" s="50" t="s">
        <v>104</v>
      </c>
    </row>
    <row r="40" spans="1:4" x14ac:dyDescent="0.25">
      <c r="A40" s="33" t="s">
        <v>114</v>
      </c>
      <c r="B40" s="26" t="s">
        <v>112</v>
      </c>
      <c r="C40" s="52">
        <v>0</v>
      </c>
      <c r="D40" s="3" t="s">
        <v>115</v>
      </c>
    </row>
    <row r="41" spans="1:4" x14ac:dyDescent="0.25">
      <c r="A41" s="33" t="s">
        <v>116</v>
      </c>
      <c r="B41" s="26" t="s">
        <v>86</v>
      </c>
      <c r="C41" s="53">
        <v>0</v>
      </c>
      <c r="D41" s="50" t="s">
        <v>104</v>
      </c>
    </row>
    <row r="42" spans="1:4" x14ac:dyDescent="0.25">
      <c r="A42" s="33" t="s">
        <v>117</v>
      </c>
      <c r="B42" s="26" t="s">
        <v>118</v>
      </c>
      <c r="C42" s="49">
        <v>0.05</v>
      </c>
      <c r="D42" s="50" t="s">
        <v>104</v>
      </c>
    </row>
    <row r="43" spans="1:4" x14ac:dyDescent="0.25">
      <c r="A43" s="46" t="s">
        <v>119</v>
      </c>
      <c r="B43" s="47"/>
      <c r="C43" s="47"/>
      <c r="D43" s="47"/>
    </row>
    <row r="44" spans="1:4" x14ac:dyDescent="0.25">
      <c r="A44" s="33" t="s">
        <v>120</v>
      </c>
      <c r="B44" s="26" t="s">
        <v>121</v>
      </c>
      <c r="C44" s="52">
        <v>4</v>
      </c>
      <c r="D44" s="50" t="s">
        <v>104</v>
      </c>
    </row>
    <row r="45" spans="1:4" x14ac:dyDescent="0.25">
      <c r="A45" s="33" t="s">
        <v>122</v>
      </c>
      <c r="B45" s="26" t="s">
        <v>121</v>
      </c>
      <c r="C45" s="52">
        <v>9</v>
      </c>
      <c r="D45" s="50" t="s">
        <v>104</v>
      </c>
    </row>
    <row r="46" spans="1:4" x14ac:dyDescent="0.25">
      <c r="A46" s="33" t="s">
        <v>123</v>
      </c>
      <c r="B46" s="26" t="s">
        <v>124</v>
      </c>
      <c r="C46" s="52">
        <v>1.2</v>
      </c>
      <c r="D46" s="50" t="s">
        <v>104</v>
      </c>
    </row>
    <row r="47" spans="1:4" x14ac:dyDescent="0.25">
      <c r="A47" s="33" t="s">
        <v>125</v>
      </c>
      <c r="B47" s="26" t="s">
        <v>103</v>
      </c>
      <c r="C47" s="49">
        <v>0.05</v>
      </c>
      <c r="D47" s="50" t="s">
        <v>104</v>
      </c>
    </row>
    <row r="48" spans="1:4" x14ac:dyDescent="0.25">
      <c r="A48" s="33" t="s">
        <v>126</v>
      </c>
      <c r="B48" s="26" t="s">
        <v>127</v>
      </c>
      <c r="C48" s="49">
        <v>0.003</v>
      </c>
      <c r="D48" s="50" t="s">
        <v>104</v>
      </c>
    </row>
    <row r="49" spans="1:4" x14ac:dyDescent="0.25">
      <c r="A49" s="33" t="s">
        <v>128</v>
      </c>
      <c r="B49" s="26" t="s">
        <v>129</v>
      </c>
      <c r="C49" s="53">
        <v>0</v>
      </c>
      <c r="D49" s="3" t="s">
        <v>130</v>
      </c>
    </row>
    <row r="50" spans="1:4" x14ac:dyDescent="0.25">
      <c r="A50" s="46" t="s">
        <v>131</v>
      </c>
      <c r="B50" s="47"/>
      <c r="C50" s="47"/>
      <c r="D50" s="47"/>
    </row>
    <row r="51" spans="1:4" x14ac:dyDescent="0.25">
      <c r="A51" s="33" t="s">
        <v>132</v>
      </c>
      <c r="B51" s="26" t="s">
        <v>133</v>
      </c>
      <c r="C51" s="54" t="s">
        <v>134</v>
      </c>
      <c r="D51" s="50" t="s">
        <v>104</v>
      </c>
    </row>
    <row r="52" spans="1:4" x14ac:dyDescent="0.25">
      <c r="A52" s="33" t="s">
        <v>135</v>
      </c>
      <c r="B52" s="26" t="s">
        <v>82</v>
      </c>
      <c r="C52" s="48">
        <v>0</v>
      </c>
      <c r="D52" s="3" t="s">
        <v>136</v>
      </c>
    </row>
    <row r="53" spans="1:4" x14ac:dyDescent="0.25">
      <c r="A53" s="33" t="s">
        <v>137</v>
      </c>
      <c r="B53" s="26" t="s">
        <v>138</v>
      </c>
      <c r="C53" s="49">
        <v>0</v>
      </c>
      <c r="D53" s="3" t="s">
        <v>48</v>
      </c>
    </row>
    <row r="54" spans="1:4" x14ac:dyDescent="0.25">
      <c r="A54" s="33" t="s">
        <v>139</v>
      </c>
      <c r="B54" s="26" t="s">
        <v>140</v>
      </c>
      <c r="C54" s="48">
        <v>0</v>
      </c>
      <c r="D54" s="3" t="s">
        <v>130</v>
      </c>
    </row>
    <row r="55" spans="1:4" x14ac:dyDescent="0.25">
      <c r="A55" s="33" t="s">
        <v>141</v>
      </c>
      <c r="B55" s="26" t="s">
        <v>142</v>
      </c>
      <c r="C55" s="55">
        <v>1.5</v>
      </c>
      <c r="D55" s="3" t="s">
        <v>48</v>
      </c>
    </row>
    <row r="56" spans="1:4" x14ac:dyDescent="0.25">
      <c r="A56" s="46" t="s">
        <v>143</v>
      </c>
      <c r="B56" s="47"/>
      <c r="C56" s="47"/>
      <c r="D56" s="47"/>
    </row>
    <row r="57" spans="1:4" x14ac:dyDescent="0.25">
      <c r="A57" s="33" t="s">
        <v>144</v>
      </c>
      <c r="B57" s="26" t="s">
        <v>145</v>
      </c>
      <c r="C57" s="54" t="s">
        <v>146</v>
      </c>
      <c r="D57" s="50" t="s">
        <v>104</v>
      </c>
    </row>
    <row r="58" spans="1:4" x14ac:dyDescent="0.25">
      <c r="A58" s="33" t="s">
        <v>147</v>
      </c>
      <c r="B58" s="26" t="s">
        <v>103</v>
      </c>
      <c r="C58" s="49">
        <v>0.02</v>
      </c>
      <c r="D58" s="50" t="s">
        <v>104</v>
      </c>
    </row>
    <row r="59" spans="1:4" x14ac:dyDescent="0.25">
      <c r="A59" s="33" t="s">
        <v>148</v>
      </c>
      <c r="B59" s="26" t="s">
        <v>92</v>
      </c>
      <c r="C59" s="56">
        <v>12</v>
      </c>
      <c r="D59" s="3" t="s">
        <v>149</v>
      </c>
    </row>
    <row r="60" spans="1:4" x14ac:dyDescent="0.25">
      <c r="A60" s="33" t="s">
        <v>150</v>
      </c>
      <c r="B60" s="26" t="s">
        <v>103</v>
      </c>
      <c r="C60" s="49">
        <v>0</v>
      </c>
      <c r="D60" s="3" t="s">
        <v>130</v>
      </c>
    </row>
    <row r="61" spans="1:4" x14ac:dyDescent="0.25">
      <c r="A61" s="46" t="s">
        <v>44</v>
      </c>
      <c r="B61" s="47"/>
      <c r="C61" s="47"/>
      <c r="D61" s="47"/>
    </row>
    <row r="62" spans="1:4" x14ac:dyDescent="0.25">
      <c r="A62" s="33" t="s">
        <v>151</v>
      </c>
      <c r="B62" s="26" t="s">
        <v>152</v>
      </c>
      <c r="C62" s="49">
        <v>0.7</v>
      </c>
      <c r="D62" s="50" t="s">
        <v>104</v>
      </c>
    </row>
    <row r="63" spans="1:4" x14ac:dyDescent="0.25">
      <c r="A63" s="33" t="s">
        <v>153</v>
      </c>
      <c r="B63" s="26" t="s">
        <v>103</v>
      </c>
      <c r="C63" s="49">
        <v>0.09</v>
      </c>
      <c r="D63" s="50" t="s">
        <v>104</v>
      </c>
    </row>
    <row r="64" spans="1:4" x14ac:dyDescent="0.25">
      <c r="A64" s="33" t="s">
        <v>154</v>
      </c>
      <c r="B64" s="26" t="s">
        <v>155</v>
      </c>
      <c r="C64" s="56">
        <v>15</v>
      </c>
      <c r="D64" s="50" t="s">
        <v>104</v>
      </c>
    </row>
    <row r="65" spans="1:4" x14ac:dyDescent="0.25">
      <c r="A65" s="33" t="s">
        <v>156</v>
      </c>
      <c r="B65" s="26" t="s">
        <v>157</v>
      </c>
      <c r="C65" s="54" t="s">
        <v>158</v>
      </c>
      <c r="D65" s="3" t="s">
        <v>130</v>
      </c>
    </row>
    <row r="66" spans="1:4" x14ac:dyDescent="0.25">
      <c r="A66" s="33" t="s">
        <v>159</v>
      </c>
      <c r="B66" s="26" t="s">
        <v>83</v>
      </c>
      <c r="C66" s="49">
        <v>0.14</v>
      </c>
      <c r="D66" s="50" t="s">
        <v>104</v>
      </c>
    </row>
    <row r="67" spans="1:4" x14ac:dyDescent="0.25">
      <c r="A67" s="33" t="s">
        <v>160</v>
      </c>
      <c r="B67" s="26" t="s">
        <v>83</v>
      </c>
      <c r="C67" s="49">
        <v>0.1</v>
      </c>
      <c r="D67" s="3" t="s">
        <v>130</v>
      </c>
    </row>
    <row r="68" spans="1:4" x14ac:dyDescent="0.25">
      <c r="A68" s="46" t="s">
        <v>161</v>
      </c>
      <c r="B68" s="47"/>
      <c r="C68" s="47"/>
      <c r="D68" s="47"/>
    </row>
    <row r="69" spans="1:4" x14ac:dyDescent="0.25">
      <c r="A69" s="33" t="s">
        <v>162</v>
      </c>
      <c r="B69" s="26" t="s">
        <v>83</v>
      </c>
      <c r="C69" s="49">
        <v>0.2517</v>
      </c>
      <c r="D69" s="50" t="s">
        <v>104</v>
      </c>
    </row>
    <row r="70" spans="1:4" x14ac:dyDescent="0.25">
      <c r="A70" s="33" t="s">
        <v>163</v>
      </c>
      <c r="B70" s="26" t="s">
        <v>164</v>
      </c>
      <c r="C70" s="54" t="s">
        <v>165</v>
      </c>
      <c r="D70" s="3" t="s">
        <v>130</v>
      </c>
    </row>
    <row r="71" spans="1:4" x14ac:dyDescent="0.25">
      <c r="A71" s="33" t="s">
        <v>166</v>
      </c>
      <c r="B71" s="26" t="s">
        <v>103</v>
      </c>
      <c r="C71" s="49">
        <v>0.4</v>
      </c>
      <c r="D71" s="3" t="s">
        <v>130</v>
      </c>
    </row>
    <row r="72" spans="1:4" x14ac:dyDescent="0.25">
      <c r="A72" s="33" t="s">
        <v>167</v>
      </c>
      <c r="B72" s="26" t="s">
        <v>155</v>
      </c>
      <c r="C72" s="56">
        <v>25</v>
      </c>
      <c r="D72" s="3" t="s">
        <v>130</v>
      </c>
    </row>
    <row r="73" spans="1:4" x14ac:dyDescent="0.25">
      <c r="A73" s="33" t="s">
        <v>168</v>
      </c>
      <c r="B73" s="26" t="s">
        <v>152</v>
      </c>
      <c r="C73" s="49">
        <v>0.1</v>
      </c>
      <c r="D73" s="3" t="s">
        <v>130</v>
      </c>
    </row>
    <row r="74" spans="1:4" x14ac:dyDescent="0.25">
      <c r="A74" s="33" t="s">
        <v>169</v>
      </c>
      <c r="B74" s="26" t="s">
        <v>170</v>
      </c>
      <c r="C74" s="56">
        <v>45</v>
      </c>
      <c r="D74" s="3" t="s">
        <v>130</v>
      </c>
    </row>
    <row r="76" ht="20" customHeight="1" spans="1:29" x14ac:dyDescent="0.25">
      <c r="A76" s="21" t="s">
        <v>171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3" x14ac:dyDescent="0.25">
      <c r="A77" s="33" t="s">
        <v>38</v>
      </c>
      <c r="B77" s="26" t="s">
        <v>86</v>
      </c>
      <c r="C77" s="37">
        <f>$C$32*$C$37</f>
        <v>5231.151431981693</v>
      </c>
    </row>
    <row r="78" spans="1:3" x14ac:dyDescent="0.25">
      <c r="A78" s="33" t="s">
        <v>40</v>
      </c>
      <c r="B78" s="26" t="s">
        <v>86</v>
      </c>
      <c r="C78" s="37">
        <f>$C$33*$C$38</f>
        <v>4760.051064053101</v>
      </c>
    </row>
    <row r="79" spans="1:3" x14ac:dyDescent="0.25">
      <c r="A79" s="33" t="s">
        <v>109</v>
      </c>
      <c r="B79" s="26" t="s">
        <v>86</v>
      </c>
      <c r="C79" s="37">
        <f>$C$35*$C$39</f>
        <v>5075.20063294227</v>
      </c>
    </row>
    <row r="80" spans="1:3" x14ac:dyDescent="0.25">
      <c r="A80" s="33" t="s">
        <v>114</v>
      </c>
      <c r="B80" s="26" t="s">
        <v>86</v>
      </c>
      <c r="C80" s="37">
        <f>$C$34*$C$40</f>
        <v>0</v>
      </c>
    </row>
    <row r="81" spans="1:3" x14ac:dyDescent="0.25">
      <c r="A81" s="33" t="s">
        <v>116</v>
      </c>
      <c r="B81" s="26" t="s">
        <v>86</v>
      </c>
      <c r="C81" s="37">
        <f>$C$41</f>
        <v>0</v>
      </c>
    </row>
    <row r="82" spans="1:3" x14ac:dyDescent="0.25">
      <c r="A82" s="25" t="s">
        <v>172</v>
      </c>
      <c r="B82" s="26" t="s">
        <v>86</v>
      </c>
      <c r="C82" s="57">
        <f>SUM($C$77:$C$81)</f>
        <v>15066.403128977065</v>
      </c>
    </row>
    <row r="83" spans="1:3" x14ac:dyDescent="0.25">
      <c r="A83" s="33" t="s">
        <v>117</v>
      </c>
      <c r="B83" s="26" t="s">
        <v>86</v>
      </c>
      <c r="C83" s="37">
        <f>$C$82*$C$42</f>
        <v>753.3201564488533</v>
      </c>
    </row>
    <row r="84" spans="1:3" x14ac:dyDescent="0.25">
      <c r="A84" s="25" t="s">
        <v>173</v>
      </c>
      <c r="B84" s="26" t="s">
        <v>86</v>
      </c>
      <c r="C84" s="57">
        <f>$C$82+$C$83</f>
        <v>15819.723285425918</v>
      </c>
    </row>
    <row r="85" spans="1:3" x14ac:dyDescent="0.25">
      <c r="A85" s="33" t="s">
        <v>94</v>
      </c>
      <c r="B85" s="26" t="s">
        <v>86</v>
      </c>
      <c r="C85" s="37">
        <f>$C$84*$C$62</f>
        <v>11073.806299798141</v>
      </c>
    </row>
    <row r="86" spans="1:3" x14ac:dyDescent="0.25">
      <c r="A86" s="33" t="s">
        <v>95</v>
      </c>
      <c r="B86" s="26" t="s">
        <v>86</v>
      </c>
      <c r="C86" s="37">
        <f>$C$84-$C$85</f>
        <v>4745.916985627777</v>
      </c>
    </row>
    <row r="87" spans="1:3" x14ac:dyDescent="0.25">
      <c r="A87" s="33" t="s">
        <v>174</v>
      </c>
      <c r="B87" s="26" t="s">
        <v>155</v>
      </c>
      <c r="C87" s="44">
        <f>COUNT(E5:AC5)</f>
        <v>25</v>
      </c>
    </row>
    <row r="88" spans="1:3" x14ac:dyDescent="0.25">
      <c r="A88" s="33" t="s">
        <v>175</v>
      </c>
      <c r="B88" s="26" t="s">
        <v>155</v>
      </c>
      <c r="C88" s="44">
        <f>MIN($C$87,MAX(1,ROUND($C$64,0)))</f>
        <v>15</v>
      </c>
    </row>
    <row r="89" spans="1:3" x14ac:dyDescent="0.25">
      <c r="A89" s="33" t="s">
        <v>176</v>
      </c>
      <c r="B89" s="26" t="s">
        <v>129</v>
      </c>
      <c r="C89" s="37">
        <f>IF($C$63&lt;=0,$C$85/$C$88,$C$85*$C$63*(1+$C$63)^$C$88/((1+$C$63)^$C$88-1))</f>
        <v>1373.8040362389215</v>
      </c>
    </row>
    <row r="90" spans="1:3" x14ac:dyDescent="0.25">
      <c r="A90" s="33" t="s">
        <v>177</v>
      </c>
      <c r="B90" s="26" t="s">
        <v>129</v>
      </c>
      <c r="C90" s="37">
        <f>$C$85/$C$88</f>
        <v>738.2537533198761</v>
      </c>
    </row>
    <row r="91" spans="1:3" x14ac:dyDescent="0.25">
      <c r="A91" s="33" t="s">
        <v>178</v>
      </c>
      <c r="B91" s="26" t="s">
        <v>86</v>
      </c>
      <c r="C91" s="37">
        <f>$C$84*(1-$C$73)</f>
        <v>14237.750956883327</v>
      </c>
    </row>
    <row r="92" spans="1:3" x14ac:dyDescent="0.25">
      <c r="A92" s="33" t="s">
        <v>179</v>
      </c>
      <c r="B92" s="26" t="s">
        <v>129</v>
      </c>
      <c r="C92" s="37">
        <f>$C$91/$C$72</f>
        <v>569.510038275333</v>
      </c>
    </row>
    <row r="94" ht="20" customHeight="1" spans="1:29" x14ac:dyDescent="0.25">
      <c r="A94" s="21" t="s">
        <v>180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x14ac:dyDescent="0.25">
      <c r="A95" s="33" t="s">
        <v>181</v>
      </c>
      <c r="B95" s="26" t="s">
        <v>182</v>
      </c>
      <c r="C95" s="58">
        <f>SUM(E95:AC95)</f>
        <v>109500</v>
      </c>
      <c r="E95" s="51">
        <v>4380</v>
      </c>
      <c r="F95" s="51">
        <v>4380</v>
      </c>
      <c r="G95" s="51">
        <v>4380</v>
      </c>
      <c r="H95" s="51">
        <v>4380</v>
      </c>
      <c r="I95" s="51">
        <v>4380</v>
      </c>
      <c r="J95" s="51">
        <v>4380</v>
      </c>
      <c r="K95" s="51">
        <v>4380</v>
      </c>
      <c r="L95" s="51">
        <v>4380</v>
      </c>
      <c r="M95" s="51">
        <v>4380</v>
      </c>
      <c r="N95" s="51">
        <v>4380</v>
      </c>
      <c r="O95" s="51">
        <v>4380</v>
      </c>
      <c r="P95" s="51">
        <v>4380</v>
      </c>
      <c r="Q95" s="51">
        <v>4380</v>
      </c>
      <c r="R95" s="51">
        <v>4380</v>
      </c>
      <c r="S95" s="51">
        <v>4380</v>
      </c>
      <c r="T95" s="51">
        <v>4380</v>
      </c>
      <c r="U95" s="51">
        <v>4380</v>
      </c>
      <c r="V95" s="51">
        <v>4380</v>
      </c>
      <c r="W95" s="51">
        <v>4380</v>
      </c>
      <c r="X95" s="51">
        <v>4380</v>
      </c>
      <c r="Y95" s="51">
        <v>4380</v>
      </c>
      <c r="Z95" s="51">
        <v>4380</v>
      </c>
      <c r="AA95" s="51">
        <v>4380</v>
      </c>
      <c r="AB95" s="51">
        <v>4380</v>
      </c>
      <c r="AC95" s="51">
        <v>4380</v>
      </c>
    </row>
    <row r="96" spans="1:29" x14ac:dyDescent="0.25">
      <c r="A96" s="33" t="s">
        <v>183</v>
      </c>
      <c r="B96" s="26" t="s">
        <v>182</v>
      </c>
      <c r="C96" s="58">
        <f>SUM(E96:AC96)</f>
        <v>95951.26747125782</v>
      </c>
      <c r="E96" s="51">
        <v>3893.019923950853</v>
      </c>
      <c r="F96" s="51">
        <v>3888.4391551924746</v>
      </c>
      <c r="G96" s="51">
        <v>3883.858386434096</v>
      </c>
      <c r="H96" s="51">
        <v>3879.277617675718</v>
      </c>
      <c r="I96" s="51">
        <v>3874.6968489173396</v>
      </c>
      <c r="J96" s="51">
        <v>3870.116080158961</v>
      </c>
      <c r="K96" s="51">
        <v>3865.5353114005825</v>
      </c>
      <c r="L96" s="51">
        <v>3860.954542642204</v>
      </c>
      <c r="M96" s="51">
        <v>3856.3737738838263</v>
      </c>
      <c r="N96" s="51">
        <v>3851.793005125447</v>
      </c>
      <c r="O96" s="51">
        <v>3847.2122363670687</v>
      </c>
      <c r="P96" s="51">
        <v>3842.631467608691</v>
      </c>
      <c r="Q96" s="51">
        <v>3838.050698850312</v>
      </c>
      <c r="R96" s="51">
        <v>3833.4699300919337</v>
      </c>
      <c r="S96" s="51">
        <v>3828.8891613335554</v>
      </c>
      <c r="T96" s="51">
        <v>3824.3083925751775</v>
      </c>
      <c r="U96" s="51">
        <v>3819.7276238167988</v>
      </c>
      <c r="V96" s="51">
        <v>3815.1468550584204</v>
      </c>
      <c r="W96" s="51">
        <v>3810.566086300042</v>
      </c>
      <c r="X96" s="51">
        <v>3805.9853175416633</v>
      </c>
      <c r="Y96" s="51">
        <v>3801.404548783285</v>
      </c>
      <c r="Z96" s="51">
        <v>3796.8237800249067</v>
      </c>
      <c r="AA96" s="51">
        <v>3792.243011266529</v>
      </c>
      <c r="AB96" s="51">
        <v>3787.66224250815</v>
      </c>
      <c r="AC96" s="51">
        <v>3783.0814737497717</v>
      </c>
    </row>
    <row r="97" spans="1:29" x14ac:dyDescent="0.25">
      <c r="A97" s="33" t="s">
        <v>184</v>
      </c>
      <c r="B97" s="26" t="s">
        <v>83</v>
      </c>
      <c r="E97" s="32">
        <f>IF(E95&gt;0,E96/E95,1)</f>
        <v>0.8888173342353546</v>
      </c>
      <c r="F97" s="32">
        <f>IF(F95&gt;0,F96/F95,1)</f>
        <v>0.8877714966192864</v>
      </c>
      <c r="G97" s="32">
        <f>IF(G95&gt;0,G96/G95,1)</f>
        <v>0.8867256590032182</v>
      </c>
      <c r="H97" s="32">
        <f>IF(H95&gt;0,H96/H95,1)</f>
        <v>0.8856798213871502</v>
      </c>
      <c r="I97" s="32">
        <f>IF(I95&gt;0,I96/I95,1)</f>
        <v>0.884633983771082</v>
      </c>
      <c r="J97" s="32">
        <f>IF(J95&gt;0,J96/J95,1)</f>
        <v>0.8835881461550139</v>
      </c>
      <c r="K97" s="32">
        <f>IF(K95&gt;0,K96/K95,1)</f>
        <v>0.8825423085389458</v>
      </c>
      <c r="L97" s="32">
        <f>IF(L95&gt;0,L96/L95,1)</f>
        <v>0.8814964709228776</v>
      </c>
      <c r="M97" s="32">
        <f>IF(M95&gt;0,M96/M95,1)</f>
        <v>0.8804506333068096</v>
      </c>
      <c r="N97" s="32">
        <f>IF(N95&gt;0,N96/N95,1)</f>
        <v>0.8794047956907414</v>
      </c>
      <c r="O97" s="32">
        <f>IF(O95&gt;0,O96/O95,1)</f>
        <v>0.8783589580746732</v>
      </c>
      <c r="P97" s="32">
        <f>IF(P95&gt;0,P96/P95,1)</f>
        <v>0.8773131204586052</v>
      </c>
      <c r="Q97" s="32">
        <f>IF(Q95&gt;0,Q96/Q95,1)</f>
        <v>0.876267282842537</v>
      </c>
      <c r="R97" s="32">
        <f>IF(R95&gt;0,R96/R95,1)</f>
        <v>0.8752214452264689</v>
      </c>
      <c r="S97" s="32">
        <f>IF(S95&gt;0,S96/S95,1)</f>
        <v>0.8741756076104008</v>
      </c>
      <c r="T97" s="32">
        <f>IF(T95&gt;0,T96/T95,1)</f>
        <v>0.8731297699943328</v>
      </c>
      <c r="U97" s="32">
        <f>IF(U95&gt;0,U96/U95,1)</f>
        <v>0.8720839323782645</v>
      </c>
      <c r="V97" s="32">
        <f>IF(V95&gt;0,V96/V95,1)</f>
        <v>0.8710380947621964</v>
      </c>
      <c r="W97" s="32">
        <f>IF(W95&gt;0,W96/W95,1)</f>
        <v>0.8699922571461284</v>
      </c>
      <c r="X97" s="32">
        <f>IF(X95&gt;0,X96/X95,1)</f>
        <v>0.8689464195300601</v>
      </c>
      <c r="Y97" s="32">
        <f>IF(Y95&gt;0,Y96/Y95,1)</f>
        <v>0.867900581913992</v>
      </c>
      <c r="Z97" s="32">
        <f>IF(Z95&gt;0,Z96/Z95,1)</f>
        <v>0.8668547442979239</v>
      </c>
      <c r="AA97" s="32">
        <f>IF(AA95&gt;0,AA96/AA95,1)</f>
        <v>0.8658089066818558</v>
      </c>
      <c r="AB97" s="32">
        <f>IF(AB95&gt;0,AB96/AB95,1)</f>
        <v>0.8647630690657877</v>
      </c>
      <c r="AC97" s="32">
        <f>IF(AC95&gt;0,AC96/AC95,1)</f>
        <v>0.8637172314497196</v>
      </c>
    </row>
    <row r="98" spans="1:29" x14ac:dyDescent="0.25">
      <c r="A98" s="33" t="s">
        <v>185</v>
      </c>
      <c r="B98" s="26" t="s">
        <v>182</v>
      </c>
      <c r="C98" s="58">
        <f>SUM(E98:AC98)</f>
        <v>0</v>
      </c>
      <c r="E98" s="59">
        <f>MAX(0,$C$53*E95-E96)</f>
        <v>0</v>
      </c>
      <c r="F98" s="59">
        <f>MAX(0,$C$53*F95-F96)</f>
        <v>0</v>
      </c>
      <c r="G98" s="59">
        <f>MAX(0,$C$53*G95-G96)</f>
        <v>0</v>
      </c>
      <c r="H98" s="59">
        <f>MAX(0,$C$53*H95-H96)</f>
        <v>0</v>
      </c>
      <c r="I98" s="59">
        <f>MAX(0,$C$53*I95-I96)</f>
        <v>0</v>
      </c>
      <c r="J98" s="59">
        <f>MAX(0,$C$53*J95-J96)</f>
        <v>0</v>
      </c>
      <c r="K98" s="59">
        <f>MAX(0,$C$53*K95-K96)</f>
        <v>0</v>
      </c>
      <c r="L98" s="59">
        <f>MAX(0,$C$53*L95-L96)</f>
        <v>0</v>
      </c>
      <c r="M98" s="59">
        <f>MAX(0,$C$53*M95-M96)</f>
        <v>0</v>
      </c>
      <c r="N98" s="59">
        <f>MAX(0,$C$53*N95-N96)</f>
        <v>0</v>
      </c>
      <c r="O98" s="59">
        <f>MAX(0,$C$53*O95-O96)</f>
        <v>0</v>
      </c>
      <c r="P98" s="59">
        <f>MAX(0,$C$53*P95-P96)</f>
        <v>0</v>
      </c>
      <c r="Q98" s="59">
        <f>MAX(0,$C$53*Q95-Q96)</f>
        <v>0</v>
      </c>
      <c r="R98" s="59">
        <f>MAX(0,$C$53*R95-R96)</f>
        <v>0</v>
      </c>
      <c r="S98" s="59">
        <f>MAX(0,$C$53*S95-S96)</f>
        <v>0</v>
      </c>
      <c r="T98" s="59">
        <f>MAX(0,$C$53*T95-T96)</f>
        <v>0</v>
      </c>
      <c r="U98" s="59">
        <f>MAX(0,$C$53*U95-U96)</f>
        <v>0</v>
      </c>
      <c r="V98" s="59">
        <f>MAX(0,$C$53*V95-V96)</f>
        <v>0</v>
      </c>
      <c r="W98" s="59">
        <f>MAX(0,$C$53*W95-W96)</f>
        <v>0</v>
      </c>
      <c r="X98" s="59">
        <f>MAX(0,$C$53*X95-X96)</f>
        <v>0</v>
      </c>
      <c r="Y98" s="59">
        <f>MAX(0,$C$53*Y95-Y96)</f>
        <v>0</v>
      </c>
      <c r="Z98" s="59">
        <f>MAX(0,$C$53*Z95-Z96)</f>
        <v>0</v>
      </c>
      <c r="AA98" s="59">
        <f>MAX(0,$C$53*AA95-AA96)</f>
        <v>0</v>
      </c>
      <c r="AB98" s="59">
        <f>MAX(0,$C$53*AB95-AB96)</f>
        <v>0</v>
      </c>
      <c r="AC98" s="59">
        <f>MAX(0,$C$53*AC95-AC96)</f>
        <v>0</v>
      </c>
    </row>
    <row r="99" spans="1:29" x14ac:dyDescent="0.25">
      <c r="A99" s="33" t="s">
        <v>186</v>
      </c>
      <c r="B99" s="26" t="s">
        <v>182</v>
      </c>
      <c r="C99" s="58">
        <f>SUM(E99:AC99)</f>
        <v>6438.987159393229</v>
      </c>
      <c r="E99" s="51">
        <v>240.6471716654931</v>
      </c>
      <c r="F99" s="51">
        <v>242.05653122467945</v>
      </c>
      <c r="G99" s="51">
        <v>243.46589078386577</v>
      </c>
      <c r="H99" s="51">
        <v>244.8752503430521</v>
      </c>
      <c r="I99" s="51">
        <v>246.28460990223846</v>
      </c>
      <c r="J99" s="51">
        <v>247.69396946142476</v>
      </c>
      <c r="K99" s="51">
        <v>249.1033290206111</v>
      </c>
      <c r="L99" s="51">
        <v>250.51268857979744</v>
      </c>
      <c r="M99" s="51">
        <v>251.9220481389838</v>
      </c>
      <c r="N99" s="51">
        <v>253.33140769817012</v>
      </c>
      <c r="O99" s="51">
        <v>254.74076725735645</v>
      </c>
      <c r="P99" s="51">
        <v>256.15012681654287</v>
      </c>
      <c r="Q99" s="51">
        <v>257.55948637572914</v>
      </c>
      <c r="R99" s="51">
        <v>258.9688459349155</v>
      </c>
      <c r="S99" s="51">
        <v>260.37820549410185</v>
      </c>
      <c r="T99" s="51">
        <v>261.7875650532882</v>
      </c>
      <c r="U99" s="51">
        <v>263.1969246124745</v>
      </c>
      <c r="V99" s="51">
        <v>264.60628417166083</v>
      </c>
      <c r="W99" s="51">
        <v>266.0156437308472</v>
      </c>
      <c r="X99" s="51">
        <v>267.42500329003354</v>
      </c>
      <c r="Y99" s="51">
        <v>268.8343628492199</v>
      </c>
      <c r="Z99" s="51">
        <v>270.2437224084062</v>
      </c>
      <c r="AA99" s="51">
        <v>271.6530819675926</v>
      </c>
      <c r="AB99" s="51">
        <v>273.0624415267789</v>
      </c>
      <c r="AC99" s="51">
        <v>274.47180108596524</v>
      </c>
    </row>
    <row r="100" spans="1:29" x14ac:dyDescent="0.25">
      <c r="A100" s="33" t="s">
        <v>187</v>
      </c>
      <c r="B100" s="26" t="s">
        <v>182</v>
      </c>
      <c r="C100" s="58">
        <f>SUM(E100:AC100)</f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</row>
    <row r="101" spans="1:29" x14ac:dyDescent="0.25">
      <c r="A101" s="33" t="s">
        <v>135</v>
      </c>
      <c r="B101" s="26" t="s">
        <v>82</v>
      </c>
      <c r="E101" s="29">
        <f>$C$52</f>
        <v>0</v>
      </c>
      <c r="F101" s="29">
        <f>$C$52</f>
        <v>0</v>
      </c>
      <c r="G101" s="29">
        <f>$C$52</f>
        <v>0</v>
      </c>
      <c r="H101" s="29">
        <f>$C$52</f>
        <v>0</v>
      </c>
      <c r="I101" s="29">
        <f>$C$52</f>
        <v>0</v>
      </c>
      <c r="J101" s="29">
        <f>$C$52</f>
        <v>0</v>
      </c>
      <c r="K101" s="29">
        <f>$C$52</f>
        <v>0</v>
      </c>
      <c r="L101" s="29">
        <f>$C$52</f>
        <v>0</v>
      </c>
      <c r="M101" s="29">
        <f>$C$52</f>
        <v>0</v>
      </c>
      <c r="N101" s="29">
        <f>$C$52</f>
        <v>0</v>
      </c>
      <c r="O101" s="29">
        <f>$C$52</f>
        <v>0</v>
      </c>
      <c r="P101" s="29">
        <f>$C$52</f>
        <v>0</v>
      </c>
      <c r="Q101" s="29">
        <f>$C$52</f>
        <v>0</v>
      </c>
      <c r="R101" s="29">
        <f>$C$52</f>
        <v>0</v>
      </c>
      <c r="S101" s="29">
        <f>$C$52</f>
        <v>0</v>
      </c>
      <c r="T101" s="29">
        <f>$C$52</f>
        <v>0</v>
      </c>
      <c r="U101" s="29">
        <f>$C$52</f>
        <v>0</v>
      </c>
      <c r="V101" s="29">
        <f>$C$52</f>
        <v>0</v>
      </c>
      <c r="W101" s="29">
        <f>$C$52</f>
        <v>0</v>
      </c>
      <c r="X101" s="29">
        <f>$C$52</f>
        <v>0</v>
      </c>
      <c r="Y101" s="29">
        <f>$C$52</f>
        <v>0</v>
      </c>
      <c r="Z101" s="29">
        <f>$C$52</f>
        <v>0</v>
      </c>
      <c r="AA101" s="29">
        <f>$C$52</f>
        <v>0</v>
      </c>
      <c r="AB101" s="29">
        <f>$C$52</f>
        <v>0</v>
      </c>
      <c r="AC101" s="29">
        <f>$C$52</f>
        <v>0</v>
      </c>
    </row>
    <row r="103" ht="20" customHeight="1" spans="1:29" x14ac:dyDescent="0.25">
      <c r="A103" s="21" t="s">
        <v>188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x14ac:dyDescent="0.25">
      <c r="A104" s="33" t="s">
        <v>100</v>
      </c>
      <c r="B104" s="26" t="s">
        <v>88</v>
      </c>
      <c r="E104" s="60">
        <f>(1+$C$30)^(E$5-1)</f>
        <v>1</v>
      </c>
      <c r="F104" s="60">
        <f>(1+$C$30)^(F$5-1)</f>
        <v>1</v>
      </c>
      <c r="G104" s="60">
        <f>(1+$C$30)^(G$5-1)</f>
        <v>1</v>
      </c>
      <c r="H104" s="60">
        <f>(1+$C$30)^(H$5-1)</f>
        <v>1</v>
      </c>
      <c r="I104" s="60">
        <f>(1+$C$30)^(I$5-1)</f>
        <v>1</v>
      </c>
      <c r="J104" s="60">
        <f>(1+$C$30)^(J$5-1)</f>
        <v>1</v>
      </c>
      <c r="K104" s="60">
        <f>(1+$C$30)^(K$5-1)</f>
        <v>1</v>
      </c>
      <c r="L104" s="60">
        <f>(1+$C$30)^(L$5-1)</f>
        <v>1</v>
      </c>
      <c r="M104" s="60">
        <f>(1+$C$30)^(M$5-1)</f>
        <v>1</v>
      </c>
      <c r="N104" s="60">
        <f>(1+$C$30)^(N$5-1)</f>
        <v>1</v>
      </c>
      <c r="O104" s="60">
        <f>(1+$C$30)^(O$5-1)</f>
        <v>1</v>
      </c>
      <c r="P104" s="60">
        <f>(1+$C$30)^(P$5-1)</f>
        <v>1</v>
      </c>
      <c r="Q104" s="60">
        <f>(1+$C$30)^(Q$5-1)</f>
        <v>1</v>
      </c>
      <c r="R104" s="60">
        <f>(1+$C$30)^(R$5-1)</f>
        <v>1</v>
      </c>
      <c r="S104" s="60">
        <f>(1+$C$30)^(S$5-1)</f>
        <v>1</v>
      </c>
      <c r="T104" s="60">
        <f>(1+$C$30)^(T$5-1)</f>
        <v>1</v>
      </c>
      <c r="U104" s="60">
        <f>(1+$C$30)^(U$5-1)</f>
        <v>1</v>
      </c>
      <c r="V104" s="60">
        <f>(1+$C$30)^(V$5-1)</f>
        <v>1</v>
      </c>
      <c r="W104" s="60">
        <f>(1+$C$30)^(W$5-1)</f>
        <v>1</v>
      </c>
      <c r="X104" s="60">
        <f>(1+$C$30)^(X$5-1)</f>
        <v>1</v>
      </c>
      <c r="Y104" s="60">
        <f>(1+$C$30)^(Y$5-1)</f>
        <v>1</v>
      </c>
      <c r="Z104" s="60">
        <f>(1+$C$30)^(Z$5-1)</f>
        <v>1</v>
      </c>
      <c r="AA104" s="60">
        <f>(1+$C$30)^(AA$5-1)</f>
        <v>1</v>
      </c>
      <c r="AB104" s="60">
        <f>(1+$C$30)^(AB$5-1)</f>
        <v>1</v>
      </c>
      <c r="AC104" s="60">
        <f>(1+$C$30)^(AC$5-1)</f>
        <v>1</v>
      </c>
    </row>
    <row r="105" spans="1:29" x14ac:dyDescent="0.25">
      <c r="A105" s="33" t="s">
        <v>189</v>
      </c>
      <c r="B105" s="26" t="s">
        <v>88</v>
      </c>
      <c r="E105" s="60">
        <f>(1+$C$47)^(E$5-1)</f>
        <v>1</v>
      </c>
      <c r="F105" s="60">
        <f>(1+$C$47)^(F$5-1)</f>
        <v>1.05</v>
      </c>
      <c r="G105" s="60">
        <f>(1+$C$47)^(G$5-1)</f>
        <v>1.1025</v>
      </c>
      <c r="H105" s="60">
        <f>(1+$C$47)^(H$5-1)</f>
        <v>1.1576250000000001</v>
      </c>
      <c r="I105" s="60">
        <f>(1+$C$47)^(I$5-1)</f>
        <v>1.2155062500000002</v>
      </c>
      <c r="J105" s="60">
        <f>(1+$C$47)^(J$5-1)</f>
        <v>1.2762815625000004</v>
      </c>
      <c r="K105" s="60">
        <f>(1+$C$47)^(K$5-1)</f>
        <v>1.3400956406250004</v>
      </c>
      <c r="L105" s="60">
        <f>(1+$C$47)^(L$5-1)</f>
        <v>1.4071004226562505</v>
      </c>
      <c r="M105" s="60">
        <f>(1+$C$47)^(M$5-1)</f>
        <v>1.477455443789063</v>
      </c>
      <c r="N105" s="60">
        <f>(1+$C$47)^(N$5-1)</f>
        <v>1.5513282159785162</v>
      </c>
      <c r="O105" s="60">
        <f>(1+$C$47)^(O$5-1)</f>
        <v>1.6288946267774422</v>
      </c>
      <c r="P105" s="60">
        <f>(1+$C$47)^(P$5-1)</f>
        <v>1.7103393581163142</v>
      </c>
      <c r="Q105" s="60">
        <f>(1+$C$47)^(Q$5-1)</f>
        <v>1.79585632602213</v>
      </c>
      <c r="R105" s="60">
        <f>(1+$C$47)^(R$5-1)</f>
        <v>1.8856491423232367</v>
      </c>
      <c r="S105" s="60">
        <f>(1+$C$47)^(S$5-1)</f>
        <v>1.9799315994393987</v>
      </c>
      <c r="T105" s="60">
        <f>(1+$C$47)^(T$5-1)</f>
        <v>2.0789281794113688</v>
      </c>
      <c r="U105" s="60">
        <f>(1+$C$47)^(U$5-1)</f>
        <v>2.182874588381937</v>
      </c>
      <c r="V105" s="60">
        <f>(1+$C$47)^(V$5-1)</f>
        <v>2.292018317801034</v>
      </c>
      <c r="W105" s="60">
        <f>(1+$C$47)^(W$5-1)</f>
        <v>2.406619233691086</v>
      </c>
      <c r="X105" s="60">
        <f>(1+$C$47)^(X$5-1)</f>
        <v>2.5269501953756404</v>
      </c>
      <c r="Y105" s="60">
        <f>(1+$C$47)^(Y$5-1)</f>
        <v>2.653297705144422</v>
      </c>
      <c r="Z105" s="60">
        <f>(1+$C$47)^(Z$5-1)</f>
        <v>2.7859625904016436</v>
      </c>
      <c r="AA105" s="60">
        <f>(1+$C$47)^(AA$5-1)</f>
        <v>2.925260719921726</v>
      </c>
      <c r="AB105" s="60">
        <f>(1+$C$47)^(AB$5-1)</f>
        <v>3.0715237559178123</v>
      </c>
      <c r="AC105" s="60">
        <f>(1+$C$47)^(AC$5-1)</f>
        <v>3.225099943713703</v>
      </c>
    </row>
    <row r="106" spans="1:29" x14ac:dyDescent="0.25">
      <c r="A106" s="33" t="s">
        <v>190</v>
      </c>
      <c r="B106" s="26" t="s">
        <v>88</v>
      </c>
      <c r="E106" s="60">
        <f>(1-$C$60)^(E$5-1)</f>
        <v>1</v>
      </c>
      <c r="F106" s="60">
        <f>(1-$C$60)^(F$5-1)</f>
        <v>1</v>
      </c>
      <c r="G106" s="60">
        <f>(1-$C$60)^(G$5-1)</f>
        <v>1</v>
      </c>
      <c r="H106" s="60">
        <f>(1-$C$60)^(H$5-1)</f>
        <v>1</v>
      </c>
      <c r="I106" s="60">
        <f>(1-$C$60)^(I$5-1)</f>
        <v>1</v>
      </c>
      <c r="J106" s="60">
        <f>(1-$C$60)^(J$5-1)</f>
        <v>1</v>
      </c>
      <c r="K106" s="60">
        <f>(1-$C$60)^(K$5-1)</f>
        <v>1</v>
      </c>
      <c r="L106" s="60">
        <f>(1-$C$60)^(L$5-1)</f>
        <v>1</v>
      </c>
      <c r="M106" s="60">
        <f>(1-$C$60)^(M$5-1)</f>
        <v>1</v>
      </c>
      <c r="N106" s="60">
        <f>(1-$C$60)^(N$5-1)</f>
        <v>1</v>
      </c>
      <c r="O106" s="60">
        <f>(1-$C$60)^(O$5-1)</f>
        <v>1</v>
      </c>
      <c r="P106" s="60">
        <f>(1-$C$60)^(P$5-1)</f>
        <v>1</v>
      </c>
      <c r="Q106" s="60">
        <f>(1-$C$60)^(Q$5-1)</f>
        <v>1</v>
      </c>
      <c r="R106" s="60">
        <f>(1-$C$60)^(R$5-1)</f>
        <v>1</v>
      </c>
      <c r="S106" s="60">
        <f>(1-$C$60)^(S$5-1)</f>
        <v>1</v>
      </c>
      <c r="T106" s="60">
        <f>(1-$C$60)^(T$5-1)</f>
        <v>1</v>
      </c>
      <c r="U106" s="60">
        <f>(1-$C$60)^(U$5-1)</f>
        <v>1</v>
      </c>
      <c r="V106" s="60">
        <f>(1-$C$60)^(V$5-1)</f>
        <v>1</v>
      </c>
      <c r="W106" s="60">
        <f>(1-$C$60)^(W$5-1)</f>
        <v>1</v>
      </c>
      <c r="X106" s="60">
        <f>(1-$C$60)^(X$5-1)</f>
        <v>1</v>
      </c>
      <c r="Y106" s="60">
        <f>(1-$C$60)^(Y$5-1)</f>
        <v>1</v>
      </c>
      <c r="Z106" s="60">
        <f>(1-$C$60)^(Z$5-1)</f>
        <v>1</v>
      </c>
      <c r="AA106" s="60">
        <f>(1-$C$60)^(AA$5-1)</f>
        <v>1</v>
      </c>
      <c r="AB106" s="60">
        <f>(1-$C$60)^(AB$5-1)</f>
        <v>1</v>
      </c>
      <c r="AC106" s="60">
        <f>(1-$C$60)^(AC$5-1)</f>
        <v>1</v>
      </c>
    </row>
    <row r="107" spans="1:29" x14ac:dyDescent="0.25">
      <c r="A107" s="33" t="s">
        <v>191</v>
      </c>
      <c r="B107" s="26" t="s">
        <v>88</v>
      </c>
      <c r="E107" s="60">
        <f>1/(1+$C$67)^E$5</f>
        <v>0.9090909090909091</v>
      </c>
      <c r="F107" s="60">
        <f>1/(1+$C$67)^F$5</f>
        <v>0.8264462809917354</v>
      </c>
      <c r="G107" s="60">
        <f>1/(1+$C$67)^G$5</f>
        <v>0.7513148009015775</v>
      </c>
      <c r="H107" s="60">
        <f>1/(1+$C$67)^H$5</f>
        <v>0.6830134553650704</v>
      </c>
      <c r="I107" s="60">
        <f>1/(1+$C$67)^I$5</f>
        <v>0.6209213230591549</v>
      </c>
      <c r="J107" s="60">
        <f>1/(1+$C$67)^J$5</f>
        <v>0.5644739300537772</v>
      </c>
      <c r="K107" s="60">
        <f>1/(1+$C$67)^K$5</f>
        <v>0.5131581182307065</v>
      </c>
      <c r="L107" s="60">
        <f>1/(1+$C$67)^L$5</f>
        <v>0.4665073802097331</v>
      </c>
      <c r="M107" s="60">
        <f>1/(1+$C$67)^M$5</f>
        <v>0.42409761837248455</v>
      </c>
      <c r="N107" s="60">
        <f>1/(1+$C$67)^N$5</f>
        <v>0.3855432894295314</v>
      </c>
      <c r="O107" s="60">
        <f>1/(1+$C$67)^O$5</f>
        <v>0.3504938994813922</v>
      </c>
      <c r="P107" s="60">
        <f>1/(1+$C$67)^P$5</f>
        <v>0.3186308177103565</v>
      </c>
      <c r="Q107" s="60">
        <f>1/(1+$C$67)^Q$5</f>
        <v>0.2896643797366877</v>
      </c>
      <c r="R107" s="60">
        <f>1/(1+$C$67)^R$5</f>
        <v>0.26333125430607973</v>
      </c>
      <c r="S107" s="60">
        <f>1/(1+$C$67)^S$5</f>
        <v>0.23939204936916333</v>
      </c>
      <c r="T107" s="60">
        <f>1/(1+$C$67)^T$5</f>
        <v>0.2176291357901485</v>
      </c>
      <c r="U107" s="60">
        <f>1/(1+$C$67)^U$5</f>
        <v>0.19784466890013497</v>
      </c>
      <c r="V107" s="60">
        <f>1/(1+$C$67)^V$5</f>
        <v>0.17985878990921358</v>
      </c>
      <c r="W107" s="60">
        <f>1/(1+$C$67)^W$5</f>
        <v>0.16350799082655781</v>
      </c>
      <c r="X107" s="60">
        <f>1/(1+$C$67)^X$5</f>
        <v>0.14864362802414344</v>
      </c>
      <c r="Y107" s="60">
        <f>1/(1+$C$67)^Y$5</f>
        <v>0.13513057093103947</v>
      </c>
      <c r="Z107" s="60">
        <f>1/(1+$C$67)^Z$5</f>
        <v>0.12284597357367225</v>
      </c>
      <c r="AA107" s="60">
        <f>1/(1+$C$67)^AA$5</f>
        <v>0.11167815779424749</v>
      </c>
      <c r="AB107" s="60">
        <f>1/(1+$C$67)^AB$5</f>
        <v>0.10152559799477044</v>
      </c>
      <c r="AC107" s="60">
        <f>1/(1+$C$67)^AC$5</f>
        <v>0.09229599817706403</v>
      </c>
    </row>
    <row r="109" ht="20" customHeight="1" spans="1:29" x14ac:dyDescent="0.25">
      <c r="A109" s="21" t="s">
        <v>192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x14ac:dyDescent="0.25">
      <c r="A110" s="33" t="s">
        <v>100</v>
      </c>
      <c r="B110" s="26" t="s">
        <v>82</v>
      </c>
      <c r="E110" s="29">
        <f>$C$29*E104</f>
        <v>7.043367848320873</v>
      </c>
      <c r="F110" s="29">
        <f>$C$29*F104</f>
        <v>7.043367848320873</v>
      </c>
      <c r="G110" s="29">
        <f>$C$29*G104</f>
        <v>7.043367848320873</v>
      </c>
      <c r="H110" s="29">
        <f>$C$29*H104</f>
        <v>7.043367848320873</v>
      </c>
      <c r="I110" s="29">
        <f>$C$29*I104</f>
        <v>7.043367848320873</v>
      </c>
      <c r="J110" s="29">
        <f>$C$29*J104</f>
        <v>7.043367848320873</v>
      </c>
      <c r="K110" s="29">
        <f>$C$29*K104</f>
        <v>7.043367848320873</v>
      </c>
      <c r="L110" s="29">
        <f>$C$29*L104</f>
        <v>7.043367848320873</v>
      </c>
      <c r="M110" s="29">
        <f>$C$29*M104</f>
        <v>7.043367848320873</v>
      </c>
      <c r="N110" s="29">
        <f>$C$29*N104</f>
        <v>7.043367848320873</v>
      </c>
      <c r="O110" s="29">
        <f>$C$29*O104</f>
        <v>7.043367848320873</v>
      </c>
      <c r="P110" s="29">
        <f>$C$29*P104</f>
        <v>7.043367848320873</v>
      </c>
      <c r="Q110" s="29">
        <f>$C$29*Q104</f>
        <v>7.043367848320873</v>
      </c>
      <c r="R110" s="29">
        <f>$C$29*R104</f>
        <v>7.043367848320873</v>
      </c>
      <c r="S110" s="29">
        <f>$C$29*S104</f>
        <v>7.043367848320873</v>
      </c>
      <c r="T110" s="29">
        <f>$C$29*T104</f>
        <v>7.043367848320873</v>
      </c>
      <c r="U110" s="29">
        <f>$C$29*U104</f>
        <v>7.043367848320873</v>
      </c>
      <c r="V110" s="29">
        <f>$C$29*V104</f>
        <v>7.043367848320873</v>
      </c>
      <c r="W110" s="29">
        <f>$C$29*W104</f>
        <v>7.043367848320873</v>
      </c>
      <c r="X110" s="29">
        <f>$C$29*X104</f>
        <v>7.043367848320873</v>
      </c>
      <c r="Y110" s="29">
        <f>$C$29*Y104</f>
        <v>7.043367848320873</v>
      </c>
      <c r="Z110" s="29">
        <f>$C$29*Z104</f>
        <v>7.043367848320873</v>
      </c>
      <c r="AA110" s="29">
        <f>$C$29*AA104</f>
        <v>7.043367848320873</v>
      </c>
      <c r="AB110" s="29">
        <f>$C$29*AB104</f>
        <v>7.043367848320873</v>
      </c>
      <c r="AC110" s="29">
        <f>$C$29*AC104</f>
        <v>7.043367848320873</v>
      </c>
    </row>
    <row r="111" spans="1:29" x14ac:dyDescent="0.25">
      <c r="A111" s="33" t="s">
        <v>193</v>
      </c>
      <c r="B111" s="26" t="s">
        <v>86</v>
      </c>
      <c r="C111" s="57">
        <f>SUM(E111:AC111)</f>
        <v>67582.00723126937</v>
      </c>
      <c r="E111" s="37">
        <f>E96*E110/10</f>
        <v>2741.9971365228007</v>
      </c>
      <c r="F111" s="37">
        <f>F96*F110/10</f>
        <v>2738.7707325834654</v>
      </c>
      <c r="G111" s="37">
        <f>G96*G110/10</f>
        <v>2735.5443286441296</v>
      </c>
      <c r="H111" s="37">
        <f>H96*H110/10</f>
        <v>2732.3179247047947</v>
      </c>
      <c r="I111" s="37">
        <f>I96*I110/10</f>
        <v>2729.091520765459</v>
      </c>
      <c r="J111" s="37">
        <f>J96*J110/10</f>
        <v>2725.865116826123</v>
      </c>
      <c r="K111" s="37">
        <f>K96*K110/10</f>
        <v>2722.6387128867877</v>
      </c>
      <c r="L111" s="37">
        <f>L96*L110/10</f>
        <v>2719.412308947452</v>
      </c>
      <c r="M111" s="37">
        <f>M96*M110/10</f>
        <v>2716.185905008117</v>
      </c>
      <c r="N111" s="37">
        <f>N96*N110/10</f>
        <v>2712.959501068781</v>
      </c>
      <c r="O111" s="37">
        <f>O96*O110/10</f>
        <v>2709.7330971294455</v>
      </c>
      <c r="P111" s="37">
        <f>P96*P110/10</f>
        <v>2706.50669319011</v>
      </c>
      <c r="Q111" s="37">
        <f>Q96*Q110/10</f>
        <v>2703.2802892507743</v>
      </c>
      <c r="R111" s="37">
        <f>R96*R110/10</f>
        <v>2700.053885311439</v>
      </c>
      <c r="S111" s="37">
        <f>S96*S110/10</f>
        <v>2696.8274813721036</v>
      </c>
      <c r="T111" s="37">
        <f>T96*T110/10</f>
        <v>2693.6010774327688</v>
      </c>
      <c r="U111" s="37">
        <f>U96*U110/10</f>
        <v>2690.374673493433</v>
      </c>
      <c r="V111" s="37">
        <f>V96*V110/10</f>
        <v>2687.148269554097</v>
      </c>
      <c r="W111" s="37">
        <f>W96*W110/10</f>
        <v>2683.921865614762</v>
      </c>
      <c r="X111" s="37">
        <f>X96*X110/10</f>
        <v>2680.695461675426</v>
      </c>
      <c r="Y111" s="37">
        <f>Y96*Y110/10</f>
        <v>2677.4690577360907</v>
      </c>
      <c r="Z111" s="37">
        <f>Z96*Z110/10</f>
        <v>2674.242653796755</v>
      </c>
      <c r="AA111" s="37">
        <f>AA96*AA110/10</f>
        <v>2671.01624985742</v>
      </c>
      <c r="AB111" s="37">
        <f>AB96*AB110/10</f>
        <v>2667.789845918084</v>
      </c>
      <c r="AC111" s="37">
        <f>AC96*AC110/10</f>
        <v>2664.5634419787484</v>
      </c>
    </row>
    <row r="112" spans="1:29" x14ac:dyDescent="0.25">
      <c r="A112" s="33" t="s">
        <v>194</v>
      </c>
      <c r="B112" s="26" t="s">
        <v>86</v>
      </c>
      <c r="C112" s="57">
        <f>SUM(E112:AC112)</f>
        <v>0</v>
      </c>
      <c r="E112" s="37">
        <f>IF($C$51="Yes",E100*E101/10,0)</f>
        <v>0</v>
      </c>
      <c r="F112" s="37">
        <f>IF($C$51="Yes",F100*F101/10,0)</f>
        <v>0</v>
      </c>
      <c r="G112" s="37">
        <f>IF($C$51="Yes",G100*G101/10,0)</f>
        <v>0</v>
      </c>
      <c r="H112" s="37">
        <f>IF($C$51="Yes",H100*H101/10,0)</f>
        <v>0</v>
      </c>
      <c r="I112" s="37">
        <f>IF($C$51="Yes",I100*I101/10,0)</f>
        <v>0</v>
      </c>
      <c r="J112" s="37">
        <f>IF($C$51="Yes",J100*J101/10,0)</f>
        <v>0</v>
      </c>
      <c r="K112" s="37">
        <f>IF($C$51="Yes",K100*K101/10,0)</f>
        <v>0</v>
      </c>
      <c r="L112" s="37">
        <f>IF($C$51="Yes",L100*L101/10,0)</f>
        <v>0</v>
      </c>
      <c r="M112" s="37">
        <f>IF($C$51="Yes",M100*M101/10,0)</f>
        <v>0</v>
      </c>
      <c r="N112" s="37">
        <f>IF($C$51="Yes",N100*N101/10,0)</f>
        <v>0</v>
      </c>
      <c r="O112" s="37">
        <f>IF($C$51="Yes",O100*O101/10,0)</f>
        <v>0</v>
      </c>
      <c r="P112" s="37">
        <f>IF($C$51="Yes",P100*P101/10,0)</f>
        <v>0</v>
      </c>
      <c r="Q112" s="37">
        <f>IF($C$51="Yes",Q100*Q101/10,0)</f>
        <v>0</v>
      </c>
      <c r="R112" s="37">
        <f>IF($C$51="Yes",R100*R101/10,0)</f>
        <v>0</v>
      </c>
      <c r="S112" s="37">
        <f>IF($C$51="Yes",S100*S101/10,0)</f>
        <v>0</v>
      </c>
      <c r="T112" s="37">
        <f>IF($C$51="Yes",T100*T101/10,0)</f>
        <v>0</v>
      </c>
      <c r="U112" s="37">
        <f>IF($C$51="Yes",U100*U101/10,0)</f>
        <v>0</v>
      </c>
      <c r="V112" s="37">
        <f>IF($C$51="Yes",V100*V101/10,0)</f>
        <v>0</v>
      </c>
      <c r="W112" s="37">
        <f>IF($C$51="Yes",W100*W101/10,0)</f>
        <v>0</v>
      </c>
      <c r="X112" s="37">
        <f>IF($C$51="Yes",X100*X101/10,0)</f>
        <v>0</v>
      </c>
      <c r="Y112" s="37">
        <f>IF($C$51="Yes",Y100*Y101/10,0)</f>
        <v>0</v>
      </c>
      <c r="Z112" s="37">
        <f>IF($C$51="Yes",Z100*Z101/10,0)</f>
        <v>0</v>
      </c>
      <c r="AA112" s="37">
        <f>IF($C$51="Yes",AA100*AA101/10,0)</f>
        <v>0</v>
      </c>
      <c r="AB112" s="37">
        <f>IF($C$51="Yes",AB100*AB101/10,0)</f>
        <v>0</v>
      </c>
      <c r="AC112" s="37">
        <f>IF($C$51="Yes",AC100*AC101/10,0)</f>
        <v>0</v>
      </c>
    </row>
    <row r="113" spans="1:29" x14ac:dyDescent="0.25">
      <c r="A113" s="33" t="s">
        <v>139</v>
      </c>
      <c r="B113" s="26" t="s">
        <v>86</v>
      </c>
      <c r="C113" s="57">
        <f>SUM(E113:AC113)</f>
        <v>0</v>
      </c>
      <c r="E113" s="37">
        <f>E98*$C$54/10</f>
        <v>0</v>
      </c>
      <c r="F113" s="37">
        <f>F98*$C$54/10</f>
        <v>0</v>
      </c>
      <c r="G113" s="37">
        <f>G98*$C$54/10</f>
        <v>0</v>
      </c>
      <c r="H113" s="37">
        <f>H98*$C$54/10</f>
        <v>0</v>
      </c>
      <c r="I113" s="37">
        <f>I98*$C$54/10</f>
        <v>0</v>
      </c>
      <c r="J113" s="37">
        <f>J98*$C$54/10</f>
        <v>0</v>
      </c>
      <c r="K113" s="37">
        <f>K98*$C$54/10</f>
        <v>0</v>
      </c>
      <c r="L113" s="37">
        <f>L98*$C$54/10</f>
        <v>0</v>
      </c>
      <c r="M113" s="37">
        <f>M98*$C$54/10</f>
        <v>0</v>
      </c>
      <c r="N113" s="37">
        <f>N98*$C$54/10</f>
        <v>0</v>
      </c>
      <c r="O113" s="37">
        <f>O98*$C$54/10</f>
        <v>0</v>
      </c>
      <c r="P113" s="37">
        <f>P98*$C$54/10</f>
        <v>0</v>
      </c>
      <c r="Q113" s="37">
        <f>Q98*$C$54/10</f>
        <v>0</v>
      </c>
      <c r="R113" s="37">
        <f>R98*$C$54/10</f>
        <v>0</v>
      </c>
      <c r="S113" s="37">
        <f>S98*$C$54/10</f>
        <v>0</v>
      </c>
      <c r="T113" s="37">
        <f>T98*$C$54/10</f>
        <v>0</v>
      </c>
      <c r="U113" s="37">
        <f>U98*$C$54/10</f>
        <v>0</v>
      </c>
      <c r="V113" s="37">
        <f>V98*$C$54/10</f>
        <v>0</v>
      </c>
      <c r="W113" s="37">
        <f>W98*$C$54/10</f>
        <v>0</v>
      </c>
      <c r="X113" s="37">
        <f>X98*$C$54/10</f>
        <v>0</v>
      </c>
      <c r="Y113" s="37">
        <f>Y98*$C$54/10</f>
        <v>0</v>
      </c>
      <c r="Z113" s="37">
        <f>Z98*$C$54/10</f>
        <v>0</v>
      </c>
      <c r="AA113" s="37">
        <f>AA98*$C$54/10</f>
        <v>0</v>
      </c>
      <c r="AB113" s="37">
        <f>AB98*$C$54/10</f>
        <v>0</v>
      </c>
      <c r="AC113" s="37">
        <f>AC98*$C$54/10</f>
        <v>0</v>
      </c>
    </row>
    <row r="114" spans="1:29" x14ac:dyDescent="0.25">
      <c r="A114" s="33" t="s">
        <v>141</v>
      </c>
      <c r="B114" s="26" t="s">
        <v>86</v>
      </c>
      <c r="C114" s="57">
        <f>SUM(E114:AC114)</f>
        <v>6802.823270133183</v>
      </c>
      <c r="E114" s="37">
        <f>E99*$C$55*E110/10</f>
        <v>254.2449827547132</v>
      </c>
      <c r="F114" s="37">
        <f>F99*$C$55*F110/10</f>
        <v>255.7339784255977</v>
      </c>
      <c r="G114" s="37">
        <f>G99*$C$55*G110/10</f>
        <v>257.2229740964822</v>
      </c>
      <c r="H114" s="37">
        <f>H99*$C$55*H110/10</f>
        <v>258.71196976736667</v>
      </c>
      <c r="I114" s="37">
        <f>I99*$C$55*I110/10</f>
        <v>260.2009654382513</v>
      </c>
      <c r="J114" s="37">
        <f>J99*$C$55*J110/10</f>
        <v>261.68996110913565</v>
      </c>
      <c r="K114" s="37">
        <f>K99*$C$55*K110/10</f>
        <v>263.17895678002026</v>
      </c>
      <c r="L114" s="37">
        <f>L99*$C$55*L110/10</f>
        <v>264.6679524509047</v>
      </c>
      <c r="M114" s="37">
        <f>M99*$C$55*M110/10</f>
        <v>266.15694812178924</v>
      </c>
      <c r="N114" s="37">
        <f>N99*$C$55*N110/10</f>
        <v>267.6459437926738</v>
      </c>
      <c r="O114" s="37">
        <f>O99*$C$55*O110/10</f>
        <v>269.1349394635582</v>
      </c>
      <c r="P114" s="37">
        <f>P99*$C$55*P110/10</f>
        <v>270.62393513444283</v>
      </c>
      <c r="Q114" s="37">
        <f>Q99*$C$55*Q110/10</f>
        <v>272.11293080532727</v>
      </c>
      <c r="R114" s="37">
        <f>R99*$C$55*R110/10</f>
        <v>273.6019264762118</v>
      </c>
      <c r="S114" s="37">
        <f>S99*$C$55*S110/10</f>
        <v>275.09092214709636</v>
      </c>
      <c r="T114" s="37">
        <f>T99*$C$55*T110/10</f>
        <v>276.5799178179808</v>
      </c>
      <c r="U114" s="37">
        <f>U99*$C$55*U110/10</f>
        <v>278.06891348886535</v>
      </c>
      <c r="V114" s="37">
        <f>V99*$C$55*V110/10</f>
        <v>279.55790915974984</v>
      </c>
      <c r="W114" s="37">
        <f>W99*$C$55*W110/10</f>
        <v>281.0469048306344</v>
      </c>
      <c r="X114" s="37">
        <f>X99*$C$55*X110/10</f>
        <v>282.5359005015189</v>
      </c>
      <c r="Y114" s="37">
        <f>Y99*$C$55*Y110/10</f>
        <v>284.0248961724034</v>
      </c>
      <c r="Z114" s="37">
        <f>Z99*$C$55*Z110/10</f>
        <v>285.51389184328787</v>
      </c>
      <c r="AA114" s="37">
        <f>AA99*$C$55*AA110/10</f>
        <v>287.00288751417247</v>
      </c>
      <c r="AB114" s="37">
        <f>AB99*$C$55*AB110/10</f>
        <v>288.49188318505696</v>
      </c>
      <c r="AC114" s="37">
        <f>AC99*$C$55*AC110/10</f>
        <v>289.98087885594146</v>
      </c>
    </row>
    <row r="115" spans="1:29" x14ac:dyDescent="0.25">
      <c r="A115" s="61" t="s">
        <v>195</v>
      </c>
      <c r="B115" s="62" t="s">
        <v>86</v>
      </c>
      <c r="C115" s="63">
        <f>SUM(E115:AC115)</f>
        <v>60779.18396113619</v>
      </c>
      <c r="D115" s="64"/>
      <c r="E115" s="63">
        <f>E111+E112-E113-E114</f>
        <v>2487.7521537680877</v>
      </c>
      <c r="F115" s="63">
        <f>F111+F112-F113-F114</f>
        <v>2483.0367541578676</v>
      </c>
      <c r="G115" s="63">
        <f>G111+G112-G113-G114</f>
        <v>2478.3213545476474</v>
      </c>
      <c r="H115" s="63">
        <f>H111+H112-H113-H114</f>
        <v>2473.605954937428</v>
      </c>
      <c r="I115" s="63">
        <f>I111+I112-I113-I114</f>
        <v>2468.8905553272075</v>
      </c>
      <c r="J115" s="63">
        <f>J111+J112-J113-J114</f>
        <v>2464.1751557169873</v>
      </c>
      <c r="K115" s="63">
        <f>K111+K112-K113-K114</f>
        <v>2459.4597561067676</v>
      </c>
      <c r="L115" s="63">
        <f>L111+L112-L113-L114</f>
        <v>2454.7443564965474</v>
      </c>
      <c r="M115" s="63">
        <f>M111+M112-M113-M114</f>
        <v>2450.0289568863277</v>
      </c>
      <c r="N115" s="63">
        <f>N111+N112-N113-N114</f>
        <v>2445.313557276107</v>
      </c>
      <c r="O115" s="63">
        <f>O111+O112-O113-O114</f>
        <v>2440.5981576658874</v>
      </c>
      <c r="P115" s="63">
        <f>P111+P112-P113-P114</f>
        <v>2435.882758055667</v>
      </c>
      <c r="Q115" s="63">
        <f>Q111+Q112-Q113-Q114</f>
        <v>2431.167358445447</v>
      </c>
      <c r="R115" s="63">
        <f>R111+R112-R113-R114</f>
        <v>2426.4519588352273</v>
      </c>
      <c r="S115" s="63">
        <f>S111+S112-S113-S114</f>
        <v>2421.736559225007</v>
      </c>
      <c r="T115" s="63">
        <f>T111+T112-T113-T114</f>
        <v>2417.021159614788</v>
      </c>
      <c r="U115" s="63">
        <f>U111+U112-U113-U114</f>
        <v>2412.3057600045677</v>
      </c>
      <c r="V115" s="63">
        <f>V111+V112-V113-V114</f>
        <v>2407.5903603943475</v>
      </c>
      <c r="W115" s="63">
        <f>W111+W112-W113-W114</f>
        <v>2402.8749607841273</v>
      </c>
      <c r="X115" s="63">
        <f>X111+X112-X113-X114</f>
        <v>2398.159561173907</v>
      </c>
      <c r="Y115" s="63">
        <f>Y111+Y112-Y113-Y114</f>
        <v>2393.4441615636874</v>
      </c>
      <c r="Z115" s="63">
        <f>Z111+Z112-Z113-Z114</f>
        <v>2388.7287619534673</v>
      </c>
      <c r="AA115" s="63">
        <f>AA111+AA112-AA113-AA114</f>
        <v>2384.0133623432475</v>
      </c>
      <c r="AB115" s="63">
        <f>AB111+AB112-AB113-AB114</f>
        <v>2379.2979627330274</v>
      </c>
      <c r="AC115" s="63">
        <f>AC111+AC112-AC113-AC114</f>
        <v>2374.582563122807</v>
      </c>
    </row>
    <row r="117" ht="20" customHeight="1" spans="1:29" x14ac:dyDescent="0.25">
      <c r="A117" s="21" t="s">
        <v>196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x14ac:dyDescent="0.25">
      <c r="A118" s="33" t="s">
        <v>120</v>
      </c>
      <c r="B118" s="26" t="s">
        <v>86</v>
      </c>
      <c r="C118" s="57">
        <f>SUM(E118:AC118)</f>
        <v>2496.676813260483</v>
      </c>
      <c r="E118" s="37">
        <f>$C$32*$C$44/100*E105</f>
        <v>52.311514319816936</v>
      </c>
      <c r="F118" s="37">
        <f>$C$32*$C$44/100*F105</f>
        <v>54.92709003580779</v>
      </c>
      <c r="G118" s="37">
        <f>$C$32*$C$44/100*G105</f>
        <v>57.67344453759817</v>
      </c>
      <c r="H118" s="37">
        <f>$C$32*$C$44/100*H105</f>
        <v>60.55711676447809</v>
      </c>
      <c r="I118" s="37">
        <f>$C$32*$C$44/100*I105</f>
        <v>63.584972602701995</v>
      </c>
      <c r="J118" s="37">
        <f>$C$32*$C$44/100*J105</f>
        <v>66.7642212328371</v>
      </c>
      <c r="K118" s="37">
        <f>$C$32*$C$44/100*K105</f>
        <v>70.10243229447896</v>
      </c>
      <c r="L118" s="37">
        <f>$C$32*$C$44/100*L105</f>
        <v>73.6075539092029</v>
      </c>
      <c r="M118" s="37">
        <f>$C$32*$C$44/100*M105</f>
        <v>77.28793160466306</v>
      </c>
      <c r="N118" s="37">
        <f>$C$32*$C$44/100*N105</f>
        <v>81.1523281848962</v>
      </c>
      <c r="O118" s="37">
        <f>$C$32*$C$44/100*O105</f>
        <v>85.20994459414104</v>
      </c>
      <c r="P118" s="37">
        <f>$C$32*$C$44/100*P105</f>
        <v>89.47044182384808</v>
      </c>
      <c r="Q118" s="37">
        <f>$C$32*$C$44/100*Q105</f>
        <v>93.94396391504048</v>
      </c>
      <c r="R118" s="37">
        <f>$C$32*$C$44/100*R105</f>
        <v>98.64116211079252</v>
      </c>
      <c r="S118" s="37">
        <f>$C$32*$C$44/100*S105</f>
        <v>103.57322021633216</v>
      </c>
      <c r="T118" s="37">
        <f>$C$32*$C$44/100*T105</f>
        <v>108.75188122714877</v>
      </c>
      <c r="U118" s="37">
        <f>$C$32*$C$44/100*U105</f>
        <v>114.18947528850619</v>
      </c>
      <c r="V118" s="37">
        <f>$C$32*$C$44/100*V105</f>
        <v>119.89894905293151</v>
      </c>
      <c r="W118" s="37">
        <f>$C$32*$C$44/100*W105</f>
        <v>125.89389650557811</v>
      </c>
      <c r="X118" s="37">
        <f>$C$32*$C$44/100*X105</f>
        <v>132.188591330857</v>
      </c>
      <c r="Y118" s="37">
        <f>$C$32*$C$44/100*Y105</f>
        <v>138.79802089739985</v>
      </c>
      <c r="Z118" s="37">
        <f>$C$32*$C$44/100*Z105</f>
        <v>145.73792194226988</v>
      </c>
      <c r="AA118" s="37">
        <f>$C$32*$C$44/100*AA105</f>
        <v>153.02481803938338</v>
      </c>
      <c r="AB118" s="37">
        <f>$C$32*$C$44/100*AB105</f>
        <v>160.67605894135255</v>
      </c>
      <c r="AC118" s="37">
        <f>$C$32*$C$44/100*AC105</f>
        <v>168.70986188842016</v>
      </c>
    </row>
    <row r="119" spans="1:29" x14ac:dyDescent="0.25">
      <c r="A119" s="33" t="s">
        <v>122</v>
      </c>
      <c r="B119" s="26" t="s">
        <v>86</v>
      </c>
      <c r="C119" s="57">
        <f>SUM(E119:AC119)</f>
        <v>3145.6166886378</v>
      </c>
      <c r="E119" s="37">
        <f>$C$33*$C$45/100*E105</f>
        <v>65.90839934842755</v>
      </c>
      <c r="F119" s="37">
        <f>$C$33*$C$45/100*F105</f>
        <v>69.20381931584893</v>
      </c>
      <c r="G119" s="37">
        <f>$C$33*$C$45/100*G105</f>
        <v>72.66401028164138</v>
      </c>
      <c r="H119" s="37">
        <f>$C$33*$C$45/100*H105</f>
        <v>76.29721079572346</v>
      </c>
      <c r="I119" s="37">
        <f>$C$33*$C$45/100*I105</f>
        <v>80.11207133550963</v>
      </c>
      <c r="J119" s="37">
        <f>$C$33*$C$45/100*J105</f>
        <v>84.11767490228512</v>
      </c>
      <c r="K119" s="37">
        <f>$C$33*$C$45/100*K105</f>
        <v>88.32355864739938</v>
      </c>
      <c r="L119" s="37">
        <f>$C$33*$C$45/100*L105</f>
        <v>92.73973657976934</v>
      </c>
      <c r="M119" s="37">
        <f>$C$33*$C$45/100*M105</f>
        <v>97.37672340875783</v>
      </c>
      <c r="N119" s="37">
        <f>$C$33*$C$45/100*N105</f>
        <v>102.24555957919571</v>
      </c>
      <c r="O119" s="37">
        <f>$C$33*$C$45/100*O105</f>
        <v>107.35783755815551</v>
      </c>
      <c r="P119" s="37">
        <f>$C$33*$C$45/100*P105</f>
        <v>112.72572943606328</v>
      </c>
      <c r="Q119" s="37">
        <f>$C$33*$C$45/100*Q105</f>
        <v>118.36201590786645</v>
      </c>
      <c r="R119" s="37">
        <f>$C$33*$C$45/100*R105</f>
        <v>124.28011670325978</v>
      </c>
      <c r="S119" s="37">
        <f>$C$33*$C$45/100*S105</f>
        <v>130.49412253842277</v>
      </c>
      <c r="T119" s="37">
        <f>$C$33*$C$45/100*T105</f>
        <v>137.01882866534393</v>
      </c>
      <c r="U119" s="37">
        <f>$C$33*$C$45/100*U105</f>
        <v>143.8697700986111</v>
      </c>
      <c r="V119" s="37">
        <f>$C$33*$C$45/100*V105</f>
        <v>151.0632586035417</v>
      </c>
      <c r="W119" s="37">
        <f>$C$33*$C$45/100*W105</f>
        <v>158.61642153371878</v>
      </c>
      <c r="X119" s="37">
        <f>$C$33*$C$45/100*X105</f>
        <v>166.54724261040474</v>
      </c>
      <c r="Y119" s="37">
        <f>$C$33*$C$45/100*Y105</f>
        <v>174.87460474092495</v>
      </c>
      <c r="Z119" s="37">
        <f>$C$33*$C$45/100*Z105</f>
        <v>183.61833497797122</v>
      </c>
      <c r="AA119" s="37">
        <f>$C$33*$C$45/100*AA105</f>
        <v>192.79925172686978</v>
      </c>
      <c r="AB119" s="37">
        <f>$C$33*$C$45/100*AB105</f>
        <v>202.43921431321328</v>
      </c>
      <c r="AC119" s="37">
        <f>$C$33*$C$45/100*AC105</f>
        <v>212.56117502887395</v>
      </c>
    </row>
    <row r="120" spans="1:29" x14ac:dyDescent="0.25">
      <c r="A120" s="33" t="s">
        <v>123</v>
      </c>
      <c r="B120" s="26" t="s">
        <v>86</v>
      </c>
      <c r="C120" s="57">
        <f>SUM(E120:AC120)</f>
        <v>2422.246021295495</v>
      </c>
      <c r="E120" s="37">
        <f>$C$35*$C$46/100*E105</f>
        <v>50.7520063294227</v>
      </c>
      <c r="F120" s="37">
        <f>$C$35*$C$46/100*F105</f>
        <v>53.289606645893834</v>
      </c>
      <c r="G120" s="37">
        <f>$C$35*$C$46/100*G105</f>
        <v>55.95408697818853</v>
      </c>
      <c r="H120" s="37">
        <f>$C$35*$C$46/100*H105</f>
        <v>58.751791327097955</v>
      </c>
      <c r="I120" s="37">
        <f>$C$35*$C$46/100*I105</f>
        <v>61.689380893452864</v>
      </c>
      <c r="J120" s="37">
        <f>$C$35*$C$46/100*J105</f>
        <v>64.77384993812551</v>
      </c>
      <c r="K120" s="37">
        <f>$C$35*$C$46/100*K105</f>
        <v>68.01254243503179</v>
      </c>
      <c r="L120" s="37">
        <f>$C$35*$C$46/100*L105</f>
        <v>71.41316955678337</v>
      </c>
      <c r="M120" s="37">
        <f>$C$35*$C$46/100*M105</f>
        <v>74.98382803462255</v>
      </c>
      <c r="N120" s="37">
        <f>$C$35*$C$46/100*N105</f>
        <v>78.73301943635367</v>
      </c>
      <c r="O120" s="37">
        <f>$C$35*$C$46/100*O105</f>
        <v>82.66967040817137</v>
      </c>
      <c r="P120" s="37">
        <f>$C$35*$C$46/100*P105</f>
        <v>86.80315392857993</v>
      </c>
      <c r="Q120" s="37">
        <f>$C$35*$C$46/100*Q105</f>
        <v>91.14331162500893</v>
      </c>
      <c r="R120" s="37">
        <f>$C$35*$C$46/100*R105</f>
        <v>95.7004772062594</v>
      </c>
      <c r="S120" s="37">
        <f>$C$35*$C$46/100*S105</f>
        <v>100.48550106657237</v>
      </c>
      <c r="T120" s="37">
        <f>$C$35*$C$46/100*T105</f>
        <v>105.50977611990099</v>
      </c>
      <c r="U120" s="37">
        <f>$C$35*$C$46/100*U105</f>
        <v>110.78526492589603</v>
      </c>
      <c r="V120" s="37">
        <f>$C$35*$C$46/100*V105</f>
        <v>116.32452817219085</v>
      </c>
      <c r="W120" s="37">
        <f>$C$35*$C$46/100*W105</f>
        <v>122.1407545808004</v>
      </c>
      <c r="X120" s="37">
        <f>$C$35*$C$46/100*X105</f>
        <v>128.24779230984043</v>
      </c>
      <c r="Y120" s="37">
        <f>$C$35*$C$46/100*Y105</f>
        <v>134.66018192533244</v>
      </c>
      <c r="Z120" s="37">
        <f>$C$35*$C$46/100*Z105</f>
        <v>141.39319102159908</v>
      </c>
      <c r="AA120" s="37">
        <f>$C$35*$C$46/100*AA105</f>
        <v>148.46285057267903</v>
      </c>
      <c r="AB120" s="37">
        <f>$C$35*$C$46/100*AB105</f>
        <v>155.885993101313</v>
      </c>
      <c r="AC120" s="37">
        <f>$C$35*$C$46/100*AC105</f>
        <v>163.68029275637863</v>
      </c>
    </row>
    <row r="121" spans="1:29" x14ac:dyDescent="0.25">
      <c r="A121" s="33" t="s">
        <v>126</v>
      </c>
      <c r="B121" s="26" t="s">
        <v>86</v>
      </c>
      <c r="C121" s="57">
        <f>SUM(E121:AC121)</f>
        <v>1129.9802346732802</v>
      </c>
      <c r="E121" s="37">
        <f>$C$82*$C$48</f>
        <v>45.199209386931194</v>
      </c>
      <c r="F121" s="37">
        <f>$C$82*$C$48</f>
        <v>45.199209386931194</v>
      </c>
      <c r="G121" s="37">
        <f>$C$82*$C$48</f>
        <v>45.199209386931194</v>
      </c>
      <c r="H121" s="37">
        <f>$C$82*$C$48</f>
        <v>45.199209386931194</v>
      </c>
      <c r="I121" s="37">
        <f>$C$82*$C$48</f>
        <v>45.199209386931194</v>
      </c>
      <c r="J121" s="37">
        <f>$C$82*$C$48</f>
        <v>45.199209386931194</v>
      </c>
      <c r="K121" s="37">
        <f>$C$82*$C$48</f>
        <v>45.199209386931194</v>
      </c>
      <c r="L121" s="37">
        <f>$C$82*$C$48</f>
        <v>45.199209386931194</v>
      </c>
      <c r="M121" s="37">
        <f>$C$82*$C$48</f>
        <v>45.199209386931194</v>
      </c>
      <c r="N121" s="37">
        <f>$C$82*$C$48</f>
        <v>45.199209386931194</v>
      </c>
      <c r="O121" s="37">
        <f>$C$82*$C$48</f>
        <v>45.199209386931194</v>
      </c>
      <c r="P121" s="37">
        <f>$C$82*$C$48</f>
        <v>45.199209386931194</v>
      </c>
      <c r="Q121" s="37">
        <f>$C$82*$C$48</f>
        <v>45.199209386931194</v>
      </c>
      <c r="R121" s="37">
        <f>$C$82*$C$48</f>
        <v>45.199209386931194</v>
      </c>
      <c r="S121" s="37">
        <f>$C$82*$C$48</f>
        <v>45.199209386931194</v>
      </c>
      <c r="T121" s="37">
        <f>$C$82*$C$48</f>
        <v>45.199209386931194</v>
      </c>
      <c r="U121" s="37">
        <f>$C$82*$C$48</f>
        <v>45.199209386931194</v>
      </c>
      <c r="V121" s="37">
        <f>$C$82*$C$48</f>
        <v>45.199209386931194</v>
      </c>
      <c r="W121" s="37">
        <f>$C$82*$C$48</f>
        <v>45.199209386931194</v>
      </c>
      <c r="X121" s="37">
        <f>$C$82*$C$48</f>
        <v>45.199209386931194</v>
      </c>
      <c r="Y121" s="37">
        <f>$C$82*$C$48</f>
        <v>45.199209386931194</v>
      </c>
      <c r="Z121" s="37">
        <f>$C$82*$C$48</f>
        <v>45.199209386931194</v>
      </c>
      <c r="AA121" s="37">
        <f>$C$82*$C$48</f>
        <v>45.199209386931194</v>
      </c>
      <c r="AB121" s="37">
        <f>$C$82*$C$48</f>
        <v>45.199209386931194</v>
      </c>
      <c r="AC121" s="37">
        <f>$C$82*$C$48</f>
        <v>45.199209386931194</v>
      </c>
    </row>
    <row r="122" spans="1:29" x14ac:dyDescent="0.25">
      <c r="A122" s="33" t="s">
        <v>128</v>
      </c>
      <c r="B122" s="26" t="s">
        <v>86</v>
      </c>
      <c r="C122" s="57">
        <f>SUM(E122:AC122)</f>
        <v>0</v>
      </c>
      <c r="E122" s="37">
        <f>$C$49*E105</f>
        <v>0</v>
      </c>
      <c r="F122" s="37">
        <f>$C$49*F105</f>
        <v>0</v>
      </c>
      <c r="G122" s="37">
        <f>$C$49*G105</f>
        <v>0</v>
      </c>
      <c r="H122" s="37">
        <f>$C$49*H105</f>
        <v>0</v>
      </c>
      <c r="I122" s="37">
        <f>$C$49*I105</f>
        <v>0</v>
      </c>
      <c r="J122" s="37">
        <f>$C$49*J105</f>
        <v>0</v>
      </c>
      <c r="K122" s="37">
        <f>$C$49*K105</f>
        <v>0</v>
      </c>
      <c r="L122" s="37">
        <f>$C$49*L105</f>
        <v>0</v>
      </c>
      <c r="M122" s="37">
        <f>$C$49*M105</f>
        <v>0</v>
      </c>
      <c r="N122" s="37">
        <f>$C$49*N105</f>
        <v>0</v>
      </c>
      <c r="O122" s="37">
        <f>$C$49*O105</f>
        <v>0</v>
      </c>
      <c r="P122" s="37">
        <f>$C$49*P105</f>
        <v>0</v>
      </c>
      <c r="Q122" s="37">
        <f>$C$49*Q105</f>
        <v>0</v>
      </c>
      <c r="R122" s="37">
        <f>$C$49*R105</f>
        <v>0</v>
      </c>
      <c r="S122" s="37">
        <f>$C$49*S105</f>
        <v>0</v>
      </c>
      <c r="T122" s="37">
        <f>$C$49*T105</f>
        <v>0</v>
      </c>
      <c r="U122" s="37">
        <f>$C$49*U105</f>
        <v>0</v>
      </c>
      <c r="V122" s="37">
        <f>$C$49*V105</f>
        <v>0</v>
      </c>
      <c r="W122" s="37">
        <f>$C$49*W105</f>
        <v>0</v>
      </c>
      <c r="X122" s="37">
        <f>$C$49*X105</f>
        <v>0</v>
      </c>
      <c r="Y122" s="37">
        <f>$C$49*Y105</f>
        <v>0</v>
      </c>
      <c r="Z122" s="37">
        <f>$C$49*Z105</f>
        <v>0</v>
      </c>
      <c r="AA122" s="37">
        <f>$C$49*AA105</f>
        <v>0</v>
      </c>
      <c r="AB122" s="37">
        <f>$C$49*AB105</f>
        <v>0</v>
      </c>
      <c r="AC122" s="37">
        <f>$C$49*AC105</f>
        <v>0</v>
      </c>
    </row>
    <row r="123" spans="1:29" x14ac:dyDescent="0.25">
      <c r="A123" s="61" t="s">
        <v>197</v>
      </c>
      <c r="B123" s="62" t="s">
        <v>86</v>
      </c>
      <c r="C123" s="63">
        <f>SUM(E123:AC123)</f>
        <v>9194.519757867058</v>
      </c>
      <c r="D123" s="64"/>
      <c r="E123" s="63">
        <f>SUM(E118:E122)</f>
        <v>214.17112938459837</v>
      </c>
      <c r="F123" s="63">
        <f>SUM(F118:F122)</f>
        <v>222.61972538448174</v>
      </c>
      <c r="G123" s="63">
        <f>SUM(G118:G122)</f>
        <v>231.49075118435925</v>
      </c>
      <c r="H123" s="63">
        <f>SUM(H118:H122)</f>
        <v>240.80532827423067</v>
      </c>
      <c r="I123" s="63">
        <f>SUM(I118:I122)</f>
        <v>250.58563421859566</v>
      </c>
      <c r="J123" s="63">
        <f>SUM(J118:J122)</f>
        <v>260.8549554601789</v>
      </c>
      <c r="K123" s="63">
        <f>SUM(K118:K122)</f>
        <v>271.63774276384135</v>
      </c>
      <c r="L123" s="63">
        <f>SUM(L118:L122)</f>
        <v>282.95966943268684</v>
      </c>
      <c r="M123" s="63">
        <f>SUM(M118:M122)</f>
        <v>294.84769243497465</v>
      </c>
      <c r="N123" s="63">
        <f>SUM(N118:N122)</f>
        <v>307.33011658737684</v>
      </c>
      <c r="O123" s="63">
        <f>SUM(O118:O122)</f>
        <v>320.43666194739916</v>
      </c>
      <c r="P123" s="63">
        <f>SUM(P118:P122)</f>
        <v>334.1985345754225</v>
      </c>
      <c r="Q123" s="63">
        <f>SUM(Q118:Q122)</f>
        <v>348.6485008348471</v>
      </c>
      <c r="R123" s="63">
        <f>SUM(R118:R122)</f>
        <v>363.8209654072429</v>
      </c>
      <c r="S123" s="63">
        <f>SUM(S118:S122)</f>
        <v>379.75205320825853</v>
      </c>
      <c r="T123" s="63">
        <f>SUM(T118:T122)</f>
        <v>396.4796953993249</v>
      </c>
      <c r="U123" s="63">
        <f>SUM(U118:U122)</f>
        <v>414.0437196999445</v>
      </c>
      <c r="V123" s="63">
        <f>SUM(V118:V122)</f>
        <v>432.4859452155953</v>
      </c>
      <c r="W123" s="63">
        <f>SUM(W118:W122)</f>
        <v>451.85028200702845</v>
      </c>
      <c r="X123" s="63">
        <f>SUM(X118:X122)</f>
        <v>472.18283563803334</v>
      </c>
      <c r="Y123" s="63">
        <f>SUM(Y118:Y122)</f>
        <v>493.53201695058846</v>
      </c>
      <c r="Z123" s="63">
        <f>SUM(Z118:Z122)</f>
        <v>515.9486573287713</v>
      </c>
      <c r="AA123" s="63">
        <f>SUM(AA118:AA122)</f>
        <v>539.4861297258634</v>
      </c>
      <c r="AB123" s="63">
        <f>SUM(AB118:AB122)</f>
        <v>564.2004757428101</v>
      </c>
      <c r="AC123" s="63">
        <f>SUM(AC118:AC122)</f>
        <v>590.1505390606039</v>
      </c>
    </row>
    <row r="124" spans="1:29" x14ac:dyDescent="0.25">
      <c r="A124" s="61" t="s">
        <v>198</v>
      </c>
      <c r="B124" s="62" t="s">
        <v>86</v>
      </c>
      <c r="C124" s="63">
        <f>SUM(E124:AC124)</f>
        <v>51584.66420326913</v>
      </c>
      <c r="D124" s="64"/>
      <c r="E124" s="63">
        <f>E115-E123</f>
        <v>2273.5810243834894</v>
      </c>
      <c r="F124" s="63">
        <f>F115-F123</f>
        <v>2260.417028773386</v>
      </c>
      <c r="G124" s="63">
        <f>G115-G123</f>
        <v>2246.830603363288</v>
      </c>
      <c r="H124" s="63">
        <f>H115-H123</f>
        <v>2232.8006266631974</v>
      </c>
      <c r="I124" s="63">
        <f>I115-I123</f>
        <v>2218.304921108612</v>
      </c>
      <c r="J124" s="63">
        <f>J115-J123</f>
        <v>2203.320200256808</v>
      </c>
      <c r="K124" s="63">
        <f>K115-K123</f>
        <v>2187.8220133429263</v>
      </c>
      <c r="L124" s="63">
        <f>L115-L123</f>
        <v>2171.7846870638605</v>
      </c>
      <c r="M124" s="63">
        <f>M115-M123</f>
        <v>2155.181264451353</v>
      </c>
      <c r="N124" s="63">
        <f>N115-N123</f>
        <v>2137.9834406887303</v>
      </c>
      <c r="O124" s="63">
        <f>O115-O123</f>
        <v>2120.1614957184884</v>
      </c>
      <c r="P124" s="63">
        <f>P115-P123</f>
        <v>2101.684223480245</v>
      </c>
      <c r="Q124" s="63">
        <f>Q115-Q123</f>
        <v>2082.5188576105998</v>
      </c>
      <c r="R124" s="63">
        <f>R115-R123</f>
        <v>2062.6309934279843</v>
      </c>
      <c r="S124" s="63">
        <f>S115-S123</f>
        <v>2041.9845060167486</v>
      </c>
      <c r="T124" s="63">
        <f>T115-T123</f>
        <v>2020.5414642154628</v>
      </c>
      <c r="U124" s="63">
        <f>U115-U123</f>
        <v>1998.262040304623</v>
      </c>
      <c r="V124" s="63">
        <f>V115-V123</f>
        <v>1975.1044151787523</v>
      </c>
      <c r="W124" s="63">
        <f>W115-W123</f>
        <v>1951.0246787770989</v>
      </c>
      <c r="X124" s="63">
        <f>X115-X123</f>
        <v>1925.9767255358738</v>
      </c>
      <c r="Y124" s="63">
        <f>Y115-Y123</f>
        <v>1899.912144613099</v>
      </c>
      <c r="Z124" s="63">
        <f>Z115-Z123</f>
        <v>1872.780104624696</v>
      </c>
      <c r="AA124" s="63">
        <f>AA115-AA123</f>
        <v>1844.527232617384</v>
      </c>
      <c r="AB124" s="63">
        <f>AB115-AB123</f>
        <v>1815.0974869902172</v>
      </c>
      <c r="AC124" s="63">
        <f>AC115-AC123</f>
        <v>1784.4320240622033</v>
      </c>
    </row>
    <row r="125" spans="1:29" x14ac:dyDescent="0.25">
      <c r="A125" s="33" t="s">
        <v>199</v>
      </c>
      <c r="B125" s="26" t="s">
        <v>83</v>
      </c>
      <c r="E125" s="32">
        <f>IF(E115&lt;&gt;0,E124/E115,"")</f>
        <v>0.9139097803371599</v>
      </c>
      <c r="F125" s="32">
        <f>IF(F115&lt;&gt;0,F124/F115,"")</f>
        <v>0.9103437655476896</v>
      </c>
      <c r="G125" s="32">
        <f>IF(G115&lt;&gt;0,G124/G115,"")</f>
        <v>0.9065937309705294</v>
      </c>
      <c r="H125" s="32">
        <f>IF(H115&lt;&gt;0,H124/H115,"")</f>
        <v>0.9026500854780154</v>
      </c>
      <c r="I125" s="32">
        <f>IF(I115&lt;&gt;0,I124/I115,"")</f>
        <v>0.8985027369164263</v>
      </c>
      <c r="J125" s="32">
        <f>IF(J115&lt;&gt;0,J124/J115,"")</f>
        <v>0.8941410658836548</v>
      </c>
      <c r="K125" s="32">
        <f>IF(K115&lt;&gt;0,K124/K115,"")</f>
        <v>0.8895538981317451</v>
      </c>
      <c r="L125" s="32">
        <f>IF(L115&lt;&gt;0,L124/L115,"")</f>
        <v>0.8847294755220328</v>
      </c>
      <c r="M125" s="32">
        <f>IF(M115&lt;&gt;0,M124/M115,"")</f>
        <v>0.8796554254568124</v>
      </c>
      <c r="N125" s="32">
        <f>IF(N115&lt;&gt;0,N124/N115,"")</f>
        <v>0.8743187287074468</v>
      </c>
      <c r="O125" s="32">
        <f>IF(O115&lt;&gt;0,O124/O115,"")</f>
        <v>0.8687056855546205</v>
      </c>
      <c r="P125" s="32">
        <f>IF(P115&lt;&gt;0,P124/P115,"")</f>
        <v>0.8628018801519901</v>
      </c>
      <c r="Q125" s="32">
        <f>IF(Q115&lt;&gt;0,Q124/Q115,"")</f>
        <v>0.8565921430198116</v>
      </c>
      <c r="R125" s="32">
        <f>IF(R115&lt;&gt;0,R124/R115,"")</f>
        <v>0.8500605115701988</v>
      </c>
      <c r="S125" s="32">
        <f>IF(S115&lt;&gt;0,S124/S115,"")</f>
        <v>0.8431901885604828</v>
      </c>
      <c r="T125" s="32">
        <f>IF(T115&lt;&gt;0,T124/T115,"")</f>
        <v>0.8359634983656851</v>
      </c>
      <c r="U125" s="32">
        <f>IF(U115&lt;&gt;0,U124/U115,"")</f>
        <v>0.8283618409553685</v>
      </c>
      <c r="V125" s="32">
        <f>IF(V115&lt;&gt;0,V124/V115,"")</f>
        <v>0.8203656434540813</v>
      </c>
      <c r="W125" s="32">
        <f>IF(W115&lt;&gt;0,W124/W115,"")</f>
        <v>0.8119543091582357</v>
      </c>
      <c r="X125" s="32">
        <f>IF(X115&lt;&gt;0,X124/X115,"")</f>
        <v>0.8031061638755603</v>
      </c>
      <c r="Y125" s="32">
        <f>IF(Y115&lt;&gt;0,Y124/Y115,"")</f>
        <v>0.7937983994461966</v>
      </c>
      <c r="Z125" s="32">
        <f>IF(Z115&lt;&gt;0,Z124/Z115,"")</f>
        <v>0.7840070142970791</v>
      </c>
      <c r="AA125" s="32">
        <f>IF(AA115&lt;&gt;0,AA124/AA115,"")</f>
        <v>0.7737067508734086</v>
      </c>
      <c r="AB125" s="32">
        <f>IF(AB115&lt;&gt;0,AB124/AB115,"")</f>
        <v>0.7628710297827809</v>
      </c>
      <c r="AC125" s="32">
        <f>IF(AC115&lt;&gt;0,AC124/AC115,"")</f>
        <v>0.7514718804788584</v>
      </c>
    </row>
    <row r="127" ht="20" customHeight="1" spans="1:29" x14ac:dyDescent="0.25">
      <c r="A127" s="21" t="s">
        <v>200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x14ac:dyDescent="0.25">
      <c r="A128" s="33" t="s">
        <v>143</v>
      </c>
      <c r="B128" s="26" t="s">
        <v>86</v>
      </c>
      <c r="C128" s="57">
        <f>SUM(E128:AC128)</f>
        <v>2436.09630381229</v>
      </c>
      <c r="E128" s="37">
        <f>IF($C$57="annual",IF(E$5&gt;=2,$C$35*$C$58*$C$39*E106,0),IF(AND($C$57="oneTime",E$5=$C$59,$C$59&gt;1,$C$59&lt;=$C$87),$C$35*MIN(0.6,$C$58*(E$5-1))*$C$39*E106,0))</f>
        <v>0</v>
      </c>
      <c r="F128" s="37">
        <f>IF($C$57="annual",IF(F$5&gt;=2,$C$35*$C$58*$C$39*F106,0),IF(AND($C$57="oneTime",F$5=$C$59,$C$59&gt;1,$C$59&lt;=$C$87),$C$35*MIN(0.6,$C$58*(F$5-1))*$C$39*F106,0))</f>
        <v>101.50401265884541</v>
      </c>
      <c r="G128" s="37">
        <f>IF($C$57="annual",IF(G$5&gt;=2,$C$35*$C$58*$C$39*G106,0),IF(AND($C$57="oneTime",G$5=$C$59,$C$59&gt;1,$C$59&lt;=$C$87),$C$35*MIN(0.6,$C$58*(G$5-1))*$C$39*G106,0))</f>
        <v>101.50401265884541</v>
      </c>
      <c r="H128" s="37">
        <f>IF($C$57="annual",IF(H$5&gt;=2,$C$35*$C$58*$C$39*H106,0),IF(AND($C$57="oneTime",H$5=$C$59,$C$59&gt;1,$C$59&lt;=$C$87),$C$35*MIN(0.6,$C$58*(H$5-1))*$C$39*H106,0))</f>
        <v>101.50401265884541</v>
      </c>
      <c r="I128" s="37">
        <f>IF($C$57="annual",IF(I$5&gt;=2,$C$35*$C$58*$C$39*I106,0),IF(AND($C$57="oneTime",I$5=$C$59,$C$59&gt;1,$C$59&lt;=$C$87),$C$35*MIN(0.6,$C$58*(I$5-1))*$C$39*I106,0))</f>
        <v>101.50401265884541</v>
      </c>
      <c r="J128" s="37">
        <f>IF($C$57="annual",IF(J$5&gt;=2,$C$35*$C$58*$C$39*J106,0),IF(AND($C$57="oneTime",J$5=$C$59,$C$59&gt;1,$C$59&lt;=$C$87),$C$35*MIN(0.6,$C$58*(J$5-1))*$C$39*J106,0))</f>
        <v>101.50401265884541</v>
      </c>
      <c r="K128" s="37">
        <f>IF($C$57="annual",IF(K$5&gt;=2,$C$35*$C$58*$C$39*K106,0),IF(AND($C$57="oneTime",K$5=$C$59,$C$59&gt;1,$C$59&lt;=$C$87),$C$35*MIN(0.6,$C$58*(K$5-1))*$C$39*K106,0))</f>
        <v>101.50401265884541</v>
      </c>
      <c r="L128" s="37">
        <f>IF($C$57="annual",IF(L$5&gt;=2,$C$35*$C$58*$C$39*L106,0),IF(AND($C$57="oneTime",L$5=$C$59,$C$59&gt;1,$C$59&lt;=$C$87),$C$35*MIN(0.6,$C$58*(L$5-1))*$C$39*L106,0))</f>
        <v>101.50401265884541</v>
      </c>
      <c r="M128" s="37">
        <f>IF($C$57="annual",IF(M$5&gt;=2,$C$35*$C$58*$C$39*M106,0),IF(AND($C$57="oneTime",M$5=$C$59,$C$59&gt;1,$C$59&lt;=$C$87),$C$35*MIN(0.6,$C$58*(M$5-1))*$C$39*M106,0))</f>
        <v>101.50401265884541</v>
      </c>
      <c r="N128" s="37">
        <f>IF($C$57="annual",IF(N$5&gt;=2,$C$35*$C$58*$C$39*N106,0),IF(AND($C$57="oneTime",N$5=$C$59,$C$59&gt;1,$C$59&lt;=$C$87),$C$35*MIN(0.6,$C$58*(N$5-1))*$C$39*N106,0))</f>
        <v>101.50401265884541</v>
      </c>
      <c r="O128" s="37">
        <f>IF($C$57="annual",IF(O$5&gt;=2,$C$35*$C$58*$C$39*O106,0),IF(AND($C$57="oneTime",O$5=$C$59,$C$59&gt;1,$C$59&lt;=$C$87),$C$35*MIN(0.6,$C$58*(O$5-1))*$C$39*O106,0))</f>
        <v>101.50401265884541</v>
      </c>
      <c r="P128" s="37">
        <f>IF($C$57="annual",IF(P$5&gt;=2,$C$35*$C$58*$C$39*P106,0),IF(AND($C$57="oneTime",P$5=$C$59,$C$59&gt;1,$C$59&lt;=$C$87),$C$35*MIN(0.6,$C$58*(P$5-1))*$C$39*P106,0))</f>
        <v>101.50401265884541</v>
      </c>
      <c r="Q128" s="37">
        <f>IF($C$57="annual",IF(Q$5&gt;=2,$C$35*$C$58*$C$39*Q106,0),IF(AND($C$57="oneTime",Q$5=$C$59,$C$59&gt;1,$C$59&lt;=$C$87),$C$35*MIN(0.6,$C$58*(Q$5-1))*$C$39*Q106,0))</f>
        <v>101.50401265884541</v>
      </c>
      <c r="R128" s="37">
        <f>IF($C$57="annual",IF(R$5&gt;=2,$C$35*$C$58*$C$39*R106,0),IF(AND($C$57="oneTime",R$5=$C$59,$C$59&gt;1,$C$59&lt;=$C$87),$C$35*MIN(0.6,$C$58*(R$5-1))*$C$39*R106,0))</f>
        <v>101.50401265884541</v>
      </c>
      <c r="S128" s="37">
        <f>IF($C$57="annual",IF(S$5&gt;=2,$C$35*$C$58*$C$39*S106,0),IF(AND($C$57="oneTime",S$5=$C$59,$C$59&gt;1,$C$59&lt;=$C$87),$C$35*MIN(0.6,$C$58*(S$5-1))*$C$39*S106,0))</f>
        <v>101.50401265884541</v>
      </c>
      <c r="T128" s="37">
        <f>IF($C$57="annual",IF(T$5&gt;=2,$C$35*$C$58*$C$39*T106,0),IF(AND($C$57="oneTime",T$5=$C$59,$C$59&gt;1,$C$59&lt;=$C$87),$C$35*MIN(0.6,$C$58*(T$5-1))*$C$39*T106,0))</f>
        <v>101.50401265884541</v>
      </c>
      <c r="U128" s="37">
        <f>IF($C$57="annual",IF(U$5&gt;=2,$C$35*$C$58*$C$39*U106,0),IF(AND($C$57="oneTime",U$5=$C$59,$C$59&gt;1,$C$59&lt;=$C$87),$C$35*MIN(0.6,$C$58*(U$5-1))*$C$39*U106,0))</f>
        <v>101.50401265884541</v>
      </c>
      <c r="V128" s="37">
        <f>IF($C$57="annual",IF(V$5&gt;=2,$C$35*$C$58*$C$39*V106,0),IF(AND($C$57="oneTime",V$5=$C$59,$C$59&gt;1,$C$59&lt;=$C$87),$C$35*MIN(0.6,$C$58*(V$5-1))*$C$39*V106,0))</f>
        <v>101.50401265884541</v>
      </c>
      <c r="W128" s="37">
        <f>IF($C$57="annual",IF(W$5&gt;=2,$C$35*$C$58*$C$39*W106,0),IF(AND($C$57="oneTime",W$5=$C$59,$C$59&gt;1,$C$59&lt;=$C$87),$C$35*MIN(0.6,$C$58*(W$5-1))*$C$39*W106,0))</f>
        <v>101.50401265884541</v>
      </c>
      <c r="X128" s="37">
        <f>IF($C$57="annual",IF(X$5&gt;=2,$C$35*$C$58*$C$39*X106,0),IF(AND($C$57="oneTime",X$5=$C$59,$C$59&gt;1,$C$59&lt;=$C$87),$C$35*MIN(0.6,$C$58*(X$5-1))*$C$39*X106,0))</f>
        <v>101.50401265884541</v>
      </c>
      <c r="Y128" s="37">
        <f>IF($C$57="annual",IF(Y$5&gt;=2,$C$35*$C$58*$C$39*Y106,0),IF(AND($C$57="oneTime",Y$5=$C$59,$C$59&gt;1,$C$59&lt;=$C$87),$C$35*MIN(0.6,$C$58*(Y$5-1))*$C$39*Y106,0))</f>
        <v>101.50401265884541</v>
      </c>
      <c r="Z128" s="37">
        <f>IF($C$57="annual",IF(Z$5&gt;=2,$C$35*$C$58*$C$39*Z106,0),IF(AND($C$57="oneTime",Z$5=$C$59,$C$59&gt;1,$C$59&lt;=$C$87),$C$35*MIN(0.6,$C$58*(Z$5-1))*$C$39*Z106,0))</f>
        <v>101.50401265884541</v>
      </c>
      <c r="AA128" s="37">
        <f>IF($C$57="annual",IF(AA$5&gt;=2,$C$35*$C$58*$C$39*AA106,0),IF(AND($C$57="oneTime",AA$5=$C$59,$C$59&gt;1,$C$59&lt;=$C$87),$C$35*MIN(0.6,$C$58*(AA$5-1))*$C$39*AA106,0))</f>
        <v>101.50401265884541</v>
      </c>
      <c r="AB128" s="37">
        <f>IF($C$57="annual",IF(AB$5&gt;=2,$C$35*$C$58*$C$39*AB106,0),IF(AND($C$57="oneTime",AB$5=$C$59,$C$59&gt;1,$C$59&lt;=$C$87),$C$35*MIN(0.6,$C$58*(AB$5-1))*$C$39*AB106,0))</f>
        <v>101.50401265884541</v>
      </c>
      <c r="AC128" s="37">
        <f>IF($C$57="annual",IF(AC$5&gt;=2,$C$35*$C$58*$C$39*AC106,0),IF(AND($C$57="oneTime",AC$5=$C$59,$C$59&gt;1,$C$59&lt;=$C$87),$C$35*MIN(0.6,$C$58*(AC$5-1))*$C$39*AC106,0))</f>
        <v>101.50401265884541</v>
      </c>
    </row>
    <row r="130" ht="20" customHeight="1" spans="1:29" x14ac:dyDescent="0.25">
      <c r="A130" s="21" t="s">
        <v>201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x14ac:dyDescent="0.25">
      <c r="A131" s="33" t="s">
        <v>202</v>
      </c>
      <c r="B131" s="26" t="s">
        <v>86</v>
      </c>
      <c r="C131" s="57">
        <f>SUM(E131:AC131)</f>
        <v>14237.750956883334</v>
      </c>
      <c r="E131" s="37">
        <f>IF(E$5&lt;=$C$72,$C$92,0)</f>
        <v>569.510038275333</v>
      </c>
      <c r="F131" s="37">
        <f>IF(F$5&lt;=$C$72,$C$92,0)</f>
        <v>569.510038275333</v>
      </c>
      <c r="G131" s="37">
        <f>IF(G$5&lt;=$C$72,$C$92,0)</f>
        <v>569.510038275333</v>
      </c>
      <c r="H131" s="37">
        <f>IF(H$5&lt;=$C$72,$C$92,0)</f>
        <v>569.510038275333</v>
      </c>
      <c r="I131" s="37">
        <f>IF(I$5&lt;=$C$72,$C$92,0)</f>
        <v>569.510038275333</v>
      </c>
      <c r="J131" s="37">
        <f>IF(J$5&lt;=$C$72,$C$92,0)</f>
        <v>569.510038275333</v>
      </c>
      <c r="K131" s="37">
        <f>IF(K$5&lt;=$C$72,$C$92,0)</f>
        <v>569.510038275333</v>
      </c>
      <c r="L131" s="37">
        <f>IF(L$5&lt;=$C$72,$C$92,0)</f>
        <v>569.510038275333</v>
      </c>
      <c r="M131" s="37">
        <f>IF(M$5&lt;=$C$72,$C$92,0)</f>
        <v>569.510038275333</v>
      </c>
      <c r="N131" s="37">
        <f>IF(N$5&lt;=$C$72,$C$92,0)</f>
        <v>569.510038275333</v>
      </c>
      <c r="O131" s="37">
        <f>IF(O$5&lt;=$C$72,$C$92,0)</f>
        <v>569.510038275333</v>
      </c>
      <c r="P131" s="37">
        <f>IF(P$5&lt;=$C$72,$C$92,0)</f>
        <v>569.510038275333</v>
      </c>
      <c r="Q131" s="37">
        <f>IF(Q$5&lt;=$C$72,$C$92,0)</f>
        <v>569.510038275333</v>
      </c>
      <c r="R131" s="37">
        <f>IF(R$5&lt;=$C$72,$C$92,0)</f>
        <v>569.510038275333</v>
      </c>
      <c r="S131" s="37">
        <f>IF(S$5&lt;=$C$72,$C$92,0)</f>
        <v>569.510038275333</v>
      </c>
      <c r="T131" s="37">
        <f>IF(T$5&lt;=$C$72,$C$92,0)</f>
        <v>569.510038275333</v>
      </c>
      <c r="U131" s="37">
        <f>IF(U$5&lt;=$C$72,$C$92,0)</f>
        <v>569.510038275333</v>
      </c>
      <c r="V131" s="37">
        <f>IF(V$5&lt;=$C$72,$C$92,0)</f>
        <v>569.510038275333</v>
      </c>
      <c r="W131" s="37">
        <f>IF(W$5&lt;=$C$72,$C$92,0)</f>
        <v>569.510038275333</v>
      </c>
      <c r="X131" s="37">
        <f>IF(X$5&lt;=$C$72,$C$92,0)</f>
        <v>569.510038275333</v>
      </c>
      <c r="Y131" s="37">
        <f>IF(Y$5&lt;=$C$72,$C$92,0)</f>
        <v>569.510038275333</v>
      </c>
      <c r="Z131" s="37">
        <f>IF(Z$5&lt;=$C$72,$C$92,0)</f>
        <v>569.510038275333</v>
      </c>
      <c r="AA131" s="37">
        <f>IF(AA$5&lt;=$C$72,$C$92,0)</f>
        <v>569.510038275333</v>
      </c>
      <c r="AB131" s="37">
        <f>IF(AB$5&lt;=$C$72,$C$92,0)</f>
        <v>569.510038275333</v>
      </c>
      <c r="AC131" s="37">
        <f>IF(AC$5&lt;=$C$72,$C$92,0)</f>
        <v>569.510038275333</v>
      </c>
    </row>
    <row r="132" spans="1:29" x14ac:dyDescent="0.25">
      <c r="A132" s="33" t="s">
        <v>203</v>
      </c>
      <c r="B132" s="26" t="s">
        <v>86</v>
      </c>
      <c r="E132" s="37">
        <f>E128/MAX(1,$C$87-E$5+1)</f>
        <v>0</v>
      </c>
      <c r="F132" s="37">
        <f>F128/MAX(1,$C$87-F$5+1)</f>
        <v>4.229333860785226</v>
      </c>
      <c r="G132" s="37">
        <f>G128/MAX(1,$C$87-G$5+1)</f>
        <v>4.413217941688931</v>
      </c>
      <c r="H132" s="37">
        <f>H128/MAX(1,$C$87-H$5+1)</f>
        <v>4.613818757220246</v>
      </c>
      <c r="I132" s="37">
        <f>I128/MAX(1,$C$87-I$5+1)</f>
        <v>4.833524412325972</v>
      </c>
      <c r="J132" s="37">
        <f>J128/MAX(1,$C$87-J$5+1)</f>
        <v>5.075200632942271</v>
      </c>
      <c r="K132" s="37">
        <f>K128/MAX(1,$C$87-K$5+1)</f>
        <v>5.342316455728706</v>
      </c>
      <c r="L132" s="37">
        <f>L128/MAX(1,$C$87-L$5+1)</f>
        <v>5.639111814380301</v>
      </c>
      <c r="M132" s="37">
        <f>M128/MAX(1,$C$87-M$5+1)</f>
        <v>5.97082427404973</v>
      </c>
      <c r="N132" s="37">
        <f>N128/MAX(1,$C$87-N$5+1)</f>
        <v>6.344000791177838</v>
      </c>
      <c r="O132" s="37">
        <f>O128/MAX(1,$C$87-O$5+1)</f>
        <v>6.766934177256361</v>
      </c>
      <c r="P132" s="37">
        <f>P128/MAX(1,$C$87-P$5+1)</f>
        <v>7.250286618488958</v>
      </c>
      <c r="Q132" s="37">
        <f>Q128/MAX(1,$C$87-Q$5+1)</f>
        <v>7.8080009737573395</v>
      </c>
      <c r="R132" s="37">
        <f>R128/MAX(1,$C$87-R$5+1)</f>
        <v>8.458667721570452</v>
      </c>
      <c r="S132" s="37">
        <f>S128/MAX(1,$C$87-S$5+1)</f>
        <v>9.227637514440492</v>
      </c>
      <c r="T132" s="37">
        <f>T128/MAX(1,$C$87-T$5+1)</f>
        <v>10.150401265884542</v>
      </c>
      <c r="U132" s="37">
        <f>U128/MAX(1,$C$87-U$5+1)</f>
        <v>11.278223628760601</v>
      </c>
      <c r="V132" s="37">
        <f>V128/MAX(1,$C$87-V$5+1)</f>
        <v>12.688001582355676</v>
      </c>
      <c r="W132" s="37">
        <f>W128/MAX(1,$C$87-W$5+1)</f>
        <v>14.500573236977916</v>
      </c>
      <c r="X132" s="37">
        <f>X128/MAX(1,$C$87-X$5+1)</f>
        <v>16.917335443140903</v>
      </c>
      <c r="Y132" s="37">
        <f>Y128/MAX(1,$C$87-Y$5+1)</f>
        <v>20.300802531769083</v>
      </c>
      <c r="Z132" s="37">
        <f>Z128/MAX(1,$C$87-Z$5+1)</f>
        <v>25.376003164711353</v>
      </c>
      <c r="AA132" s="37">
        <f>AA128/MAX(1,$C$87-AA$5+1)</f>
        <v>33.834670886281806</v>
      </c>
      <c r="AB132" s="37">
        <f>AB128/MAX(1,$C$87-AB$5+1)</f>
        <v>50.752006329422706</v>
      </c>
      <c r="AC132" s="37">
        <f>AC128/MAX(1,$C$87-AC$5+1)</f>
        <v>101.50401265884541</v>
      </c>
    </row>
    <row r="133" spans="1:29" x14ac:dyDescent="0.25">
      <c r="A133" s="33" t="s">
        <v>204</v>
      </c>
      <c r="B133" s="26" t="s">
        <v>86</v>
      </c>
      <c r="C133" s="57">
        <f>SUM(E133:AC133)</f>
        <v>2436.09630381229</v>
      </c>
      <c r="E133" s="37">
        <f>E132</f>
        <v>0</v>
      </c>
      <c r="F133" s="37">
        <f>E133+F132</f>
        <v>4.229333860785226</v>
      </c>
      <c r="G133" s="37">
        <f>F133+G132</f>
        <v>8.642551802474156</v>
      </c>
      <c r="H133" s="37">
        <f>G133+H132</f>
        <v>13.256370559694401</v>
      </c>
      <c r="I133" s="37">
        <f>H133+I132</f>
        <v>18.089894972020375</v>
      </c>
      <c r="J133" s="37">
        <f>I133+J132</f>
        <v>23.165095604962644</v>
      </c>
      <c r="K133" s="37">
        <f>J133+K132</f>
        <v>28.50741206069135</v>
      </c>
      <c r="L133" s="37">
        <f>K133+L132</f>
        <v>34.14652387507165</v>
      </c>
      <c r="M133" s="37">
        <f>L133+M132</f>
        <v>40.11734814912138</v>
      </c>
      <c r="N133" s="37">
        <f>M133+N132</f>
        <v>46.461348940299224</v>
      </c>
      <c r="O133" s="37">
        <f>N133+O132</f>
        <v>53.228283117555584</v>
      </c>
      <c r="P133" s="37">
        <f>O133+P132</f>
        <v>60.47856973604454</v>
      </c>
      <c r="Q133" s="37">
        <f>P133+Q132</f>
        <v>68.28657070980188</v>
      </c>
      <c r="R133" s="37">
        <f>Q133+R132</f>
        <v>76.74523843137233</v>
      </c>
      <c r="S133" s="37">
        <f>R133+S132</f>
        <v>85.97287594581282</v>
      </c>
      <c r="T133" s="37">
        <f>S133+T132</f>
        <v>96.12327721169736</v>
      </c>
      <c r="U133" s="37">
        <f>T133+U132</f>
        <v>107.40150084045796</v>
      </c>
      <c r="V133" s="37">
        <f>U133+V132</f>
        <v>120.08950242281364</v>
      </c>
      <c r="W133" s="37">
        <f>V133+W132</f>
        <v>134.59007565979155</v>
      </c>
      <c r="X133" s="37">
        <f>W133+X132</f>
        <v>151.50741110293245</v>
      </c>
      <c r="Y133" s="37">
        <f>X133+Y132</f>
        <v>171.80821363470153</v>
      </c>
      <c r="Z133" s="37">
        <f>Y133+Z132</f>
        <v>197.1842167994129</v>
      </c>
      <c r="AA133" s="37">
        <f>Z133+AA132</f>
        <v>231.0188876856947</v>
      </c>
      <c r="AB133" s="37">
        <f>AA133+AB132</f>
        <v>281.7708940151174</v>
      </c>
      <c r="AC133" s="37">
        <f>AB133+AC132</f>
        <v>383.2749066739628</v>
      </c>
    </row>
    <row r="134" spans="1:29" x14ac:dyDescent="0.25">
      <c r="A134" s="61" t="s">
        <v>201</v>
      </c>
      <c r="B134" s="62" t="s">
        <v>86</v>
      </c>
      <c r="C134" s="63">
        <f>SUM(E134:AC134)</f>
        <v>16673.847260695617</v>
      </c>
      <c r="D134" s="64"/>
      <c r="E134" s="63">
        <f>E131+E133</f>
        <v>569.510038275333</v>
      </c>
      <c r="F134" s="63">
        <f>F131+F133</f>
        <v>573.7393721361183</v>
      </c>
      <c r="G134" s="63">
        <f>G131+G133</f>
        <v>578.1525900778072</v>
      </c>
      <c r="H134" s="63">
        <f>H131+H133</f>
        <v>582.7664088350274</v>
      </c>
      <c r="I134" s="63">
        <f>I131+I133</f>
        <v>587.5999332473534</v>
      </c>
      <c r="J134" s="63">
        <f>J131+J133</f>
        <v>592.6751338802957</v>
      </c>
      <c r="K134" s="63">
        <f>K131+K133</f>
        <v>598.0174503360244</v>
      </c>
      <c r="L134" s="63">
        <f>L131+L133</f>
        <v>603.6565621504047</v>
      </c>
      <c r="M134" s="63">
        <f>M131+M133</f>
        <v>609.6273864244545</v>
      </c>
      <c r="N134" s="63">
        <f>N131+N133</f>
        <v>615.9713872156323</v>
      </c>
      <c r="O134" s="63">
        <f>O131+O133</f>
        <v>622.7383213928887</v>
      </c>
      <c r="P134" s="63">
        <f>P131+P133</f>
        <v>629.9886080113776</v>
      </c>
      <c r="Q134" s="63">
        <f>Q131+Q133</f>
        <v>637.796608985135</v>
      </c>
      <c r="R134" s="63">
        <f>R131+R133</f>
        <v>646.2552767067053</v>
      </c>
      <c r="S134" s="63">
        <f>S131+S133</f>
        <v>655.4829142211458</v>
      </c>
      <c r="T134" s="63">
        <f>T131+T133</f>
        <v>665.6333154870304</v>
      </c>
      <c r="U134" s="63">
        <f>U131+U133</f>
        <v>676.911539115791</v>
      </c>
      <c r="V134" s="63">
        <f>V131+V133</f>
        <v>689.5995406981467</v>
      </c>
      <c r="W134" s="63">
        <f>W131+W133</f>
        <v>704.1001139351246</v>
      </c>
      <c r="X134" s="63">
        <f>X131+X133</f>
        <v>721.0174493782655</v>
      </c>
      <c r="Y134" s="63">
        <f>Y131+Y133</f>
        <v>741.3182519100346</v>
      </c>
      <c r="Z134" s="63">
        <f>Z131+Z133</f>
        <v>766.6942550747459</v>
      </c>
      <c r="AA134" s="63">
        <f>AA131+AA133</f>
        <v>800.5289259610278</v>
      </c>
      <c r="AB134" s="63">
        <f>AB131+AB133</f>
        <v>851.2809322904504</v>
      </c>
      <c r="AC134" s="63">
        <f>AC131+AC133</f>
        <v>952.7849449492958</v>
      </c>
    </row>
    <row r="136" ht="20" customHeight="1" spans="1:29" x14ac:dyDescent="0.25">
      <c r="A136" s="21" t="s">
        <v>94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x14ac:dyDescent="0.25">
      <c r="A137" s="33" t="s">
        <v>205</v>
      </c>
      <c r="B137" s="26" t="s">
        <v>86</v>
      </c>
      <c r="E137" s="37">
        <f>$C$85</f>
        <v>11073.806299798141</v>
      </c>
      <c r="F137" s="37">
        <f>E140</f>
        <v>10335.552546478266</v>
      </c>
      <c r="G137" s="37">
        <f>F140</f>
        <v>9597.29879315839</v>
      </c>
      <c r="H137" s="37">
        <f>G140</f>
        <v>8859.045039838515</v>
      </c>
      <c r="I137" s="37">
        <f>H140</f>
        <v>8120.791286518639</v>
      </c>
      <c r="J137" s="37">
        <f>I140</f>
        <v>7382.537533198763</v>
      </c>
      <c r="K137" s="37">
        <f>J140</f>
        <v>6644.283779878888</v>
      </c>
      <c r="L137" s="37">
        <f>K140</f>
        <v>5906.030026559012</v>
      </c>
      <c r="M137" s="37">
        <f>L140</f>
        <v>5167.776273239137</v>
      </c>
      <c r="N137" s="37">
        <f>M140</f>
        <v>4429.522519919261</v>
      </c>
      <c r="O137" s="37">
        <f>N140</f>
        <v>3691.268766599385</v>
      </c>
      <c r="P137" s="37">
        <f>O140</f>
        <v>2953.015013279509</v>
      </c>
      <c r="Q137" s="37">
        <f>P140</f>
        <v>2214.7612599596328</v>
      </c>
      <c r="R137" s="37">
        <f>Q140</f>
        <v>1476.5075066397567</v>
      </c>
      <c r="S137" s="37">
        <f>R140</f>
        <v>738.2537533198806</v>
      </c>
      <c r="T137" s="37">
        <f>S140</f>
        <v>4.547473508864641e-12</v>
      </c>
      <c r="U137" s="37">
        <f>T140</f>
        <v>4.547473508864641e-12</v>
      </c>
      <c r="V137" s="37">
        <f>U140</f>
        <v>4.547473508864641e-12</v>
      </c>
      <c r="W137" s="37">
        <f>V140</f>
        <v>4.547473508864641e-12</v>
      </c>
      <c r="X137" s="37">
        <f>W140</f>
        <v>4.547473508864641e-12</v>
      </c>
      <c r="Y137" s="37">
        <f>X140</f>
        <v>4.547473508864641e-12</v>
      </c>
      <c r="Z137" s="37">
        <f>Y140</f>
        <v>4.547473508864641e-12</v>
      </c>
      <c r="AA137" s="37">
        <f>Z140</f>
        <v>4.547473508864641e-12</v>
      </c>
      <c r="AB137" s="37">
        <f>AA140</f>
        <v>4.547473508864641e-12</v>
      </c>
      <c r="AC137" s="37">
        <f>AB140</f>
        <v>4.547473508864641e-12</v>
      </c>
    </row>
    <row r="138" spans="1:29" x14ac:dyDescent="0.25">
      <c r="A138" s="33" t="s">
        <v>206</v>
      </c>
      <c r="B138" s="26" t="s">
        <v>86</v>
      </c>
      <c r="C138" s="57">
        <f>SUM(E138:AC138)</f>
        <v>7973.140535854668</v>
      </c>
      <c r="E138" s="37">
        <f>E137*$C$63</f>
        <v>996.6425669818327</v>
      </c>
      <c r="F138" s="37">
        <f>F137*$C$63</f>
        <v>930.1997291830439</v>
      </c>
      <c r="G138" s="37">
        <f>G137*$C$63</f>
        <v>863.7568913842551</v>
      </c>
      <c r="H138" s="37">
        <f>H137*$C$63</f>
        <v>797.3140535854662</v>
      </c>
      <c r="I138" s="37">
        <f>I137*$C$63</f>
        <v>730.8712157866775</v>
      </c>
      <c r="J138" s="37">
        <f>J137*$C$63</f>
        <v>664.4283779878887</v>
      </c>
      <c r="K138" s="37">
        <f>K137*$C$63</f>
        <v>597.9855401890999</v>
      </c>
      <c r="L138" s="37">
        <f>L137*$C$63</f>
        <v>531.5427023903111</v>
      </c>
      <c r="M138" s="37">
        <f>M137*$C$63</f>
        <v>465.09986459152225</v>
      </c>
      <c r="N138" s="37">
        <f>N137*$C$63</f>
        <v>398.65702679273346</v>
      </c>
      <c r="O138" s="37">
        <f>O137*$C$63</f>
        <v>332.2141889939446</v>
      </c>
      <c r="P138" s="37">
        <f>P137*$C$63</f>
        <v>265.7713511951558</v>
      </c>
      <c r="Q138" s="37">
        <f>Q137*$C$63</f>
        <v>199.32851339636693</v>
      </c>
      <c r="R138" s="37">
        <f>R137*$C$63</f>
        <v>132.88567559757809</v>
      </c>
      <c r="S138" s="37">
        <f>S137*$C$63</f>
        <v>66.44283779878926</v>
      </c>
      <c r="T138" s="37">
        <f>T137*$C$63</f>
        <v>4.0927261579781767e-13</v>
      </c>
      <c r="U138" s="37">
        <f>U137*$C$63</f>
        <v>4.0927261579781767e-13</v>
      </c>
      <c r="V138" s="37">
        <f>V137*$C$63</f>
        <v>4.0927261579781767e-13</v>
      </c>
      <c r="W138" s="37">
        <f>W137*$C$63</f>
        <v>4.0927261579781767e-13</v>
      </c>
      <c r="X138" s="37">
        <f>X137*$C$63</f>
        <v>4.0927261579781767e-13</v>
      </c>
      <c r="Y138" s="37">
        <f>Y137*$C$63</f>
        <v>4.0927261579781767e-13</v>
      </c>
      <c r="Z138" s="37">
        <f>Z137*$C$63</f>
        <v>4.0927261579781767e-13</v>
      </c>
      <c r="AA138" s="37">
        <f>AA137*$C$63</f>
        <v>4.0927261579781767e-13</v>
      </c>
      <c r="AB138" s="37">
        <f>AB137*$C$63</f>
        <v>4.0927261579781767e-13</v>
      </c>
      <c r="AC138" s="37">
        <f>AC137*$C$63</f>
        <v>4.0927261579781767e-13</v>
      </c>
    </row>
    <row r="139" spans="1:29" x14ac:dyDescent="0.25">
      <c r="A139" s="33" t="s">
        <v>207</v>
      </c>
      <c r="B139" s="26" t="s">
        <v>86</v>
      </c>
      <c r="C139" s="57">
        <f>SUM(E139:AC139)</f>
        <v>11073.806299798138</v>
      </c>
      <c r="E139" s="37">
        <f>IF(AND(E$5&lt;=$C$88,E137&gt;1E-9),IF($C$65="annuity",MIN(E137,$C$89-E138),MIN(E137,$C$90)),0)</f>
        <v>738.2537533198761</v>
      </c>
      <c r="F139" s="37">
        <f>IF(AND(F$5&lt;=$C$88,F137&gt;1E-9),IF($C$65="annuity",MIN(F137,$C$89-F138),MIN(F137,$C$90)),0)</f>
        <v>738.2537533198761</v>
      </c>
      <c r="G139" s="37">
        <f>IF(AND(G$5&lt;=$C$88,G137&gt;1E-9),IF($C$65="annuity",MIN(G137,$C$89-G138),MIN(G137,$C$90)),0)</f>
        <v>738.2537533198761</v>
      </c>
      <c r="H139" s="37">
        <f>IF(AND(H$5&lt;=$C$88,H137&gt;1E-9),IF($C$65="annuity",MIN(H137,$C$89-H138),MIN(H137,$C$90)),0)</f>
        <v>738.2537533198761</v>
      </c>
      <c r="I139" s="37">
        <f>IF(AND(I$5&lt;=$C$88,I137&gt;1E-9),IF($C$65="annuity",MIN(I137,$C$89-I138),MIN(I137,$C$90)),0)</f>
        <v>738.2537533198761</v>
      </c>
      <c r="J139" s="37">
        <f>IF(AND(J$5&lt;=$C$88,J137&gt;1E-9),IF($C$65="annuity",MIN(J137,$C$89-J138),MIN(J137,$C$90)),0)</f>
        <v>738.2537533198761</v>
      </c>
      <c r="K139" s="37">
        <f>IF(AND(K$5&lt;=$C$88,K137&gt;1E-9),IF($C$65="annuity",MIN(K137,$C$89-K138),MIN(K137,$C$90)),0)</f>
        <v>738.2537533198761</v>
      </c>
      <c r="L139" s="37">
        <f>IF(AND(L$5&lt;=$C$88,L137&gt;1E-9),IF($C$65="annuity",MIN(L137,$C$89-L138),MIN(L137,$C$90)),0)</f>
        <v>738.2537533198761</v>
      </c>
      <c r="M139" s="37">
        <f>IF(AND(M$5&lt;=$C$88,M137&gt;1E-9),IF($C$65="annuity",MIN(M137,$C$89-M138),MIN(M137,$C$90)),0)</f>
        <v>738.2537533198761</v>
      </c>
      <c r="N139" s="37">
        <f>IF(AND(N$5&lt;=$C$88,N137&gt;1E-9),IF($C$65="annuity",MIN(N137,$C$89-N138),MIN(N137,$C$90)),0)</f>
        <v>738.2537533198761</v>
      </c>
      <c r="O139" s="37">
        <f>IF(AND(O$5&lt;=$C$88,O137&gt;1E-9),IF($C$65="annuity",MIN(O137,$C$89-O138),MIN(O137,$C$90)),0)</f>
        <v>738.2537533198761</v>
      </c>
      <c r="P139" s="37">
        <f>IF(AND(P$5&lt;=$C$88,P137&gt;1E-9),IF($C$65="annuity",MIN(P137,$C$89-P138),MIN(P137,$C$90)),0)</f>
        <v>738.2537533198761</v>
      </c>
      <c r="Q139" s="37">
        <f>IF(AND(Q$5&lt;=$C$88,Q137&gt;1E-9),IF($C$65="annuity",MIN(Q137,$C$89-Q138),MIN(Q137,$C$90)),0)</f>
        <v>738.2537533198761</v>
      </c>
      <c r="R139" s="37">
        <f>IF(AND(R$5&lt;=$C$88,R137&gt;1E-9),IF($C$65="annuity",MIN(R137,$C$89-R138),MIN(R137,$C$90)),0)</f>
        <v>738.2537533198761</v>
      </c>
      <c r="S139" s="37">
        <f>IF(AND(S$5&lt;=$C$88,S137&gt;1E-9),IF($C$65="annuity",MIN(S137,$C$89-S138),MIN(S137,$C$90)),0)</f>
        <v>738.2537533198761</v>
      </c>
      <c r="T139" s="37">
        <f>IF(AND(T$5&lt;=$C$88,T137&gt;1E-9),IF($C$65="annuity",MIN(T137,$C$89-T138),MIN(T137,$C$90)),0)</f>
        <v>0</v>
      </c>
      <c r="U139" s="37">
        <f>IF(AND(U$5&lt;=$C$88,U137&gt;1E-9),IF($C$65="annuity",MIN(U137,$C$89-U138),MIN(U137,$C$90)),0)</f>
        <v>0</v>
      </c>
      <c r="V139" s="37">
        <f>IF(AND(V$5&lt;=$C$88,V137&gt;1E-9),IF($C$65="annuity",MIN(V137,$C$89-V138),MIN(V137,$C$90)),0)</f>
        <v>0</v>
      </c>
      <c r="W139" s="37">
        <f>IF(AND(W$5&lt;=$C$88,W137&gt;1E-9),IF($C$65="annuity",MIN(W137,$C$89-W138),MIN(W137,$C$90)),0)</f>
        <v>0</v>
      </c>
      <c r="X139" s="37">
        <f>IF(AND(X$5&lt;=$C$88,X137&gt;1E-9),IF($C$65="annuity",MIN(X137,$C$89-X138),MIN(X137,$C$90)),0)</f>
        <v>0</v>
      </c>
      <c r="Y139" s="37">
        <f>IF(AND(Y$5&lt;=$C$88,Y137&gt;1E-9),IF($C$65="annuity",MIN(Y137,$C$89-Y138),MIN(Y137,$C$90)),0)</f>
        <v>0</v>
      </c>
      <c r="Z139" s="37">
        <f>IF(AND(Z$5&lt;=$C$88,Z137&gt;1E-9),IF($C$65="annuity",MIN(Z137,$C$89-Z138),MIN(Z137,$C$90)),0)</f>
        <v>0</v>
      </c>
      <c r="AA139" s="37">
        <f>IF(AND(AA$5&lt;=$C$88,AA137&gt;1E-9),IF($C$65="annuity",MIN(AA137,$C$89-AA138),MIN(AA137,$C$90)),0)</f>
        <v>0</v>
      </c>
      <c r="AB139" s="37">
        <f>IF(AND(AB$5&lt;=$C$88,AB137&gt;1E-9),IF($C$65="annuity",MIN(AB137,$C$89-AB138),MIN(AB137,$C$90)),0)</f>
        <v>0</v>
      </c>
      <c r="AC139" s="37">
        <f>IF(AND(AC$5&lt;=$C$88,AC137&gt;1E-9),IF($C$65="annuity",MIN(AC137,$C$89-AC138),MIN(AC137,$C$90)),0)</f>
        <v>0</v>
      </c>
    </row>
    <row r="140" spans="1:29" x14ac:dyDescent="0.25">
      <c r="A140" s="33" t="s">
        <v>208</v>
      </c>
      <c r="B140" s="26" t="s">
        <v>86</v>
      </c>
      <c r="E140" s="37">
        <f>E137-E139</f>
        <v>10335.552546478266</v>
      </c>
      <c r="F140" s="37">
        <f>F137-F139</f>
        <v>9597.29879315839</v>
      </c>
      <c r="G140" s="37">
        <f>G137-G139</f>
        <v>8859.045039838515</v>
      </c>
      <c r="H140" s="37">
        <f>H137-H139</f>
        <v>8120.791286518639</v>
      </c>
      <c r="I140" s="37">
        <f>I137-I139</f>
        <v>7382.537533198763</v>
      </c>
      <c r="J140" s="37">
        <f>J137-J139</f>
        <v>6644.283779878888</v>
      </c>
      <c r="K140" s="37">
        <f>K137-K139</f>
        <v>5906.030026559012</v>
      </c>
      <c r="L140" s="37">
        <f>L137-L139</f>
        <v>5167.776273239137</v>
      </c>
      <c r="M140" s="37">
        <f>M137-M139</f>
        <v>4429.522519919261</v>
      </c>
      <c r="N140" s="37">
        <f>N137-N139</f>
        <v>3691.268766599385</v>
      </c>
      <c r="O140" s="37">
        <f>O137-O139</f>
        <v>2953.015013279509</v>
      </c>
      <c r="P140" s="37">
        <f>P137-P139</f>
        <v>2214.7612599596328</v>
      </c>
      <c r="Q140" s="37">
        <f>Q137-Q139</f>
        <v>1476.5075066397567</v>
      </c>
      <c r="R140" s="37">
        <f>R137-R139</f>
        <v>738.2537533198806</v>
      </c>
      <c r="S140" s="37">
        <f>S137-S139</f>
        <v>4.547473508864641e-12</v>
      </c>
      <c r="T140" s="37">
        <f>T137-T139</f>
        <v>4.547473508864641e-12</v>
      </c>
      <c r="U140" s="37">
        <f>U137-U139</f>
        <v>4.547473508864641e-12</v>
      </c>
      <c r="V140" s="37">
        <f>V137-V139</f>
        <v>4.547473508864641e-12</v>
      </c>
      <c r="W140" s="37">
        <f>W137-W139</f>
        <v>4.547473508864641e-12</v>
      </c>
      <c r="X140" s="37">
        <f>X137-X139</f>
        <v>4.547473508864641e-12</v>
      </c>
      <c r="Y140" s="37">
        <f>Y137-Y139</f>
        <v>4.547473508864641e-12</v>
      </c>
      <c r="Z140" s="37">
        <f>Z137-Z139</f>
        <v>4.547473508864641e-12</v>
      </c>
      <c r="AA140" s="37">
        <f>AA137-AA139</f>
        <v>4.547473508864641e-12</v>
      </c>
      <c r="AB140" s="37">
        <f>AB137-AB139</f>
        <v>4.547473508864641e-12</v>
      </c>
      <c r="AC140" s="37">
        <f>AC137-AC139</f>
        <v>4.547473508864641e-12</v>
      </c>
    </row>
    <row r="141" spans="1:29" x14ac:dyDescent="0.25">
      <c r="A141" s="61" t="s">
        <v>209</v>
      </c>
      <c r="B141" s="62" t="s">
        <v>86</v>
      </c>
      <c r="C141" s="63">
        <f>SUM(E141:AC141)</f>
        <v>19046.94683565281</v>
      </c>
      <c r="D141" s="64"/>
      <c r="E141" s="63">
        <f>E138+E139</f>
        <v>1734.8963203017088</v>
      </c>
      <c r="F141" s="63">
        <f>F138+F139</f>
        <v>1668.45348250292</v>
      </c>
      <c r="G141" s="63">
        <f>G138+G139</f>
        <v>1602.0106447041312</v>
      </c>
      <c r="H141" s="63">
        <f>H138+H139</f>
        <v>1535.5678069053424</v>
      </c>
      <c r="I141" s="63">
        <f>I138+I139</f>
        <v>1469.1249691065536</v>
      </c>
      <c r="J141" s="63">
        <f>J138+J139</f>
        <v>1402.6821313077648</v>
      </c>
      <c r="K141" s="63">
        <f>K138+K139</f>
        <v>1336.239293508976</v>
      </c>
      <c r="L141" s="63">
        <f>L138+L139</f>
        <v>1269.7964557101873</v>
      </c>
      <c r="M141" s="63">
        <f>M138+M139</f>
        <v>1203.3536179113983</v>
      </c>
      <c r="N141" s="63">
        <f>N138+N139</f>
        <v>1136.9107801126095</v>
      </c>
      <c r="O141" s="63">
        <f>O138+O139</f>
        <v>1070.4679423138207</v>
      </c>
      <c r="P141" s="63">
        <f>P138+P139</f>
        <v>1004.0251045150319</v>
      </c>
      <c r="Q141" s="63">
        <f>Q138+Q139</f>
        <v>937.582266716243</v>
      </c>
      <c r="R141" s="63">
        <f>R138+R139</f>
        <v>871.1394289174541</v>
      </c>
      <c r="S141" s="63">
        <f>S138+S139</f>
        <v>804.6965911186653</v>
      </c>
      <c r="T141" s="63">
        <f>T138+T139</f>
        <v>4.0927261579781767e-13</v>
      </c>
      <c r="U141" s="63">
        <f>U138+U139</f>
        <v>4.0927261579781767e-13</v>
      </c>
      <c r="V141" s="63">
        <f>V138+V139</f>
        <v>4.0927261579781767e-13</v>
      </c>
      <c r="W141" s="63">
        <f>W138+W139</f>
        <v>4.0927261579781767e-13</v>
      </c>
      <c r="X141" s="63">
        <f>X138+X139</f>
        <v>4.0927261579781767e-13</v>
      </c>
      <c r="Y141" s="63">
        <f>Y138+Y139</f>
        <v>4.0927261579781767e-13</v>
      </c>
      <c r="Z141" s="63">
        <f>Z138+Z139</f>
        <v>4.0927261579781767e-13</v>
      </c>
      <c r="AA141" s="63">
        <f>AA138+AA139</f>
        <v>4.0927261579781767e-13</v>
      </c>
      <c r="AB141" s="63">
        <f>AB138+AB139</f>
        <v>4.0927261579781767e-13</v>
      </c>
      <c r="AC141" s="63">
        <f>AC138+AC139</f>
        <v>4.0927261579781767e-13</v>
      </c>
    </row>
    <row r="143" ht="20" customHeight="1" spans="1:29" x14ac:dyDescent="0.25">
      <c r="A143" s="21" t="s">
        <v>163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x14ac:dyDescent="0.25">
      <c r="A144" s="33" t="s">
        <v>210</v>
      </c>
      <c r="B144" s="26" t="s">
        <v>86</v>
      </c>
      <c r="E144" s="37">
        <f>$C$84</f>
        <v>15819.723285425918</v>
      </c>
      <c r="F144" s="37">
        <f>E147</f>
        <v>9491.83397125555</v>
      </c>
      <c r="G144" s="37">
        <f>F147</f>
        <v>5756.002790348637</v>
      </c>
      <c r="H144" s="37">
        <f>G147</f>
        <v>3514.5040818044895</v>
      </c>
      <c r="I144" s="37">
        <f>H147</f>
        <v>2169.604856678001</v>
      </c>
      <c r="J144" s="37">
        <f>I147</f>
        <v>1362.6653216021077</v>
      </c>
      <c r="K144" s="37">
        <f>J147</f>
        <v>878.5016005565718</v>
      </c>
      <c r="L144" s="37">
        <f>K147</f>
        <v>588.0033679292503</v>
      </c>
      <c r="M144" s="37">
        <f>L147</f>
        <v>413.70442835285746</v>
      </c>
      <c r="N144" s="37">
        <f>M147</f>
        <v>309.1250646070217</v>
      </c>
      <c r="O144" s="37">
        <f>N147</f>
        <v>246.37744635952026</v>
      </c>
      <c r="P144" s="37">
        <f>O147</f>
        <v>208.7288754110194</v>
      </c>
      <c r="Q144" s="37">
        <f>P147</f>
        <v>186.13973284191889</v>
      </c>
      <c r="R144" s="37">
        <f>Q147</f>
        <v>172.58624730045858</v>
      </c>
      <c r="S144" s="37">
        <f>R147</f>
        <v>164.45415597558238</v>
      </c>
      <c r="T144" s="37">
        <f>S147</f>
        <v>159.5749011806567</v>
      </c>
      <c r="U144" s="37">
        <f>T147</f>
        <v>156.64734830370125</v>
      </c>
      <c r="V144" s="37">
        <f>U147</f>
        <v>154.890816577528</v>
      </c>
      <c r="W144" s="37">
        <f>V147</f>
        <v>153.83689754182404</v>
      </c>
      <c r="X144" s="37">
        <f>W147</f>
        <v>153.20454612040166</v>
      </c>
      <c r="Y144" s="37">
        <f>X147</f>
        <v>152.82513526754826</v>
      </c>
      <c r="Z144" s="37">
        <f>Y147</f>
        <v>152.5974887558362</v>
      </c>
      <c r="AA144" s="37">
        <f>Z147</f>
        <v>152.46090084880893</v>
      </c>
      <c r="AB144" s="37">
        <f>AA147</f>
        <v>152.3789481045926</v>
      </c>
      <c r="AC144" s="37">
        <f>AB147</f>
        <v>152.32977645806278</v>
      </c>
    </row>
    <row r="145" spans="1:29" x14ac:dyDescent="0.25">
      <c r="A145" s="33" t="s">
        <v>211</v>
      </c>
      <c r="B145" s="26" t="s">
        <v>86</v>
      </c>
      <c r="C145" s="57">
        <f>SUM(E145:AC145)</f>
        <v>2436.09630381229</v>
      </c>
      <c r="E145" s="37">
        <f>E128</f>
        <v>0</v>
      </c>
      <c r="F145" s="37">
        <f>F128</f>
        <v>101.50401265884541</v>
      </c>
      <c r="G145" s="37">
        <f>G128</f>
        <v>101.50401265884541</v>
      </c>
      <c r="H145" s="37">
        <f>H128</f>
        <v>101.50401265884541</v>
      </c>
      <c r="I145" s="37">
        <f>I128</f>
        <v>101.50401265884541</v>
      </c>
      <c r="J145" s="37">
        <f>J128</f>
        <v>101.50401265884541</v>
      </c>
      <c r="K145" s="37">
        <f>K128</f>
        <v>101.50401265884541</v>
      </c>
      <c r="L145" s="37">
        <f>L128</f>
        <v>101.50401265884541</v>
      </c>
      <c r="M145" s="37">
        <f>M128</f>
        <v>101.50401265884541</v>
      </c>
      <c r="N145" s="37">
        <f>N128</f>
        <v>101.50401265884541</v>
      </c>
      <c r="O145" s="37">
        <f>O128</f>
        <v>101.50401265884541</v>
      </c>
      <c r="P145" s="37">
        <f>P128</f>
        <v>101.50401265884541</v>
      </c>
      <c r="Q145" s="37">
        <f>Q128</f>
        <v>101.50401265884541</v>
      </c>
      <c r="R145" s="37">
        <f>R128</f>
        <v>101.50401265884541</v>
      </c>
      <c r="S145" s="37">
        <f>S128</f>
        <v>101.50401265884541</v>
      </c>
      <c r="T145" s="37">
        <f>T128</f>
        <v>101.50401265884541</v>
      </c>
      <c r="U145" s="37">
        <f>U128</f>
        <v>101.50401265884541</v>
      </c>
      <c r="V145" s="37">
        <f>V128</f>
        <v>101.50401265884541</v>
      </c>
      <c r="W145" s="37">
        <f>W128</f>
        <v>101.50401265884541</v>
      </c>
      <c r="X145" s="37">
        <f>X128</f>
        <v>101.50401265884541</v>
      </c>
      <c r="Y145" s="37">
        <f>Y128</f>
        <v>101.50401265884541</v>
      </c>
      <c r="Z145" s="37">
        <f>Z128</f>
        <v>101.50401265884541</v>
      </c>
      <c r="AA145" s="37">
        <f>AA128</f>
        <v>101.50401265884541</v>
      </c>
      <c r="AB145" s="37">
        <f>AB128</f>
        <v>101.50401265884541</v>
      </c>
      <c r="AC145" s="37">
        <f>AC128</f>
        <v>101.50401265884541</v>
      </c>
    </row>
    <row r="146" spans="1:29" x14ac:dyDescent="0.25">
      <c r="A146" s="61" t="s">
        <v>163</v>
      </c>
      <c r="B146" s="62" t="s">
        <v>86</v>
      </c>
      <c r="C146" s="63">
        <f>SUM(E146:AC146)</f>
        <v>18103.51931576806</v>
      </c>
      <c r="D146" s="64"/>
      <c r="E146" s="63">
        <f>IF($C$70="wdv",(E144+E145)*$C$71,E134)</f>
        <v>6327.8893141703675</v>
      </c>
      <c r="F146" s="63">
        <f>IF($C$70="wdv",(F144+F145)*$C$71,F134)</f>
        <v>3837.335193565758</v>
      </c>
      <c r="G146" s="63">
        <f>IF($C$70="wdv",(G144+G145)*$C$71,G134)</f>
        <v>2343.002721202993</v>
      </c>
      <c r="H146" s="63">
        <f>IF($C$70="wdv",(H144+H145)*$C$71,H134)</f>
        <v>1446.403237785334</v>
      </c>
      <c r="I146" s="63">
        <f>IF($C$70="wdv",(I144+I145)*$C$71,I134)</f>
        <v>908.4435477347387</v>
      </c>
      <c r="J146" s="63">
        <f>IF($C$70="wdv",(J144+J145)*$C$71,J134)</f>
        <v>585.6677337043812</v>
      </c>
      <c r="K146" s="63">
        <f>IF($C$70="wdv",(K144+K145)*$C$71,K134)</f>
        <v>392.00224528616695</v>
      </c>
      <c r="L146" s="63">
        <f>IF($C$70="wdv",(L144+L145)*$C$71,L134)</f>
        <v>275.8029522352383</v>
      </c>
      <c r="M146" s="63">
        <f>IF($C$70="wdv",(M144+M145)*$C$71,M134)</f>
        <v>206.0833764046812</v>
      </c>
      <c r="N146" s="63">
        <f>IF($C$70="wdv",(N144+N145)*$C$71,N134)</f>
        <v>164.25163090634686</v>
      </c>
      <c r="O146" s="63">
        <f>IF($C$70="wdv",(O144+O145)*$C$71,O134)</f>
        <v>139.15258360734626</v>
      </c>
      <c r="P146" s="63">
        <f>IF($C$70="wdv",(P144+P145)*$C$71,P134)</f>
        <v>124.09315522794594</v>
      </c>
      <c r="Q146" s="63">
        <f>IF($C$70="wdv",(Q144+Q145)*$C$71,Q134)</f>
        <v>115.05749820030572</v>
      </c>
      <c r="R146" s="63">
        <f>IF($C$70="wdv",(R144+R145)*$C$71,R134)</f>
        <v>109.6361039837216</v>
      </c>
      <c r="S146" s="63">
        <f>IF($C$70="wdv",(S144+S145)*$C$71,S134)</f>
        <v>106.38326745377113</v>
      </c>
      <c r="T146" s="63">
        <f>IF($C$70="wdv",(T144+T145)*$C$71,T134)</f>
        <v>104.43156553580084</v>
      </c>
      <c r="U146" s="63">
        <f>IF($C$70="wdv",(U144+U145)*$C$71,U134)</f>
        <v>103.26054438501868</v>
      </c>
      <c r="V146" s="63">
        <f>IF($C$70="wdv",(V144+V145)*$C$71,V134)</f>
        <v>102.55793169454938</v>
      </c>
      <c r="W146" s="63">
        <f>IF($C$70="wdv",(W144+W145)*$C$71,W134)</f>
        <v>102.13636408026778</v>
      </c>
      <c r="X146" s="63">
        <f>IF($C$70="wdv",(X144+X145)*$C$71,X134)</f>
        <v>101.88342351169884</v>
      </c>
      <c r="Y146" s="63">
        <f>IF($C$70="wdv",(Y144+Y145)*$C$71,Y134)</f>
        <v>101.73165917055746</v>
      </c>
      <c r="Z146" s="63">
        <f>IF($C$70="wdv",(Z144+Z145)*$C$71,Z134)</f>
        <v>101.64060056587265</v>
      </c>
      <c r="AA146" s="63">
        <f>IF($C$70="wdv",(AA144+AA145)*$C$71,AA134)</f>
        <v>101.58596540306173</v>
      </c>
      <c r="AB146" s="63">
        <f>IF($C$70="wdv",(AB144+AB145)*$C$71,AB134)</f>
        <v>101.55318430537521</v>
      </c>
      <c r="AC146" s="63">
        <f>IF($C$70="wdv",(AC144+AC145)*$C$71,AC134)</f>
        <v>101.53351564676328</v>
      </c>
    </row>
    <row r="147" spans="1:29" x14ac:dyDescent="0.25">
      <c r="A147" s="33" t="s">
        <v>212</v>
      </c>
      <c r="B147" s="26" t="s">
        <v>86</v>
      </c>
      <c r="E147" s="37">
        <f>E144+E145-IF($C$70="wdv",E146,0)</f>
        <v>9491.83397125555</v>
      </c>
      <c r="F147" s="37">
        <f>F144+F145-IF($C$70="wdv",F146,0)</f>
        <v>5756.002790348637</v>
      </c>
      <c r="G147" s="37">
        <f>G144+G145-IF($C$70="wdv",G146,0)</f>
        <v>3514.5040818044895</v>
      </c>
      <c r="H147" s="37">
        <f>H144+H145-IF($C$70="wdv",H146,0)</f>
        <v>2169.604856678001</v>
      </c>
      <c r="I147" s="37">
        <f>I144+I145-IF($C$70="wdv",I146,0)</f>
        <v>1362.6653216021077</v>
      </c>
      <c r="J147" s="37">
        <f>J144+J145-IF($C$70="wdv",J146,0)</f>
        <v>878.5016005565718</v>
      </c>
      <c r="K147" s="37">
        <f>K144+K145-IF($C$70="wdv",K146,0)</f>
        <v>588.0033679292503</v>
      </c>
      <c r="L147" s="37">
        <f>L144+L145-IF($C$70="wdv",L146,0)</f>
        <v>413.70442835285746</v>
      </c>
      <c r="M147" s="37">
        <f>M144+M145-IF($C$70="wdv",M146,0)</f>
        <v>309.1250646070217</v>
      </c>
      <c r="N147" s="37">
        <f>N144+N145-IF($C$70="wdv",N146,0)</f>
        <v>246.37744635952026</v>
      </c>
      <c r="O147" s="37">
        <f>O144+O145-IF($C$70="wdv",O146,0)</f>
        <v>208.7288754110194</v>
      </c>
      <c r="P147" s="37">
        <f>P144+P145-IF($C$70="wdv",P146,0)</f>
        <v>186.13973284191889</v>
      </c>
      <c r="Q147" s="37">
        <f>Q144+Q145-IF($C$70="wdv",Q146,0)</f>
        <v>172.58624730045858</v>
      </c>
      <c r="R147" s="37">
        <f>R144+R145-IF($C$70="wdv",R146,0)</f>
        <v>164.45415597558238</v>
      </c>
      <c r="S147" s="37">
        <f>S144+S145-IF($C$70="wdv",S146,0)</f>
        <v>159.5749011806567</v>
      </c>
      <c r="T147" s="37">
        <f>T144+T145-IF($C$70="wdv",T146,0)</f>
        <v>156.64734830370125</v>
      </c>
      <c r="U147" s="37">
        <f>U144+U145-IF($C$70="wdv",U146,0)</f>
        <v>154.890816577528</v>
      </c>
      <c r="V147" s="37">
        <f>V144+V145-IF($C$70="wdv",V146,0)</f>
        <v>153.83689754182404</v>
      </c>
      <c r="W147" s="37">
        <f>W144+W145-IF($C$70="wdv",W146,0)</f>
        <v>153.20454612040166</v>
      </c>
      <c r="X147" s="37">
        <f>X144+X145-IF($C$70="wdv",X146,0)</f>
        <v>152.82513526754826</v>
      </c>
      <c r="Y147" s="37">
        <f>Y144+Y145-IF($C$70="wdv",Y146,0)</f>
        <v>152.5974887558362</v>
      </c>
      <c r="Z147" s="37">
        <f>Z144+Z145-IF($C$70="wdv",Z146,0)</f>
        <v>152.46090084880893</v>
      </c>
      <c r="AA147" s="37">
        <f>AA144+AA145-IF($C$70="wdv",AA146,0)</f>
        <v>152.3789481045926</v>
      </c>
      <c r="AB147" s="37">
        <f>AB144+AB145-IF($C$70="wdv",AB146,0)</f>
        <v>152.32977645806278</v>
      </c>
      <c r="AC147" s="37">
        <f>AC144+AC145-IF($C$70="wdv",AC146,0)</f>
        <v>152.3002734701449</v>
      </c>
    </row>
    <row r="149" ht="20" customHeight="1" spans="1:29" x14ac:dyDescent="0.25">
      <c r="A149" s="21" t="s">
        <v>213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x14ac:dyDescent="0.25">
      <c r="A150" s="33" t="s">
        <v>198</v>
      </c>
      <c r="B150" s="26" t="s">
        <v>86</v>
      </c>
      <c r="C150" s="57">
        <f>SUM(E150:AC150)</f>
        <v>51584.66420326913</v>
      </c>
      <c r="E150" s="37">
        <f>E124</f>
        <v>2273.5810243834894</v>
      </c>
      <c r="F150" s="37">
        <f>F124</f>
        <v>2260.417028773386</v>
      </c>
      <c r="G150" s="37">
        <f>G124</f>
        <v>2246.830603363288</v>
      </c>
      <c r="H150" s="37">
        <f>H124</f>
        <v>2232.8006266631974</v>
      </c>
      <c r="I150" s="37">
        <f>I124</f>
        <v>2218.304921108612</v>
      </c>
      <c r="J150" s="37">
        <f>J124</f>
        <v>2203.320200256808</v>
      </c>
      <c r="K150" s="37">
        <f>K124</f>
        <v>2187.8220133429263</v>
      </c>
      <c r="L150" s="37">
        <f>L124</f>
        <v>2171.7846870638605</v>
      </c>
      <c r="M150" s="37">
        <f>M124</f>
        <v>2155.181264451353</v>
      </c>
      <c r="N150" s="37">
        <f>N124</f>
        <v>2137.9834406887303</v>
      </c>
      <c r="O150" s="37">
        <f>O124</f>
        <v>2120.1614957184884</v>
      </c>
      <c r="P150" s="37">
        <f>P124</f>
        <v>2101.684223480245</v>
      </c>
      <c r="Q150" s="37">
        <f>Q124</f>
        <v>2082.5188576105998</v>
      </c>
      <c r="R150" s="37">
        <f>R124</f>
        <v>2062.6309934279843</v>
      </c>
      <c r="S150" s="37">
        <f>S124</f>
        <v>2041.9845060167486</v>
      </c>
      <c r="T150" s="37">
        <f>T124</f>
        <v>2020.5414642154628</v>
      </c>
      <c r="U150" s="37">
        <f>U124</f>
        <v>1998.262040304623</v>
      </c>
      <c r="V150" s="37">
        <f>V124</f>
        <v>1975.1044151787523</v>
      </c>
      <c r="W150" s="37">
        <f>W124</f>
        <v>1951.0246787770989</v>
      </c>
      <c r="X150" s="37">
        <f>X124</f>
        <v>1925.9767255358738</v>
      </c>
      <c r="Y150" s="37">
        <f>Y124</f>
        <v>1899.912144613099</v>
      </c>
      <c r="Z150" s="37">
        <f>Z124</f>
        <v>1872.780104624696</v>
      </c>
      <c r="AA150" s="37">
        <f>AA124</f>
        <v>1844.527232617384</v>
      </c>
      <c r="AB150" s="37">
        <f>AB124</f>
        <v>1815.0974869902172</v>
      </c>
      <c r="AC150" s="37">
        <f>AC124</f>
        <v>1784.4320240622033</v>
      </c>
    </row>
    <row r="151" spans="1:29" x14ac:dyDescent="0.25">
      <c r="A151" s="33" t="s">
        <v>214</v>
      </c>
      <c r="B151" s="26" t="s">
        <v>86</v>
      </c>
      <c r="C151" s="57">
        <f>SUM(E151:AC151)</f>
        <v>16673.847260695617</v>
      </c>
      <c r="E151" s="37">
        <f>E134</f>
        <v>569.510038275333</v>
      </c>
      <c r="F151" s="37">
        <f>F134</f>
        <v>573.7393721361183</v>
      </c>
      <c r="G151" s="37">
        <f>G134</f>
        <v>578.1525900778072</v>
      </c>
      <c r="H151" s="37">
        <f>H134</f>
        <v>582.7664088350274</v>
      </c>
      <c r="I151" s="37">
        <f>I134</f>
        <v>587.5999332473534</v>
      </c>
      <c r="J151" s="37">
        <f>J134</f>
        <v>592.6751338802957</v>
      </c>
      <c r="K151" s="37">
        <f>K134</f>
        <v>598.0174503360244</v>
      </c>
      <c r="L151" s="37">
        <f>L134</f>
        <v>603.6565621504047</v>
      </c>
      <c r="M151" s="37">
        <f>M134</f>
        <v>609.6273864244545</v>
      </c>
      <c r="N151" s="37">
        <f>N134</f>
        <v>615.9713872156323</v>
      </c>
      <c r="O151" s="37">
        <f>O134</f>
        <v>622.7383213928887</v>
      </c>
      <c r="P151" s="37">
        <f>P134</f>
        <v>629.9886080113776</v>
      </c>
      <c r="Q151" s="37">
        <f>Q134</f>
        <v>637.796608985135</v>
      </c>
      <c r="R151" s="37">
        <f>R134</f>
        <v>646.2552767067053</v>
      </c>
      <c r="S151" s="37">
        <f>S134</f>
        <v>655.4829142211458</v>
      </c>
      <c r="T151" s="37">
        <f>T134</f>
        <v>665.6333154870304</v>
      </c>
      <c r="U151" s="37">
        <f>U134</f>
        <v>676.911539115791</v>
      </c>
      <c r="V151" s="37">
        <f>V134</f>
        <v>689.5995406981467</v>
      </c>
      <c r="W151" s="37">
        <f>W134</f>
        <v>704.1001139351246</v>
      </c>
      <c r="X151" s="37">
        <f>X134</f>
        <v>721.0174493782655</v>
      </c>
      <c r="Y151" s="37">
        <f>Y134</f>
        <v>741.3182519100346</v>
      </c>
      <c r="Z151" s="37">
        <f>Z134</f>
        <v>766.6942550747459</v>
      </c>
      <c r="AA151" s="37">
        <f>AA134</f>
        <v>800.5289259610278</v>
      </c>
      <c r="AB151" s="37">
        <f>AB134</f>
        <v>851.2809322904504</v>
      </c>
      <c r="AC151" s="37">
        <f>AC134</f>
        <v>952.7849449492958</v>
      </c>
    </row>
    <row r="152" spans="1:29" x14ac:dyDescent="0.25">
      <c r="A152" s="33" t="s">
        <v>215</v>
      </c>
      <c r="B152" s="26" t="s">
        <v>86</v>
      </c>
      <c r="C152" s="57">
        <f>SUM(E152:AC152)</f>
        <v>7973.140535854668</v>
      </c>
      <c r="E152" s="37">
        <f>E138</f>
        <v>996.6425669818327</v>
      </c>
      <c r="F152" s="37">
        <f>F138</f>
        <v>930.1997291830439</v>
      </c>
      <c r="G152" s="37">
        <f>G138</f>
        <v>863.7568913842551</v>
      </c>
      <c r="H152" s="37">
        <f>H138</f>
        <v>797.3140535854662</v>
      </c>
      <c r="I152" s="37">
        <f>I138</f>
        <v>730.8712157866775</v>
      </c>
      <c r="J152" s="37">
        <f>J138</f>
        <v>664.4283779878887</v>
      </c>
      <c r="K152" s="37">
        <f>K138</f>
        <v>597.9855401890999</v>
      </c>
      <c r="L152" s="37">
        <f>L138</f>
        <v>531.5427023903111</v>
      </c>
      <c r="M152" s="37">
        <f>M138</f>
        <v>465.09986459152225</v>
      </c>
      <c r="N152" s="37">
        <f>N138</f>
        <v>398.65702679273346</v>
      </c>
      <c r="O152" s="37">
        <f>O138</f>
        <v>332.2141889939446</v>
      </c>
      <c r="P152" s="37">
        <f>P138</f>
        <v>265.7713511951558</v>
      </c>
      <c r="Q152" s="37">
        <f>Q138</f>
        <v>199.32851339636693</v>
      </c>
      <c r="R152" s="37">
        <f>R138</f>
        <v>132.88567559757809</v>
      </c>
      <c r="S152" s="37">
        <f>S138</f>
        <v>66.44283779878926</v>
      </c>
      <c r="T152" s="37">
        <f>T138</f>
        <v>4.0927261579781767e-13</v>
      </c>
      <c r="U152" s="37">
        <f>U138</f>
        <v>4.0927261579781767e-13</v>
      </c>
      <c r="V152" s="37">
        <f>V138</f>
        <v>4.0927261579781767e-13</v>
      </c>
      <c r="W152" s="37">
        <f>W138</f>
        <v>4.0927261579781767e-13</v>
      </c>
      <c r="X152" s="37">
        <f>X138</f>
        <v>4.0927261579781767e-13</v>
      </c>
      <c r="Y152" s="37">
        <f>Y138</f>
        <v>4.0927261579781767e-13</v>
      </c>
      <c r="Z152" s="37">
        <f>Z138</f>
        <v>4.0927261579781767e-13</v>
      </c>
      <c r="AA152" s="37">
        <f>AA138</f>
        <v>4.0927261579781767e-13</v>
      </c>
      <c r="AB152" s="37">
        <f>AB138</f>
        <v>4.0927261579781767e-13</v>
      </c>
      <c r="AC152" s="37">
        <f>AC138</f>
        <v>4.0927261579781767e-13</v>
      </c>
    </row>
    <row r="153" spans="1:29" x14ac:dyDescent="0.25">
      <c r="A153" s="61" t="s">
        <v>216</v>
      </c>
      <c r="B153" s="62" t="s">
        <v>86</v>
      </c>
      <c r="C153" s="63">
        <f>SUM(E153:AC153)</f>
        <v>26937.676406718838</v>
      </c>
      <c r="D153" s="64"/>
      <c r="E153" s="63">
        <f>E150-E151-E152</f>
        <v>707.4284191263237</v>
      </c>
      <c r="F153" s="63">
        <f>F150-F151-F152</f>
        <v>756.4779274542238</v>
      </c>
      <c r="G153" s="63">
        <f>G150-G151-G152</f>
        <v>804.9211219012257</v>
      </c>
      <c r="H153" s="63">
        <f>H150-H151-H152</f>
        <v>852.7201642427036</v>
      </c>
      <c r="I153" s="63">
        <f>I150-I151-I152</f>
        <v>899.8337720745809</v>
      </c>
      <c r="J153" s="63">
        <f>J150-J151-J152</f>
        <v>946.216688388624</v>
      </c>
      <c r="K153" s="63">
        <f>K150-K151-K152</f>
        <v>991.819022817802</v>
      </c>
      <c r="L153" s="63">
        <f>L150-L151-L152</f>
        <v>1036.5854225231446</v>
      </c>
      <c r="M153" s="63">
        <f>M150-M151-M152</f>
        <v>1080.4540134353763</v>
      </c>
      <c r="N153" s="63">
        <f>N150-N151-N152</f>
        <v>1123.3550266803647</v>
      </c>
      <c r="O153" s="63">
        <f>O150-O151-O152</f>
        <v>1165.208985331655</v>
      </c>
      <c r="P153" s="63">
        <f>P150-P151-P152</f>
        <v>1205.9242642737115</v>
      </c>
      <c r="Q153" s="63">
        <f>Q150-Q151-Q152</f>
        <v>1245.3937352290977</v>
      </c>
      <c r="R153" s="63">
        <f>R150-R151-R152</f>
        <v>1283.4900411237008</v>
      </c>
      <c r="S153" s="63">
        <f>S150-S151-S152</f>
        <v>1320.0587539968135</v>
      </c>
      <c r="T153" s="63">
        <f>T150-T151-T152</f>
        <v>1354.908148728432</v>
      </c>
      <c r="U153" s="63">
        <f>U150-U151-U152</f>
        <v>1321.3505011888315</v>
      </c>
      <c r="V153" s="63">
        <f>V150-V151-V152</f>
        <v>1285.5048744806052</v>
      </c>
      <c r="W153" s="63">
        <f>W150-W151-W152</f>
        <v>1246.9245648419737</v>
      </c>
      <c r="X153" s="63">
        <f>X150-X151-X152</f>
        <v>1204.9592761576077</v>
      </c>
      <c r="Y153" s="63">
        <f>Y150-Y151-Y152</f>
        <v>1158.5938927030638</v>
      </c>
      <c r="Z153" s="63">
        <f>Z150-Z151-Z152</f>
        <v>1106.0858495499497</v>
      </c>
      <c r="AA153" s="63">
        <f>AA150-AA151-AA152</f>
        <v>1043.998306656356</v>
      </c>
      <c r="AB153" s="63">
        <f>AB150-AB151-AB152</f>
        <v>963.8165546997664</v>
      </c>
      <c r="AC153" s="63">
        <f>AC150-AC151-AC152</f>
        <v>831.647079112907</v>
      </c>
    </row>
    <row r="154" spans="1:29" x14ac:dyDescent="0.25">
      <c r="A154" s="33" t="s">
        <v>217</v>
      </c>
      <c r="B154" s="26" t="s">
        <v>86</v>
      </c>
      <c r="E154" s="37">
        <f>E124-E138-E146</f>
        <v>-5050.950856768711</v>
      </c>
      <c r="F154" s="37">
        <f>F124-F138-F146</f>
        <v>-2507.117893975416</v>
      </c>
      <c r="G154" s="37">
        <f>G124-G138-G146</f>
        <v>-959.9290092239603</v>
      </c>
      <c r="H154" s="37">
        <f>H124-H138-H146</f>
        <v>-10.916664707603104</v>
      </c>
      <c r="I154" s="37">
        <f>I124-I138-I146</f>
        <v>578.9901575871955</v>
      </c>
      <c r="J154" s="37">
        <f>J124-J138-J146</f>
        <v>953.2240885645382</v>
      </c>
      <c r="K154" s="37">
        <f>K124-K138-K146</f>
        <v>1197.8342278676594</v>
      </c>
      <c r="L154" s="37">
        <f>L124-L138-L146</f>
        <v>1364.439032438311</v>
      </c>
      <c r="M154" s="37">
        <f>M124-M138-M146</f>
        <v>1483.9980234551495</v>
      </c>
      <c r="N154" s="37">
        <f>N124-N138-N146</f>
        <v>1575.07478298965</v>
      </c>
      <c r="O154" s="37">
        <f>O124-O138-O146</f>
        <v>1648.7947231171975</v>
      </c>
      <c r="P154" s="37">
        <f>P124-P138-P146</f>
        <v>1711.819717057143</v>
      </c>
      <c r="Q154" s="37">
        <f>Q124-Q138-Q146</f>
        <v>1768.1328460139273</v>
      </c>
      <c r="R154" s="37">
        <f>R124-R138-R146</f>
        <v>1820.1092138466847</v>
      </c>
      <c r="S154" s="37">
        <f>S124-S138-S146</f>
        <v>1869.1584007641882</v>
      </c>
      <c r="T154" s="37">
        <f>T124-T138-T146</f>
        <v>1916.1098986796615</v>
      </c>
      <c r="U154" s="37">
        <f>U124-U138-U146</f>
        <v>1895.001495919604</v>
      </c>
      <c r="V154" s="37">
        <f>V124-V138-V146</f>
        <v>1872.5464834842026</v>
      </c>
      <c r="W154" s="37">
        <f>W124-W138-W146</f>
        <v>1848.8883146968305</v>
      </c>
      <c r="X154" s="37">
        <f>X124-X138-X146</f>
        <v>1824.0933020241746</v>
      </c>
      <c r="Y154" s="37">
        <f>Y124-Y138-Y146</f>
        <v>1798.1804854425409</v>
      </c>
      <c r="Z154" s="37">
        <f>Z124-Z138-Z146</f>
        <v>1771.139504058823</v>
      </c>
      <c r="AA154" s="37">
        <f>AA124-AA138-AA146</f>
        <v>1742.941267214322</v>
      </c>
      <c r="AB154" s="37">
        <f>AB124-AB138-AB146</f>
        <v>1713.5443026848416</v>
      </c>
      <c r="AC154" s="37">
        <f>AC124-AC138-AC146</f>
        <v>1682.8985084154394</v>
      </c>
    </row>
    <row r="155" spans="1:29" x14ac:dyDescent="0.25">
      <c r="A155" s="33" t="s">
        <v>218</v>
      </c>
      <c r="B155" s="26" t="s">
        <v>86</v>
      </c>
      <c r="E155" s="37">
        <f>0</f>
        <v>0</v>
      </c>
      <c r="F155" s="37">
        <f>E158</f>
        <v>5050.950856768711</v>
      </c>
      <c r="G155" s="37">
        <f>F158</f>
        <v>7558.068750744127</v>
      </c>
      <c r="H155" s="37">
        <f>G158</f>
        <v>8517.997759968088</v>
      </c>
      <c r="I155" s="37">
        <f>H158</f>
        <v>8528.914424675691</v>
      </c>
      <c r="J155" s="37">
        <f>I158</f>
        <v>7949.924267088496</v>
      </c>
      <c r="K155" s="37">
        <f>J158</f>
        <v>6996.700178523958</v>
      </c>
      <c r="L155" s="37">
        <f>K158</f>
        <v>5798.865950656299</v>
      </c>
      <c r="M155" s="37">
        <f>L158</f>
        <v>4434.426918217988</v>
      </c>
      <c r="N155" s="37">
        <f>M158</f>
        <v>2950.4288947628384</v>
      </c>
      <c r="O155" s="37">
        <f>N158</f>
        <v>1375.3541117731884</v>
      </c>
      <c r="P155" s="37">
        <f>O158</f>
        <v>0</v>
      </c>
      <c r="Q155" s="37">
        <f>P158</f>
        <v>0</v>
      </c>
      <c r="R155" s="37">
        <f>Q158</f>
        <v>0</v>
      </c>
      <c r="S155" s="37">
        <f>R158</f>
        <v>0</v>
      </c>
      <c r="T155" s="37">
        <f>S158</f>
        <v>0</v>
      </c>
      <c r="U155" s="37">
        <f>T158</f>
        <v>0</v>
      </c>
      <c r="V155" s="37">
        <f>U158</f>
        <v>0</v>
      </c>
      <c r="W155" s="37">
        <f>V158</f>
        <v>0</v>
      </c>
      <c r="X155" s="37">
        <f>W158</f>
        <v>0</v>
      </c>
      <c r="Y155" s="37">
        <f>X158</f>
        <v>0</v>
      </c>
      <c r="Z155" s="37">
        <f>Y158</f>
        <v>0</v>
      </c>
      <c r="AA155" s="37">
        <f>Z158</f>
        <v>0</v>
      </c>
      <c r="AB155" s="37">
        <f>AA158</f>
        <v>0</v>
      </c>
      <c r="AC155" s="37">
        <f>AB158</f>
        <v>0</v>
      </c>
    </row>
    <row r="156" spans="1:29" x14ac:dyDescent="0.25">
      <c r="A156" s="33" t="s">
        <v>219</v>
      </c>
      <c r="B156" s="26" t="s">
        <v>86</v>
      </c>
      <c r="C156" s="57">
        <f>SUM(E156:AC156)</f>
        <v>8528.914424675691</v>
      </c>
      <c r="E156" s="37">
        <f>IF(E154&gt;0,MIN(E155,E154),0)</f>
        <v>0</v>
      </c>
      <c r="F156" s="37">
        <f>IF(F154&gt;0,MIN(F155,F154),0)</f>
        <v>0</v>
      </c>
      <c r="G156" s="37">
        <f>IF(G154&gt;0,MIN(G155,G154),0)</f>
        <v>0</v>
      </c>
      <c r="H156" s="37">
        <f>IF(H154&gt;0,MIN(H155,H154),0)</f>
        <v>0</v>
      </c>
      <c r="I156" s="37">
        <f>IF(I154&gt;0,MIN(I155,I154),0)</f>
        <v>578.9901575871955</v>
      </c>
      <c r="J156" s="37">
        <f>IF(J154&gt;0,MIN(J155,J154),0)</f>
        <v>953.2240885645382</v>
      </c>
      <c r="K156" s="37">
        <f>IF(K154&gt;0,MIN(K155,K154),0)</f>
        <v>1197.8342278676594</v>
      </c>
      <c r="L156" s="37">
        <f>IF(L154&gt;0,MIN(L155,L154),0)</f>
        <v>1364.439032438311</v>
      </c>
      <c r="M156" s="37">
        <f>IF(M154&gt;0,MIN(M155,M154),0)</f>
        <v>1483.9980234551495</v>
      </c>
      <c r="N156" s="37">
        <f>IF(N154&gt;0,MIN(N155,N154),0)</f>
        <v>1575.07478298965</v>
      </c>
      <c r="O156" s="37">
        <f>IF(O154&gt;0,MIN(O155,O154),0)</f>
        <v>1375.3541117731884</v>
      </c>
      <c r="P156" s="37">
        <f>IF(P154&gt;0,MIN(P155,P154),0)</f>
        <v>0</v>
      </c>
      <c r="Q156" s="37">
        <f>IF(Q154&gt;0,MIN(Q155,Q154),0)</f>
        <v>0</v>
      </c>
      <c r="R156" s="37">
        <f>IF(R154&gt;0,MIN(R155,R154),0)</f>
        <v>0</v>
      </c>
      <c r="S156" s="37">
        <f>IF(S154&gt;0,MIN(S155,S154),0)</f>
        <v>0</v>
      </c>
      <c r="T156" s="37">
        <f>IF(T154&gt;0,MIN(T155,T154),0)</f>
        <v>0</v>
      </c>
      <c r="U156" s="37">
        <f>IF(U154&gt;0,MIN(U155,U154),0)</f>
        <v>0</v>
      </c>
      <c r="V156" s="37">
        <f>IF(V154&gt;0,MIN(V155,V154),0)</f>
        <v>0</v>
      </c>
      <c r="W156" s="37">
        <f>IF(W154&gt;0,MIN(W155,W154),0)</f>
        <v>0</v>
      </c>
      <c r="X156" s="37">
        <f>IF(X154&gt;0,MIN(X155,X154),0)</f>
        <v>0</v>
      </c>
      <c r="Y156" s="37">
        <f>IF(Y154&gt;0,MIN(Y155,Y154),0)</f>
        <v>0</v>
      </c>
      <c r="Z156" s="37">
        <f>IF(Z154&gt;0,MIN(Z155,Z154),0)</f>
        <v>0</v>
      </c>
      <c r="AA156" s="37">
        <f>IF(AA154&gt;0,MIN(AA155,AA154),0)</f>
        <v>0</v>
      </c>
      <c r="AB156" s="37">
        <f>IF(AB154&gt;0,MIN(AB155,AB154),0)</f>
        <v>0</v>
      </c>
      <c r="AC156" s="37">
        <f>IF(AC154&gt;0,MIN(AC155,AC154),0)</f>
        <v>0</v>
      </c>
    </row>
    <row r="157" spans="1:29" x14ac:dyDescent="0.25">
      <c r="A157" s="33" t="s">
        <v>220</v>
      </c>
      <c r="B157" s="26" t="s">
        <v>86</v>
      </c>
      <c r="C157" s="57">
        <f>SUM(E157:AC157)</f>
        <v>25508.004351646392</v>
      </c>
      <c r="E157" s="37">
        <f>MAX(0,E154-E156)</f>
        <v>0</v>
      </c>
      <c r="F157" s="37">
        <f>MAX(0,F154-F156)</f>
        <v>0</v>
      </c>
      <c r="G157" s="37">
        <f>MAX(0,G154-G156)</f>
        <v>0</v>
      </c>
      <c r="H157" s="37">
        <f>MAX(0,H154-H156)</f>
        <v>0</v>
      </c>
      <c r="I157" s="37">
        <f>MAX(0,I154-I156)</f>
        <v>0</v>
      </c>
      <c r="J157" s="37">
        <f>MAX(0,J154-J156)</f>
        <v>0</v>
      </c>
      <c r="K157" s="37">
        <f>MAX(0,K154-K156)</f>
        <v>0</v>
      </c>
      <c r="L157" s="37">
        <f>MAX(0,L154-L156)</f>
        <v>0</v>
      </c>
      <c r="M157" s="37">
        <f>MAX(0,M154-M156)</f>
        <v>0</v>
      </c>
      <c r="N157" s="37">
        <f>MAX(0,N154-N156)</f>
        <v>0</v>
      </c>
      <c r="O157" s="37">
        <f>MAX(0,O154-O156)</f>
        <v>273.4406113440091</v>
      </c>
      <c r="P157" s="37">
        <f>MAX(0,P154-P156)</f>
        <v>1711.819717057143</v>
      </c>
      <c r="Q157" s="37">
        <f>MAX(0,Q154-Q156)</f>
        <v>1768.1328460139273</v>
      </c>
      <c r="R157" s="37">
        <f>MAX(0,R154-R156)</f>
        <v>1820.1092138466847</v>
      </c>
      <c r="S157" s="37">
        <f>MAX(0,S154-S156)</f>
        <v>1869.1584007641882</v>
      </c>
      <c r="T157" s="37">
        <f>MAX(0,T154-T156)</f>
        <v>1916.1098986796615</v>
      </c>
      <c r="U157" s="37">
        <f>MAX(0,U154-U156)</f>
        <v>1895.001495919604</v>
      </c>
      <c r="V157" s="37">
        <f>MAX(0,V154-V156)</f>
        <v>1872.5464834842026</v>
      </c>
      <c r="W157" s="37">
        <f>MAX(0,W154-W156)</f>
        <v>1848.8883146968305</v>
      </c>
      <c r="X157" s="37">
        <f>MAX(0,X154-X156)</f>
        <v>1824.0933020241746</v>
      </c>
      <c r="Y157" s="37">
        <f>MAX(0,Y154-Y156)</f>
        <v>1798.1804854425409</v>
      </c>
      <c r="Z157" s="37">
        <f>MAX(0,Z154-Z156)</f>
        <v>1771.139504058823</v>
      </c>
      <c r="AA157" s="37">
        <f>MAX(0,AA154-AA156)</f>
        <v>1742.941267214322</v>
      </c>
      <c r="AB157" s="37">
        <f>MAX(0,AB154-AB156)</f>
        <v>1713.5443026848416</v>
      </c>
      <c r="AC157" s="37">
        <f>MAX(0,AC154-AC156)</f>
        <v>1682.8985084154394</v>
      </c>
    </row>
    <row r="158" spans="1:29" x14ac:dyDescent="0.25">
      <c r="A158" s="33" t="s">
        <v>221</v>
      </c>
      <c r="B158" s="26" t="s">
        <v>86</v>
      </c>
      <c r="E158" s="37">
        <f>E155-E156+MAX(0,-E154)</f>
        <v>5050.950856768711</v>
      </c>
      <c r="F158" s="37">
        <f>F155-F156+MAX(0,-F154)</f>
        <v>7558.068750744127</v>
      </c>
      <c r="G158" s="37">
        <f>G155-G156+MAX(0,-G154)</f>
        <v>8517.997759968088</v>
      </c>
      <c r="H158" s="37">
        <f>H155-H156+MAX(0,-H154)</f>
        <v>8528.914424675691</v>
      </c>
      <c r="I158" s="37">
        <f>I155-I156+MAX(0,-I154)</f>
        <v>7949.924267088496</v>
      </c>
      <c r="J158" s="37">
        <f>J155-J156+MAX(0,-J154)</f>
        <v>6996.700178523958</v>
      </c>
      <c r="K158" s="37">
        <f>K155-K156+MAX(0,-K154)</f>
        <v>5798.865950656299</v>
      </c>
      <c r="L158" s="37">
        <f>L155-L156+MAX(0,-L154)</f>
        <v>4434.426918217988</v>
      </c>
      <c r="M158" s="37">
        <f>M155-M156+MAX(0,-M154)</f>
        <v>2950.4288947628384</v>
      </c>
      <c r="N158" s="37">
        <f>N155-N156+MAX(0,-N154)</f>
        <v>1375.3541117731884</v>
      </c>
      <c r="O158" s="37">
        <f>O155-O156+MAX(0,-O154)</f>
        <v>0</v>
      </c>
      <c r="P158" s="37">
        <f>P155-P156+MAX(0,-P154)</f>
        <v>0</v>
      </c>
      <c r="Q158" s="37">
        <f>Q155-Q156+MAX(0,-Q154)</f>
        <v>0</v>
      </c>
      <c r="R158" s="37">
        <f>R155-R156+MAX(0,-R154)</f>
        <v>0</v>
      </c>
      <c r="S158" s="37">
        <f>S155-S156+MAX(0,-S154)</f>
        <v>0</v>
      </c>
      <c r="T158" s="37">
        <f>T155-T156+MAX(0,-T154)</f>
        <v>0</v>
      </c>
      <c r="U158" s="37">
        <f>U155-U156+MAX(0,-U154)</f>
        <v>0</v>
      </c>
      <c r="V158" s="37">
        <f>V155-V156+MAX(0,-V154)</f>
        <v>0</v>
      </c>
      <c r="W158" s="37">
        <f>W155-W156+MAX(0,-W154)</f>
        <v>0</v>
      </c>
      <c r="X158" s="37">
        <f>X155-X156+MAX(0,-X154)</f>
        <v>0</v>
      </c>
      <c r="Y158" s="37">
        <f>Y155-Y156+MAX(0,-Y154)</f>
        <v>0</v>
      </c>
      <c r="Z158" s="37">
        <f>Z155-Z156+MAX(0,-Z154)</f>
        <v>0</v>
      </c>
      <c r="AA158" s="37">
        <f>AA155-AA156+MAX(0,-AA154)</f>
        <v>0</v>
      </c>
      <c r="AB158" s="37">
        <f>AB155-AB156+MAX(0,-AB154)</f>
        <v>0</v>
      </c>
      <c r="AC158" s="37">
        <f>AC155-AC156+MAX(0,-AC154)</f>
        <v>0</v>
      </c>
    </row>
    <row r="159" spans="1:29" x14ac:dyDescent="0.25">
      <c r="A159" s="33" t="s">
        <v>222</v>
      </c>
      <c r="B159" s="26" t="s">
        <v>86</v>
      </c>
      <c r="C159" s="57">
        <f>SUM(E159:AC159)</f>
        <v>6420.364695309396</v>
      </c>
      <c r="E159" s="37">
        <f>E157*$C$69</f>
        <v>0</v>
      </c>
      <c r="F159" s="37">
        <f>F157*$C$69</f>
        <v>0</v>
      </c>
      <c r="G159" s="37">
        <f>G157*$C$69</f>
        <v>0</v>
      </c>
      <c r="H159" s="37">
        <f>H157*$C$69</f>
        <v>0</v>
      </c>
      <c r="I159" s="37">
        <f>I157*$C$69</f>
        <v>0</v>
      </c>
      <c r="J159" s="37">
        <f>J157*$C$69</f>
        <v>0</v>
      </c>
      <c r="K159" s="37">
        <f>K157*$C$69</f>
        <v>0</v>
      </c>
      <c r="L159" s="37">
        <f>L157*$C$69</f>
        <v>0</v>
      </c>
      <c r="M159" s="37">
        <f>M157*$C$69</f>
        <v>0</v>
      </c>
      <c r="N159" s="37">
        <f>N157*$C$69</f>
        <v>0</v>
      </c>
      <c r="O159" s="37">
        <f>O157*$C$69</f>
        <v>68.82500187528709</v>
      </c>
      <c r="P159" s="37">
        <f>P157*$C$69</f>
        <v>430.8650227832828</v>
      </c>
      <c r="Q159" s="37">
        <f>Q157*$C$69</f>
        <v>445.03903734170547</v>
      </c>
      <c r="R159" s="37">
        <f>R157*$C$69</f>
        <v>458.12148912521053</v>
      </c>
      <c r="S159" s="37">
        <f>S157*$C$69</f>
        <v>470.46716947234614</v>
      </c>
      <c r="T159" s="37">
        <f>T157*$C$69</f>
        <v>482.28486149767076</v>
      </c>
      <c r="U159" s="37">
        <f>U157*$C$69</f>
        <v>476.9718765229643</v>
      </c>
      <c r="V159" s="37">
        <f>V157*$C$69</f>
        <v>471.31994989297374</v>
      </c>
      <c r="W159" s="37">
        <f>W157*$C$69</f>
        <v>465.3651888091922</v>
      </c>
      <c r="X159" s="37">
        <f>X157*$C$69</f>
        <v>459.1242841194847</v>
      </c>
      <c r="Y159" s="37">
        <f>Y157*$C$69</f>
        <v>452.6020281858875</v>
      </c>
      <c r="Z159" s="37">
        <f>Z157*$C$69</f>
        <v>445.7958131716057</v>
      </c>
      <c r="AA159" s="37">
        <f>AA157*$C$69</f>
        <v>438.6983169578448</v>
      </c>
      <c r="AB159" s="37">
        <f>AB157*$C$69</f>
        <v>431.2991009857746</v>
      </c>
      <c r="AC159" s="37">
        <f>AC157*$C$69</f>
        <v>423.58555456816606</v>
      </c>
    </row>
    <row r="160" spans="1:29" x14ac:dyDescent="0.25">
      <c r="A160" s="61" t="s">
        <v>223</v>
      </c>
      <c r="B160" s="62" t="s">
        <v>86</v>
      </c>
      <c r="C160" s="63">
        <f>SUM(E160:AC160)</f>
        <v>20517.311711409442</v>
      </c>
      <c r="D160" s="64"/>
      <c r="E160" s="63">
        <f>E153-E159</f>
        <v>707.4284191263237</v>
      </c>
      <c r="F160" s="63">
        <f>F153-F159</f>
        <v>756.4779274542238</v>
      </c>
      <c r="G160" s="63">
        <f>G153-G159</f>
        <v>804.9211219012257</v>
      </c>
      <c r="H160" s="63">
        <f>H153-H159</f>
        <v>852.7201642427036</v>
      </c>
      <c r="I160" s="63">
        <f>I153-I159</f>
        <v>899.8337720745809</v>
      </c>
      <c r="J160" s="63">
        <f>J153-J159</f>
        <v>946.216688388624</v>
      </c>
      <c r="K160" s="63">
        <f>K153-K159</f>
        <v>991.819022817802</v>
      </c>
      <c r="L160" s="63">
        <f>L153-L159</f>
        <v>1036.5854225231446</v>
      </c>
      <c r="M160" s="63">
        <f>M153-M159</f>
        <v>1080.4540134353763</v>
      </c>
      <c r="N160" s="63">
        <f>N153-N159</f>
        <v>1123.3550266803647</v>
      </c>
      <c r="O160" s="63">
        <f>O153-O159</f>
        <v>1096.3839834563678</v>
      </c>
      <c r="P160" s="63">
        <f>P153-P159</f>
        <v>775.0592414904287</v>
      </c>
      <c r="Q160" s="63">
        <f>Q153-Q159</f>
        <v>800.3546978873923</v>
      </c>
      <c r="R160" s="63">
        <f>R153-R159</f>
        <v>825.3685519984904</v>
      </c>
      <c r="S160" s="63">
        <f>S153-S159</f>
        <v>849.5915845244674</v>
      </c>
      <c r="T160" s="63">
        <f>T153-T159</f>
        <v>872.6232872307612</v>
      </c>
      <c r="U160" s="63">
        <f>U153-U159</f>
        <v>844.3786246658672</v>
      </c>
      <c r="V160" s="63">
        <f>V153-V159</f>
        <v>814.1849245876315</v>
      </c>
      <c r="W160" s="63">
        <f>W153-W159</f>
        <v>781.5593760327815</v>
      </c>
      <c r="X160" s="63">
        <f>X153-X159</f>
        <v>745.8349920381231</v>
      </c>
      <c r="Y160" s="63">
        <f>Y153-Y159</f>
        <v>705.9918645171763</v>
      </c>
      <c r="Z160" s="63">
        <f>Z153-Z159</f>
        <v>660.290036378344</v>
      </c>
      <c r="AA160" s="63">
        <f>AA153-AA159</f>
        <v>605.2999896985111</v>
      </c>
      <c r="AB160" s="63">
        <f>AB153-AB159</f>
        <v>532.5174537139917</v>
      </c>
      <c r="AC160" s="63">
        <f>AC153-AC159</f>
        <v>408.06152454474096</v>
      </c>
    </row>
    <row r="162" ht="20" customHeight="1" spans="1:29" x14ac:dyDescent="0.25">
      <c r="A162" s="21" t="s">
        <v>224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x14ac:dyDescent="0.25">
      <c r="A163" s="33" t="s">
        <v>225</v>
      </c>
      <c r="B163" s="26" t="s">
        <v>86</v>
      </c>
      <c r="E163" s="37">
        <f>E115*$C$74/365</f>
        <v>306.709169642641</v>
      </c>
      <c r="F163" s="37">
        <f>F115*$C$74/365</f>
        <v>306.1278190057645</v>
      </c>
      <c r="G163" s="37">
        <f>G115*$C$74/365</f>
        <v>305.54646836888804</v>
      </c>
      <c r="H163" s="37">
        <f>H115*$C$74/365</f>
        <v>304.9651177320117</v>
      </c>
      <c r="I163" s="37">
        <f>I115*$C$74/365</f>
        <v>304.38376709513517</v>
      </c>
      <c r="J163" s="37">
        <f>J115*$C$74/365</f>
        <v>303.80241645825873</v>
      </c>
      <c r="K163" s="37">
        <f>K115*$C$74/365</f>
        <v>303.2210658213823</v>
      </c>
      <c r="L163" s="37">
        <f>L115*$C$74/365</f>
        <v>302.63971518450586</v>
      </c>
      <c r="M163" s="37">
        <f>M115*$C$74/365</f>
        <v>302.0583645476294</v>
      </c>
      <c r="N163" s="37">
        <f>N115*$C$74/365</f>
        <v>301.47701391075293</v>
      </c>
      <c r="O163" s="37">
        <f>O115*$C$74/365</f>
        <v>300.8956632738765</v>
      </c>
      <c r="P163" s="37">
        <f>P115*$C$74/365</f>
        <v>300.31431263700006</v>
      </c>
      <c r="Q163" s="37">
        <f>Q115*$C$74/365</f>
        <v>299.7329620001236</v>
      </c>
      <c r="R163" s="37">
        <f>R115*$C$74/365</f>
        <v>299.1516113632472</v>
      </c>
      <c r="S163" s="37">
        <f>S115*$C$74/365</f>
        <v>298.57026072637075</v>
      </c>
      <c r="T163" s="37">
        <f>T115*$C$74/365</f>
        <v>297.98891008949437</v>
      </c>
      <c r="U163" s="37">
        <f>U115*$C$74/365</f>
        <v>297.40755945261793</v>
      </c>
      <c r="V163" s="37">
        <f>V115*$C$74/365</f>
        <v>296.8262088157415</v>
      </c>
      <c r="W163" s="37">
        <f>W115*$C$74/365</f>
        <v>296.244858178865</v>
      </c>
      <c r="X163" s="37">
        <f>X115*$C$74/365</f>
        <v>295.66350754198857</v>
      </c>
      <c r="Y163" s="37">
        <f>Y115*$C$74/365</f>
        <v>295.08215690511213</v>
      </c>
      <c r="Z163" s="37">
        <f>Z115*$C$74/365</f>
        <v>294.5008062682357</v>
      </c>
      <c r="AA163" s="37">
        <f>AA115*$C$74/365</f>
        <v>293.91945563135926</v>
      </c>
      <c r="AB163" s="37">
        <f>AB115*$C$74/365</f>
        <v>293.3381049944828</v>
      </c>
      <c r="AC163" s="37">
        <f>AC115*$C$74/365</f>
        <v>292.7567543576064</v>
      </c>
    </row>
    <row r="164" spans="1:29" x14ac:dyDescent="0.25">
      <c r="A164" s="33" t="s">
        <v>226</v>
      </c>
      <c r="B164" s="26" t="s">
        <v>86</v>
      </c>
      <c r="C164" s="57">
        <f>SUM(E164:AC164)</f>
        <v>292.7567543576064</v>
      </c>
      <c r="E164" s="37">
        <f>E163</f>
        <v>306.709169642641</v>
      </c>
      <c r="F164" s="37">
        <f>F163-E163</f>
        <v>-0.5813506368764934</v>
      </c>
      <c r="G164" s="37">
        <f>G163-F163</f>
        <v>-0.5813506368764365</v>
      </c>
      <c r="H164" s="37">
        <f>H163-G163</f>
        <v>-0.5813506368763228</v>
      </c>
      <c r="I164" s="37">
        <f>I163-H163</f>
        <v>-0.5813506368765502</v>
      </c>
      <c r="J164" s="37">
        <f>J163-I163</f>
        <v>-0.5813506368764365</v>
      </c>
      <c r="K164" s="37">
        <f>K163-J163</f>
        <v>-0.5813506368764365</v>
      </c>
      <c r="L164" s="37">
        <f>L163-K163</f>
        <v>-0.5813506368764365</v>
      </c>
      <c r="M164" s="37">
        <f>M163-L163</f>
        <v>-0.5813506368764365</v>
      </c>
      <c r="N164" s="37">
        <f>N163-M163</f>
        <v>-0.5813506368764934</v>
      </c>
      <c r="O164" s="37">
        <f>O163-N163</f>
        <v>-0.5813506368764365</v>
      </c>
      <c r="P164" s="37">
        <f>P163-O163</f>
        <v>-0.5813506368764365</v>
      </c>
      <c r="Q164" s="37">
        <f>Q163-P163</f>
        <v>-0.5813506368764365</v>
      </c>
      <c r="R164" s="37">
        <f>R163-Q163</f>
        <v>-0.5813506368764365</v>
      </c>
      <c r="S164" s="37">
        <f>S163-R163</f>
        <v>-0.5813506368764365</v>
      </c>
      <c r="T164" s="37">
        <f>T163-S163</f>
        <v>-0.5813506368763797</v>
      </c>
      <c r="U164" s="37">
        <f>U163-T163</f>
        <v>-0.5813506368764365</v>
      </c>
      <c r="V164" s="37">
        <f>V163-U163</f>
        <v>-0.5813506368764365</v>
      </c>
      <c r="W164" s="37">
        <f>W163-V163</f>
        <v>-0.5813506368764934</v>
      </c>
      <c r="X164" s="37">
        <f>X163-W163</f>
        <v>-0.5813506368764365</v>
      </c>
      <c r="Y164" s="37">
        <f>Y163-X163</f>
        <v>-0.5813506368764365</v>
      </c>
      <c r="Z164" s="37">
        <f>Z163-Y163</f>
        <v>-0.5813506368764365</v>
      </c>
      <c r="AA164" s="37">
        <f>AA163-Z163</f>
        <v>-0.5813506368764365</v>
      </c>
      <c r="AB164" s="37">
        <f>AB163-AA163</f>
        <v>-0.5813506368764365</v>
      </c>
      <c r="AC164" s="37">
        <f>AC163-AB163</f>
        <v>-0.5813506368764365</v>
      </c>
    </row>
    <row r="165" spans="1:29" x14ac:dyDescent="0.25">
      <c r="A165" s="61" t="s">
        <v>227</v>
      </c>
      <c r="B165" s="62" t="s">
        <v>86</v>
      </c>
      <c r="C165" s="63">
        <f>SUM(E165:AC165)</f>
        <v>42435.44644978984</v>
      </c>
      <c r="D165" s="64"/>
      <c r="E165" s="63">
        <f>E124-E159-E164-E128</f>
        <v>1966.8718547408484</v>
      </c>
      <c r="F165" s="63">
        <f>F124-F159-F164-F128</f>
        <v>2159.4943667514167</v>
      </c>
      <c r="G165" s="63">
        <f>G124-G159-G164-G128</f>
        <v>2145.9079413413187</v>
      </c>
      <c r="H165" s="63">
        <f>H124-H159-H164-H128</f>
        <v>2131.877964641228</v>
      </c>
      <c r="I165" s="63">
        <f>I124-I159-I164-I128</f>
        <v>2117.382259086643</v>
      </c>
      <c r="J165" s="63">
        <f>J124-J159-J164-J128</f>
        <v>2102.397538234839</v>
      </c>
      <c r="K165" s="63">
        <f>K124-K159-K164-K128</f>
        <v>2086.899351320957</v>
      </c>
      <c r="L165" s="63">
        <f>L124-L159-L164-L128</f>
        <v>2070.8620250418912</v>
      </c>
      <c r="M165" s="63">
        <f>M124-M159-M164-M128</f>
        <v>2054.2586024293837</v>
      </c>
      <c r="N165" s="63">
        <f>N124-N159-N164-N128</f>
        <v>2037.0607786667613</v>
      </c>
      <c r="O165" s="63">
        <f>O124-O159-O164-O128</f>
        <v>1950.4138318212324</v>
      </c>
      <c r="P165" s="63">
        <f>P124-P159-P164-P128</f>
        <v>1569.896538674993</v>
      </c>
      <c r="Q165" s="63">
        <f>Q124-Q159-Q164-Q128</f>
        <v>1536.5571582469254</v>
      </c>
      <c r="R165" s="63">
        <f>R124-R159-R164-R128</f>
        <v>1503.586842280805</v>
      </c>
      <c r="S165" s="63">
        <f>S124-S159-S164-S128</f>
        <v>1470.5946745224335</v>
      </c>
      <c r="T165" s="63">
        <f>T124-T159-T164-T128</f>
        <v>1437.333940695823</v>
      </c>
      <c r="U165" s="63">
        <f>U124-U159-U164-U128</f>
        <v>1420.36750175969</v>
      </c>
      <c r="V165" s="63">
        <f>V124-V159-V164-V128</f>
        <v>1402.8618032638099</v>
      </c>
      <c r="W165" s="63">
        <f>W124-W159-W164-W128</f>
        <v>1384.7368279459379</v>
      </c>
      <c r="X165" s="63">
        <f>X124-X159-X164-X128</f>
        <v>1365.9297793944204</v>
      </c>
      <c r="Y165" s="63">
        <f>Y124-Y159-Y164-Y128</f>
        <v>1346.3874544052426</v>
      </c>
      <c r="Z165" s="63">
        <f>Z124-Z159-Z164-Z128</f>
        <v>1326.0616294311214</v>
      </c>
      <c r="AA165" s="63">
        <f>AA124-AA159-AA164-AA128</f>
        <v>1304.9062536375702</v>
      </c>
      <c r="AB165" s="63">
        <f>AB124-AB159-AB164-AB128</f>
        <v>1282.8757239824738</v>
      </c>
      <c r="AC165" s="63">
        <f>AC124-AC159-AC164-AC128</f>
        <v>1259.9238074720681</v>
      </c>
    </row>
    <row r="166" spans="1:29" x14ac:dyDescent="0.25">
      <c r="A166" s="33" t="s">
        <v>228</v>
      </c>
      <c r="B166" s="26" t="s">
        <v>86</v>
      </c>
      <c r="C166" s="57">
        <f>SUM(E166:AC166)</f>
        <v>19046.94683565281</v>
      </c>
      <c r="E166" s="37">
        <f>E141</f>
        <v>1734.8963203017088</v>
      </c>
      <c r="F166" s="37">
        <f>F141</f>
        <v>1668.45348250292</v>
      </c>
      <c r="G166" s="37">
        <f>G141</f>
        <v>1602.0106447041312</v>
      </c>
      <c r="H166" s="37">
        <f>H141</f>
        <v>1535.5678069053424</v>
      </c>
      <c r="I166" s="37">
        <f>I141</f>
        <v>1469.1249691065536</v>
      </c>
      <c r="J166" s="37">
        <f>J141</f>
        <v>1402.6821313077648</v>
      </c>
      <c r="K166" s="37">
        <f>K141</f>
        <v>1336.239293508976</v>
      </c>
      <c r="L166" s="37">
        <f>L141</f>
        <v>1269.7964557101873</v>
      </c>
      <c r="M166" s="37">
        <f>M141</f>
        <v>1203.3536179113983</v>
      </c>
      <c r="N166" s="37">
        <f>N141</f>
        <v>1136.9107801126095</v>
      </c>
      <c r="O166" s="37">
        <f>O141</f>
        <v>1070.4679423138207</v>
      </c>
      <c r="P166" s="37">
        <f>P141</f>
        <v>1004.0251045150319</v>
      </c>
      <c r="Q166" s="37">
        <f>Q141</f>
        <v>937.582266716243</v>
      </c>
      <c r="R166" s="37">
        <f>R141</f>
        <v>871.1394289174541</v>
      </c>
      <c r="S166" s="37">
        <f>S141</f>
        <v>804.6965911186653</v>
      </c>
      <c r="T166" s="37">
        <f>T141</f>
        <v>4.0927261579781767e-13</v>
      </c>
      <c r="U166" s="37">
        <f>U141</f>
        <v>4.0927261579781767e-13</v>
      </c>
      <c r="V166" s="37">
        <f>V141</f>
        <v>4.0927261579781767e-13</v>
      </c>
      <c r="W166" s="37">
        <f>W141</f>
        <v>4.0927261579781767e-13</v>
      </c>
      <c r="X166" s="37">
        <f>X141</f>
        <v>4.0927261579781767e-13</v>
      </c>
      <c r="Y166" s="37">
        <f>Y141</f>
        <v>4.0927261579781767e-13</v>
      </c>
      <c r="Z166" s="37">
        <f>Z141</f>
        <v>4.0927261579781767e-13</v>
      </c>
      <c r="AA166" s="37">
        <f>AA141</f>
        <v>4.0927261579781767e-13</v>
      </c>
      <c r="AB166" s="37">
        <f>AB141</f>
        <v>4.0927261579781767e-13</v>
      </c>
      <c r="AC166" s="37">
        <f>AC141</f>
        <v>4.0927261579781767e-13</v>
      </c>
    </row>
    <row r="167" spans="1:29" x14ac:dyDescent="0.25">
      <c r="A167" s="33" t="s">
        <v>229</v>
      </c>
      <c r="B167" s="26" t="s">
        <v>88</v>
      </c>
      <c r="E167" s="40">
        <f>IF(E141&gt;1E-9,E165/E141,"")</f>
        <v>1.1337114683595604</v>
      </c>
      <c r="F167" s="40">
        <f>IF(F141&gt;1E-9,F165/F141,"")</f>
        <v>1.294309004954615</v>
      </c>
      <c r="G167" s="40">
        <f>IF(G141&gt;1E-9,G165/G141,"")</f>
        <v>1.3395091652075992</v>
      </c>
      <c r="H167" s="40">
        <f>IF(H141&gt;1E-9,H165/H141,"")</f>
        <v>1.3883320261432417</v>
      </c>
      <c r="I167" s="40">
        <f>IF(I141&gt;1E-9,I165/I141,"")</f>
        <v>1.441254014200253</v>
      </c>
      <c r="J167" s="40">
        <f>IF(J141&gt;1E-9,J165/J141,"")</f>
        <v>1.498841035548594</v>
      </c>
      <c r="K167" s="40">
        <f>IF(K141&gt;1E-9,K165/K141,"")</f>
        <v>1.5617706809389964</v>
      </c>
      <c r="L167" s="40">
        <f>IF(L141&gt;1E-9,L165/L141,"")</f>
        <v>1.630861399659266</v>
      </c>
      <c r="M167" s="40">
        <f>IF(M141&gt;1E-9,M165/M141,"")</f>
        <v>1.7071113360633423</v>
      </c>
      <c r="N167" s="40">
        <f>IF(N141&gt;1E-9,N165/N141,"")</f>
        <v>1.791750781415753</v>
      </c>
      <c r="O167" s="40">
        <f>IF(O141&gt;1E-9,O165/O141,"")</f>
        <v>1.8220198426544238</v>
      </c>
      <c r="P167" s="40">
        <f>IF(P141&gt;1E-9,P165/P141,"")</f>
        <v>1.5636028736883931</v>
      </c>
      <c r="Q167" s="40">
        <f>IF(Q141&gt;1E-9,Q165/Q141,"")</f>
        <v>1.6388504910918507</v>
      </c>
      <c r="R167" s="40">
        <f>IF(R141&gt;1E-9,R165/R141,"")</f>
        <v>1.7260002157740462</v>
      </c>
      <c r="S167" s="40">
        <f>IF(S141&gt;1E-9,S165/S141,"")</f>
        <v>1.8275144827916525</v>
      </c>
      <c r="T167" s="40" t="str">
        <f>IF(T141&gt;1E-9,T165/T141,"")</f>
        <v/>
      </c>
      <c r="U167" s="40" t="str">
        <f>IF(U141&gt;1E-9,U165/U141,"")</f>
        <v/>
      </c>
      <c r="V167" s="40" t="str">
        <f>IF(V141&gt;1E-9,V165/V141,"")</f>
        <v/>
      </c>
      <c r="W167" s="40" t="str">
        <f>IF(W141&gt;1E-9,W165/W141,"")</f>
        <v/>
      </c>
      <c r="X167" s="40" t="str">
        <f>IF(X141&gt;1E-9,X165/X141,"")</f>
        <v/>
      </c>
      <c r="Y167" s="40" t="str">
        <f>IF(Y141&gt;1E-9,Y165/Y141,"")</f>
        <v/>
      </c>
      <c r="Z167" s="40" t="str">
        <f>IF(Z141&gt;1E-9,Z165/Z141,"")</f>
        <v/>
      </c>
      <c r="AA167" s="40" t="str">
        <f>IF(AA141&gt;1E-9,AA165/AA141,"")</f>
        <v/>
      </c>
      <c r="AB167" s="40" t="str">
        <f>IF(AB141&gt;1E-9,AB165/AB141,"")</f>
        <v/>
      </c>
      <c r="AC167" s="40" t="str">
        <f>IF(AC141&gt;1E-9,AC165/AC141,"")</f>
        <v/>
      </c>
    </row>
    <row r="168" spans="1:29" x14ac:dyDescent="0.25">
      <c r="A168" s="33" t="s">
        <v>230</v>
      </c>
      <c r="B168" s="26" t="s">
        <v>86</v>
      </c>
      <c r="C168" s="57">
        <f>SUM(E168:AC168)</f>
        <v>1874.7290829001981</v>
      </c>
      <c r="E168" s="37">
        <f>IF(E$5=$C$87,$C$84*$C$73+E163,0)</f>
        <v>0</v>
      </c>
      <c r="F168" s="37">
        <f>IF(F$5=$C$87,$C$84*$C$73+F163,0)</f>
        <v>0</v>
      </c>
      <c r="G168" s="37">
        <f>IF(G$5=$C$87,$C$84*$C$73+G163,0)</f>
        <v>0</v>
      </c>
      <c r="H168" s="37">
        <f>IF(H$5=$C$87,$C$84*$C$73+H163,0)</f>
        <v>0</v>
      </c>
      <c r="I168" s="37">
        <f>IF(I$5=$C$87,$C$84*$C$73+I163,0)</f>
        <v>0</v>
      </c>
      <c r="J168" s="37">
        <f>IF(J$5=$C$87,$C$84*$C$73+J163,0)</f>
        <v>0</v>
      </c>
      <c r="K168" s="37">
        <f>IF(K$5=$C$87,$C$84*$C$73+K163,0)</f>
        <v>0</v>
      </c>
      <c r="L168" s="37">
        <f>IF(L$5=$C$87,$C$84*$C$73+L163,0)</f>
        <v>0</v>
      </c>
      <c r="M168" s="37">
        <f>IF(M$5=$C$87,$C$84*$C$73+M163,0)</f>
        <v>0</v>
      </c>
      <c r="N168" s="37">
        <f>IF(N$5=$C$87,$C$84*$C$73+N163,0)</f>
        <v>0</v>
      </c>
      <c r="O168" s="37">
        <f>IF(O$5=$C$87,$C$84*$C$73+O163,0)</f>
        <v>0</v>
      </c>
      <c r="P168" s="37">
        <f>IF(P$5=$C$87,$C$84*$C$73+P163,0)</f>
        <v>0</v>
      </c>
      <c r="Q168" s="37">
        <f>IF(Q$5=$C$87,$C$84*$C$73+Q163,0)</f>
        <v>0</v>
      </c>
      <c r="R168" s="37">
        <f>IF(R$5=$C$87,$C$84*$C$73+R163,0)</f>
        <v>0</v>
      </c>
      <c r="S168" s="37">
        <f>IF(S$5=$C$87,$C$84*$C$73+S163,0)</f>
        <v>0</v>
      </c>
      <c r="T168" s="37">
        <f>IF(T$5=$C$87,$C$84*$C$73+T163,0)</f>
        <v>0</v>
      </c>
      <c r="U168" s="37">
        <f>IF(U$5=$C$87,$C$84*$C$73+U163,0)</f>
        <v>0</v>
      </c>
      <c r="V168" s="37">
        <f>IF(V$5=$C$87,$C$84*$C$73+V163,0)</f>
        <v>0</v>
      </c>
      <c r="W168" s="37">
        <f>IF(W$5=$C$87,$C$84*$C$73+W163,0)</f>
        <v>0</v>
      </c>
      <c r="X168" s="37">
        <f>IF(X$5=$C$87,$C$84*$C$73+X163,0)</f>
        <v>0</v>
      </c>
      <c r="Y168" s="37">
        <f>IF(Y$5=$C$87,$C$84*$C$73+Y163,0)</f>
        <v>0</v>
      </c>
      <c r="Z168" s="37">
        <f>IF(Z$5=$C$87,$C$84*$C$73+Z163,0)</f>
        <v>0</v>
      </c>
      <c r="AA168" s="37">
        <f>IF(AA$5=$C$87,$C$84*$C$73+AA163,0)</f>
        <v>0</v>
      </c>
      <c r="AB168" s="37">
        <f>IF(AB$5=$C$87,$C$84*$C$73+AB163,0)</f>
        <v>0</v>
      </c>
      <c r="AC168" s="37">
        <f>IF(AC$5=$C$87,$C$84*$C$73+AC163,0)</f>
        <v>1874.7290829001981</v>
      </c>
    </row>
    <row r="169" spans="1:29" x14ac:dyDescent="0.25">
      <c r="A169" s="33" t="s">
        <v>231</v>
      </c>
      <c r="B169" s="26" t="s">
        <v>86</v>
      </c>
      <c r="C169" s="57">
        <f>SUM(E169:AC169)</f>
        <v>4.547473508864641e-12</v>
      </c>
      <c r="E169" s="37">
        <f>IF(E$5=$C$87,E140,0)</f>
        <v>0</v>
      </c>
      <c r="F169" s="37">
        <f>IF(F$5=$C$87,F140,0)</f>
        <v>0</v>
      </c>
      <c r="G169" s="37">
        <f>IF(G$5=$C$87,G140,0)</f>
        <v>0</v>
      </c>
      <c r="H169" s="37">
        <f>IF(H$5=$C$87,H140,0)</f>
        <v>0</v>
      </c>
      <c r="I169" s="37">
        <f>IF(I$5=$C$87,I140,0)</f>
        <v>0</v>
      </c>
      <c r="J169" s="37">
        <f>IF(J$5=$C$87,J140,0)</f>
        <v>0</v>
      </c>
      <c r="K169" s="37">
        <f>IF(K$5=$C$87,K140,0)</f>
        <v>0</v>
      </c>
      <c r="L169" s="37">
        <f>IF(L$5=$C$87,L140,0)</f>
        <v>0</v>
      </c>
      <c r="M169" s="37">
        <f>IF(M$5=$C$87,M140,0)</f>
        <v>0</v>
      </c>
      <c r="N169" s="37">
        <f>IF(N$5=$C$87,N140,0)</f>
        <v>0</v>
      </c>
      <c r="O169" s="37">
        <f>IF(O$5=$C$87,O140,0)</f>
        <v>0</v>
      </c>
      <c r="P169" s="37">
        <f>IF(P$5=$C$87,P140,0)</f>
        <v>0</v>
      </c>
      <c r="Q169" s="37">
        <f>IF(Q$5=$C$87,Q140,0)</f>
        <v>0</v>
      </c>
      <c r="R169" s="37">
        <f>IF(R$5=$C$87,R140,0)</f>
        <v>0</v>
      </c>
      <c r="S169" s="37">
        <f>IF(S$5=$C$87,S140,0)</f>
        <v>0</v>
      </c>
      <c r="T169" s="37">
        <f>IF(T$5=$C$87,T140,0)</f>
        <v>0</v>
      </c>
      <c r="U169" s="37">
        <f>IF(U$5=$C$87,U140,0)</f>
        <v>0</v>
      </c>
      <c r="V169" s="37">
        <f>IF(V$5=$C$87,V140,0)</f>
        <v>0</v>
      </c>
      <c r="W169" s="37">
        <f>IF(W$5=$C$87,W140,0)</f>
        <v>0</v>
      </c>
      <c r="X169" s="37">
        <f>IF(X$5=$C$87,X140,0)</f>
        <v>0</v>
      </c>
      <c r="Y169" s="37">
        <f>IF(Y$5=$C$87,Y140,0)</f>
        <v>0</v>
      </c>
      <c r="Z169" s="37">
        <f>IF(Z$5=$C$87,Z140,0)</f>
        <v>0</v>
      </c>
      <c r="AA169" s="37">
        <f>IF(AA$5=$C$87,AA140,0)</f>
        <v>0</v>
      </c>
      <c r="AB169" s="37">
        <f>IF(AB$5=$C$87,AB140,0)</f>
        <v>0</v>
      </c>
      <c r="AC169" s="37">
        <f>IF(AC$5=$C$87,AC140,0)</f>
        <v>4.547473508864641e-12</v>
      </c>
    </row>
    <row r="170" spans="1:29" x14ac:dyDescent="0.25">
      <c r="A170" s="61" t="s">
        <v>232</v>
      </c>
      <c r="B170" s="62" t="s">
        <v>86</v>
      </c>
      <c r="C170" s="63">
        <f>SUM(E170:AC170)</f>
        <v>25263.228697037215</v>
      </c>
      <c r="D170" s="63">
        <f>-$C$86</f>
        <v>-4745.916985627777</v>
      </c>
      <c r="E170" s="63">
        <f>E165-E141+E168-E169</f>
        <v>231.97553443913966</v>
      </c>
      <c r="F170" s="63">
        <f>F165-F141+F168-F169</f>
        <v>491.0408842484967</v>
      </c>
      <c r="G170" s="63">
        <f>G165-G141+G168-G169</f>
        <v>543.8972966371875</v>
      </c>
      <c r="H170" s="63">
        <f>H165-H141+H168-H169</f>
        <v>596.3101577358857</v>
      </c>
      <c r="I170" s="63">
        <f>I165-I141+I168-I169</f>
        <v>648.2572899800894</v>
      </c>
      <c r="J170" s="63">
        <f>J165-J141+J168-J169</f>
        <v>699.7154069270741</v>
      </c>
      <c r="K170" s="63">
        <f>K165-K141+K168-K169</f>
        <v>750.660057811981</v>
      </c>
      <c r="L170" s="63">
        <f>L165-L141+L168-L169</f>
        <v>801.065569331704</v>
      </c>
      <c r="M170" s="63">
        <f>M165-M141+M168-M169</f>
        <v>850.9049845179854</v>
      </c>
      <c r="N170" s="63">
        <f>N165-N141+N168-N169</f>
        <v>900.1499985541518</v>
      </c>
      <c r="O170" s="63">
        <f>O165-O141+O168-O169</f>
        <v>879.9458895074117</v>
      </c>
      <c r="P170" s="63">
        <f>P165-P141+P168-P169</f>
        <v>565.8714341599612</v>
      </c>
      <c r="Q170" s="63">
        <f>Q165-Q141+Q168-Q169</f>
        <v>598.9748915306824</v>
      </c>
      <c r="R170" s="63">
        <f>R165-R141+R168-R169</f>
        <v>632.447413363351</v>
      </c>
      <c r="S170" s="63">
        <f>S165-S141+S168-S169</f>
        <v>665.8980834037682</v>
      </c>
      <c r="T170" s="63">
        <f>T165-T141+T168-T169</f>
        <v>1437.3339406958225</v>
      </c>
      <c r="U170" s="63">
        <f>U165-U141+U168-U169</f>
        <v>1420.3675017596895</v>
      </c>
      <c r="V170" s="63">
        <f>V165-V141+V168-V169</f>
        <v>1402.8618032638094</v>
      </c>
      <c r="W170" s="63">
        <f>W165-W141+W168-W169</f>
        <v>1384.7368279459374</v>
      </c>
      <c r="X170" s="63">
        <f>X165-X141+X168-X169</f>
        <v>1365.92977939442</v>
      </c>
      <c r="Y170" s="63">
        <f>Y165-Y141+Y168-Y169</f>
        <v>1346.3874544052421</v>
      </c>
      <c r="Z170" s="63">
        <f>Z165-Z141+Z168-Z169</f>
        <v>1326.061629431121</v>
      </c>
      <c r="AA170" s="63">
        <f>AA165-AA141+AA168-AA169</f>
        <v>1304.9062536375698</v>
      </c>
      <c r="AB170" s="63">
        <f>AB165-AB141+AB168-AB169</f>
        <v>1282.8757239824733</v>
      </c>
      <c r="AC170" s="63">
        <f>AC165-AC141+AC168-AC169</f>
        <v>3134.652890372261</v>
      </c>
    </row>
    <row r="171" spans="1:29" x14ac:dyDescent="0.25">
      <c r="A171" s="33" t="s">
        <v>233</v>
      </c>
      <c r="B171" s="26" t="s">
        <v>86</v>
      </c>
      <c r="D171" s="37">
        <f>D170</f>
        <v>-4745.916985627777</v>
      </c>
      <c r="E171" s="37">
        <f>D171+E170</f>
        <v>-4513.941451188637</v>
      </c>
      <c r="F171" s="37">
        <f>E171+F170</f>
        <v>-4022.9005669401404</v>
      </c>
      <c r="G171" s="37">
        <f>F171+G170</f>
        <v>-3479.003270302953</v>
      </c>
      <c r="H171" s="37">
        <f>G171+H170</f>
        <v>-2882.693112567067</v>
      </c>
      <c r="I171" s="37">
        <f>H171+I170</f>
        <v>-2234.435822586978</v>
      </c>
      <c r="J171" s="37">
        <f>I171+J170</f>
        <v>-1534.7204156599037</v>
      </c>
      <c r="K171" s="37">
        <f>J171+K170</f>
        <v>-784.0603578479227</v>
      </c>
      <c r="L171" s="37">
        <f>K171+L170</f>
        <v>17.005211483781295</v>
      </c>
      <c r="M171" s="37">
        <f>L171+M170</f>
        <v>867.9101960017667</v>
      </c>
      <c r="N171" s="37">
        <f>M171+N170</f>
        <v>1768.0601945559185</v>
      </c>
      <c r="O171" s="37">
        <f>N171+O170</f>
        <v>2648.0060840633305</v>
      </c>
      <c r="P171" s="37">
        <f>O171+P170</f>
        <v>3213.8775182232916</v>
      </c>
      <c r="Q171" s="37">
        <f>P171+Q170</f>
        <v>3812.852409753974</v>
      </c>
      <c r="R171" s="37">
        <f>Q171+R170</f>
        <v>4445.299823117325</v>
      </c>
      <c r="S171" s="37">
        <f>R171+S170</f>
        <v>5111.1979065210935</v>
      </c>
      <c r="T171" s="37">
        <f>S171+T170</f>
        <v>6548.5318472169165</v>
      </c>
      <c r="U171" s="37">
        <f>T171+U170</f>
        <v>7968.899348976606</v>
      </c>
      <c r="V171" s="37">
        <f>U171+V170</f>
        <v>9371.761152240415</v>
      </c>
      <c r="W171" s="37">
        <f>V171+W170</f>
        <v>10756.497980186352</v>
      </c>
      <c r="X171" s="37">
        <f>W171+X170</f>
        <v>12122.427759580773</v>
      </c>
      <c r="Y171" s="37">
        <f>X171+Y170</f>
        <v>13468.815213986014</v>
      </c>
      <c r="Z171" s="37">
        <f>Y171+Z170</f>
        <v>14794.876843417134</v>
      </c>
      <c r="AA171" s="37">
        <f>Z171+AA170</f>
        <v>16099.783097054704</v>
      </c>
      <c r="AB171" s="37">
        <f>AA171+AB170</f>
        <v>17382.658821037177</v>
      </c>
      <c r="AC171" s="37">
        <f>AB171+AC170</f>
        <v>20517.31171140944</v>
      </c>
    </row>
    <row r="172" spans="1:29" x14ac:dyDescent="0.25">
      <c r="A172" s="33" t="s">
        <v>234</v>
      </c>
      <c r="B172" s="26" t="s">
        <v>92</v>
      </c>
      <c r="E172" s="44" t="str">
        <f>IF(E171&gt;=0,E$5,"")</f>
        <v/>
      </c>
      <c r="F172" s="44" t="str">
        <f>IF(F171&gt;=0,F$5,"")</f>
        <v/>
      </c>
      <c r="G172" s="44" t="str">
        <f>IF(G171&gt;=0,G$5,"")</f>
        <v/>
      </c>
      <c r="H172" s="44" t="str">
        <f>IF(H171&gt;=0,H$5,"")</f>
        <v/>
      </c>
      <c r="I172" s="44" t="str">
        <f>IF(I171&gt;=0,I$5,"")</f>
        <v/>
      </c>
      <c r="J172" s="44" t="str">
        <f>IF(J171&gt;=0,J$5,"")</f>
        <v/>
      </c>
      <c r="K172" s="44" t="str">
        <f>IF(K171&gt;=0,K$5,"")</f>
        <v/>
      </c>
      <c r="L172" s="44">
        <f>IF(L171&gt;=0,L$5,"")</f>
        <v>8</v>
      </c>
      <c r="M172" s="44">
        <f>IF(M171&gt;=0,M$5,"")</f>
        <v>9</v>
      </c>
      <c r="N172" s="44">
        <f>IF(N171&gt;=0,N$5,"")</f>
        <v>10</v>
      </c>
      <c r="O172" s="44">
        <f>IF(O171&gt;=0,O$5,"")</f>
        <v>11</v>
      </c>
      <c r="P172" s="44">
        <f>IF(P171&gt;=0,P$5,"")</f>
        <v>12</v>
      </c>
      <c r="Q172" s="44">
        <f>IF(Q171&gt;=0,Q$5,"")</f>
        <v>13</v>
      </c>
      <c r="R172" s="44">
        <f>IF(R171&gt;=0,R$5,"")</f>
        <v>14</v>
      </c>
      <c r="S172" s="44">
        <f>IF(S171&gt;=0,S$5,"")</f>
        <v>15</v>
      </c>
      <c r="T172" s="44">
        <f>IF(T171&gt;=0,T$5,"")</f>
        <v>16</v>
      </c>
      <c r="U172" s="44">
        <f>IF(U171&gt;=0,U$5,"")</f>
        <v>17</v>
      </c>
      <c r="V172" s="44">
        <f>IF(V171&gt;=0,V$5,"")</f>
        <v>18</v>
      </c>
      <c r="W172" s="44">
        <f>IF(W171&gt;=0,W$5,"")</f>
        <v>19</v>
      </c>
      <c r="X172" s="44">
        <f>IF(X171&gt;=0,X$5,"")</f>
        <v>20</v>
      </c>
      <c r="Y172" s="44">
        <f>IF(Y171&gt;=0,Y$5,"")</f>
        <v>21</v>
      </c>
      <c r="Z172" s="44">
        <f>IF(Z171&gt;=0,Z$5,"")</f>
        <v>22</v>
      </c>
      <c r="AA172" s="44">
        <f>IF(AA171&gt;=0,AA$5,"")</f>
        <v>23</v>
      </c>
      <c r="AB172" s="44">
        <f>IF(AB171&gt;=0,AB$5,"")</f>
        <v>24</v>
      </c>
      <c r="AC172" s="44">
        <f>IF(AC171&gt;=0,AC$5,"")</f>
        <v>25</v>
      </c>
    </row>
    <row r="173" spans="1:29" x14ac:dyDescent="0.25">
      <c r="A173" s="33" t="s">
        <v>235</v>
      </c>
      <c r="B173" s="26" t="s">
        <v>86</v>
      </c>
      <c r="C173" s="57">
        <f>SUM(E173:AC173)</f>
        <v>9868.790388861866</v>
      </c>
      <c r="E173" s="37">
        <f>MAX(0,(E124-E146)*$C$69)</f>
        <v>0</v>
      </c>
      <c r="F173" s="37">
        <f>MAX(0,(F124-F146)*$C$69)</f>
        <v>0</v>
      </c>
      <c r="G173" s="37">
        <f>MAX(0,(G124-G146)*$C$69)</f>
        <v>0</v>
      </c>
      <c r="H173" s="37">
        <f>MAX(0,(H124-H146)*$C$69)</f>
        <v>197.93622278055815</v>
      </c>
      <c r="I173" s="37">
        <f>MAX(0,(I124-I146)*$C$69)</f>
        <v>329.6921076782038</v>
      </c>
      <c r="J173" s="37">
        <f>MAX(0,(J124-J146)*$C$69)</f>
        <v>407.16312583124585</v>
      </c>
      <c r="K173" s="37">
        <f>MAX(0,(K124-K146)*$C$69)</f>
        <v>452.0078356198863</v>
      </c>
      <c r="L173" s="37">
        <f>MAX(0,(L124-L146)*$C$69)</f>
        <v>477.21860265636417</v>
      </c>
      <c r="M173" s="37">
        <f>MAX(0,(M124-M146)*$C$69)</f>
        <v>490.58793842134725</v>
      </c>
      <c r="N173" s="37">
        <f>MAX(0,(N124-N146)*$C$69)</f>
        <v>496.78829652222583</v>
      </c>
      <c r="O173" s="37">
        <f>MAX(0,(O124-O146)*$C$69)</f>
        <v>498.6199431783744</v>
      </c>
      <c r="P173" s="37">
        <f>MAX(0,(P124-P146)*$C$69)</f>
        <v>497.75967187910356</v>
      </c>
      <c r="Q173" s="37">
        <f>MAX(0,(Q124-Q146)*$C$69)</f>
        <v>495.210024163571</v>
      </c>
      <c r="R173" s="37">
        <f>MAX(0,(R124-R146)*$C$69)</f>
        <v>491.56881367312087</v>
      </c>
      <c r="S173" s="37">
        <f>MAX(0,(S124-S146)*$C$69)</f>
        <v>487.1908317463014</v>
      </c>
      <c r="T173" s="37">
        <f>MAX(0,(T124-T146)*$C$69)</f>
        <v>482.2848614976709</v>
      </c>
      <c r="U173" s="37">
        <f>MAX(0,(U124-U146)*$C$69)</f>
        <v>476.9718765229644</v>
      </c>
      <c r="V173" s="37">
        <f>MAX(0,(V124-V146)*$C$69)</f>
        <v>471.31994989297385</v>
      </c>
      <c r="W173" s="37">
        <f>MAX(0,(W124-W146)*$C$69)</f>
        <v>465.3651888091923</v>
      </c>
      <c r="X173" s="37">
        <f>MAX(0,(X124-X146)*$C$69)</f>
        <v>459.1242841194848</v>
      </c>
      <c r="Y173" s="37">
        <f>MAX(0,(Y124-Y146)*$C$69)</f>
        <v>452.6020281858876</v>
      </c>
      <c r="Z173" s="37">
        <f>MAX(0,(Z124-Z146)*$C$69)</f>
        <v>445.7958131716058</v>
      </c>
      <c r="AA173" s="37">
        <f>MAX(0,(AA124-AA146)*$C$69)</f>
        <v>438.6983169578449</v>
      </c>
      <c r="AB173" s="37">
        <f>MAX(0,(AB124-AB146)*$C$69)</f>
        <v>431.2991009857747</v>
      </c>
      <c r="AC173" s="37">
        <f>MAX(0,(AC124-AC146)*$C$69)</f>
        <v>423.5855545681662</v>
      </c>
    </row>
    <row r="174" spans="1:29" x14ac:dyDescent="0.25">
      <c r="A174" s="61" t="s">
        <v>236</v>
      </c>
      <c r="B174" s="62" t="s">
        <v>86</v>
      </c>
      <c r="C174" s="63">
        <f>SUM(E174:AC174)</f>
        <v>40861.74983913756</v>
      </c>
      <c r="D174" s="63">
        <f>-$C$84</f>
        <v>-15819.723285425918</v>
      </c>
      <c r="E174" s="63">
        <f>E124-E173-E164-E128+E168</f>
        <v>1966.8718547408484</v>
      </c>
      <c r="F174" s="63">
        <f>F124-F173-F164-F128+F168</f>
        <v>2159.4943667514167</v>
      </c>
      <c r="G174" s="63">
        <f>G124-G173-G164-G128+G168</f>
        <v>2145.9079413413187</v>
      </c>
      <c r="H174" s="63">
        <f>H124-H173-H164-H128+H168</f>
        <v>1933.9417418606702</v>
      </c>
      <c r="I174" s="63">
        <f>I124-I173-I164-I128+I168</f>
        <v>1787.6901514084393</v>
      </c>
      <c r="J174" s="63">
        <f>J124-J173-J164-J128+J168</f>
        <v>1695.2344124035933</v>
      </c>
      <c r="K174" s="63">
        <f>K124-K173-K164-K128+K168</f>
        <v>1634.8915157010713</v>
      </c>
      <c r="L174" s="63">
        <f>L124-L173-L164-L128+L168</f>
        <v>1593.6434223855274</v>
      </c>
      <c r="M174" s="63">
        <f>M124-M173-M164-M128+M168</f>
        <v>1563.6706640080367</v>
      </c>
      <c r="N174" s="63">
        <f>N124-N173-N164-N128+N168</f>
        <v>1540.2724821445356</v>
      </c>
      <c r="O174" s="63">
        <f>O124-O173-O164-O128+O168</f>
        <v>1520.618890518145</v>
      </c>
      <c r="P174" s="63">
        <f>P124-P173-P164-P128+P168</f>
        <v>1503.0018895791725</v>
      </c>
      <c r="Q174" s="63">
        <f>Q124-Q173-Q164-Q128+Q168</f>
        <v>1486.38617142506</v>
      </c>
      <c r="R174" s="63">
        <f>R124-R173-R164-R128+R168</f>
        <v>1470.1395177328943</v>
      </c>
      <c r="S174" s="63">
        <f>S124-S173-S164-S128+S168</f>
        <v>1453.8710122484783</v>
      </c>
      <c r="T174" s="63">
        <f>T124-T173-T164-T128+T168</f>
        <v>1437.333940695823</v>
      </c>
      <c r="U174" s="63">
        <f>U124-U173-U164-U128+U168</f>
        <v>1420.3675017596895</v>
      </c>
      <c r="V174" s="63">
        <f>V124-V173-V164-V128+V168</f>
        <v>1402.8618032638094</v>
      </c>
      <c r="W174" s="63">
        <f>W124-W173-W164-W128+W168</f>
        <v>1384.7368279459379</v>
      </c>
      <c r="X174" s="63">
        <f>X124-X173-X164-X128+X168</f>
        <v>1365.92977939442</v>
      </c>
      <c r="Y174" s="63">
        <f>Y124-Y173-Y164-Y128+Y168</f>
        <v>1346.3874544052426</v>
      </c>
      <c r="Z174" s="63">
        <f>Z124-Z173-Z164-Z128+Z168</f>
        <v>1326.061629431121</v>
      </c>
      <c r="AA174" s="63">
        <f>AA124-AA173-AA164-AA128+AA168</f>
        <v>1304.9062536375702</v>
      </c>
      <c r="AB174" s="63">
        <f>AB124-AB173-AB164-AB128+AB168</f>
        <v>1282.8757239824738</v>
      </c>
      <c r="AC174" s="63">
        <f>AC124-AC173-AC164-AC128+AC168</f>
        <v>3134.6528903722665</v>
      </c>
    </row>
    <row r="176" ht="20" customHeight="1" spans="1:29" x14ac:dyDescent="0.25">
      <c r="A176" s="21" t="s">
        <v>237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x14ac:dyDescent="0.25">
      <c r="A177" s="33" t="s">
        <v>238</v>
      </c>
      <c r="B177" s="26" t="s">
        <v>86</v>
      </c>
      <c r="C177" s="57">
        <f>SUM(E177:AC177)</f>
        <v>11630.61606167935</v>
      </c>
      <c r="E177" s="37">
        <f>E123+E128</f>
        <v>214.17112938459837</v>
      </c>
      <c r="F177" s="37">
        <f>F123+F128</f>
        <v>324.12373804332714</v>
      </c>
      <c r="G177" s="37">
        <f>G123+G128</f>
        <v>332.9947638432047</v>
      </c>
      <c r="H177" s="37">
        <f>H123+H128</f>
        <v>342.3093409330761</v>
      </c>
      <c r="I177" s="37">
        <f>I123+I128</f>
        <v>352.08964687744106</v>
      </c>
      <c r="J177" s="37">
        <f>J123+J128</f>
        <v>362.3589681190243</v>
      </c>
      <c r="K177" s="37">
        <f>K123+K128</f>
        <v>373.14175542268674</v>
      </c>
      <c r="L177" s="37">
        <f>L123+L128</f>
        <v>384.46368209153223</v>
      </c>
      <c r="M177" s="37">
        <f>M123+M128</f>
        <v>396.35170509382004</v>
      </c>
      <c r="N177" s="37">
        <f>N123+N128</f>
        <v>408.83412924622223</v>
      </c>
      <c r="O177" s="37">
        <f>O123+O128</f>
        <v>421.94067460624456</v>
      </c>
      <c r="P177" s="37">
        <f>P123+P128</f>
        <v>435.7025472342679</v>
      </c>
      <c r="Q177" s="37">
        <f>Q123+Q128</f>
        <v>450.1525134936925</v>
      </c>
      <c r="R177" s="37">
        <f>R123+R128</f>
        <v>465.3249780660883</v>
      </c>
      <c r="S177" s="37">
        <f>S123+S128</f>
        <v>481.2560658671039</v>
      </c>
      <c r="T177" s="37">
        <f>T123+T128</f>
        <v>497.9837080581703</v>
      </c>
      <c r="U177" s="37">
        <f>U123+U128</f>
        <v>515.54773235879</v>
      </c>
      <c r="V177" s="37">
        <f>V123+V128</f>
        <v>533.9899578744407</v>
      </c>
      <c r="W177" s="37">
        <f>W123+W128</f>
        <v>553.3542946658739</v>
      </c>
      <c r="X177" s="37">
        <f>X123+X128</f>
        <v>573.6868482968788</v>
      </c>
      <c r="Y177" s="37">
        <f>Y123+Y128</f>
        <v>595.0360296094339</v>
      </c>
      <c r="Z177" s="37">
        <f>Z123+Z128</f>
        <v>617.4526699876168</v>
      </c>
      <c r="AA177" s="37">
        <f>AA123+AA128</f>
        <v>640.9901423847089</v>
      </c>
      <c r="AB177" s="37">
        <f>AB123+AB128</f>
        <v>665.7044884016556</v>
      </c>
      <c r="AC177" s="37">
        <f>AC123+AC128</f>
        <v>691.6545517194494</v>
      </c>
    </row>
    <row r="178" spans="1:29" x14ac:dyDescent="0.25">
      <c r="A178" s="33" t="s">
        <v>239</v>
      </c>
      <c r="B178" s="26" t="s">
        <v>86</v>
      </c>
      <c r="C178" s="57">
        <f>SUM(E178:AC178)</f>
        <v>3562.5596765884898</v>
      </c>
      <c r="E178" s="37">
        <f>E177*E107</f>
        <v>194.70102671327123</v>
      </c>
      <c r="F178" s="37">
        <f>F177*F107</f>
        <v>267.8708578870472</v>
      </c>
      <c r="G178" s="37">
        <f>G177*G107</f>
        <v>250.18389469812516</v>
      </c>
      <c r="H178" s="37">
        <f>H177*H107</f>
        <v>233.80188575444024</v>
      </c>
      <c r="I178" s="37">
        <f>I177*I107</f>
        <v>218.61996937457135</v>
      </c>
      <c r="J178" s="37">
        <f>J177*J107</f>
        <v>204.54219082437703</v>
      </c>
      <c r="K178" s="37">
        <f>K177*K107</f>
        <v>191.48072104600843</v>
      </c>
      <c r="L178" s="37">
        <f>L177*L107</f>
        <v>179.35514511830837</v>
      </c>
      <c r="M178" s="37">
        <f>M177*M107</f>
        <v>168.09181416816244</v>
      </c>
      <c r="N178" s="37">
        <f>N177*N107</f>
        <v>157.62325502064672</v>
      </c>
      <c r="O178" s="37">
        <f>O177*O107</f>
        <v>147.8876323925519</v>
      </c>
      <c r="P178" s="37">
        <f>P177*P107</f>
        <v>138.82825890374002</v>
      </c>
      <c r="Q178" s="37">
        <f>Q177*Q107</f>
        <v>130.39314860806135</v>
      </c>
      <c r="R178" s="37">
        <f>R177*R107</f>
        <v>122.53461013409208</v>
      </c>
      <c r="S178" s="37">
        <f>S177*S107</f>
        <v>115.20887587926707</v>
      </c>
      <c r="T178" s="37">
        <f>T177*T107</f>
        <v>108.37576402227322</v>
      </c>
      <c r="U178" s="37">
        <f>U177*U107</f>
        <v>101.9983704107402</v>
      </c>
      <c r="V178" s="37">
        <f>V177*V107</f>
        <v>96.04278764696885</v>
      </c>
      <c r="W178" s="37">
        <f>W177*W107</f>
        <v>90.47784893606408</v>
      </c>
      <c r="X178" s="37">
        <f>X177*X107</f>
        <v>85.27489448058445</v>
      </c>
      <c r="Y178" s="37">
        <f>Y177*Y107</f>
        <v>80.4075584056617</v>
      </c>
      <c r="Z178" s="37">
        <f>Z177*Z107</f>
        <v>75.85157438029213</v>
      </c>
      <c r="AA178" s="37">
        <f>AA177*AA107</f>
        <v>71.58459826579669</v>
      </c>
      <c r="AB178" s="37">
        <f>AB177*AB107</f>
        <v>67.5860462727808</v>
      </c>
      <c r="AC178" s="37">
        <f>AC177*AC107</f>
        <v>63.83694724465634</v>
      </c>
    </row>
    <row r="179" spans="1:29" x14ac:dyDescent="0.25">
      <c r="A179" s="33" t="s">
        <v>240</v>
      </c>
      <c r="B179" s="26" t="s">
        <v>182</v>
      </c>
      <c r="C179" s="58">
        <f>SUM(E179:AC179)</f>
        <v>35026.996084368744</v>
      </c>
      <c r="E179" s="59">
        <f>E96*E107</f>
        <v>3539.1090217735027</v>
      </c>
      <c r="F179" s="59">
        <f>F96*F107</f>
        <v>3213.586078671466</v>
      </c>
      <c r="G179" s="59">
        <f>G96*G107</f>
        <v>2918.000290333655</v>
      </c>
      <c r="H179" s="59">
        <f>H96*H107</f>
        <v>2649.5988099690708</v>
      </c>
      <c r="I179" s="59">
        <f>I96*I107</f>
        <v>2405.881893882893</v>
      </c>
      <c r="J179" s="59">
        <f>J96*J107</f>
        <v>2184.5796335316477</v>
      </c>
      <c r="K179" s="59">
        <f>K96*K107</f>
        <v>1983.6308263526707</v>
      </c>
      <c r="L179" s="59">
        <f>L96*L107</f>
        <v>1801.163788796883</v>
      </c>
      <c r="M179" s="59">
        <f>M96*M107</f>
        <v>1635.478933058241</v>
      </c>
      <c r="N179" s="59">
        <f>N96*N107</f>
        <v>1485.032945397725</v>
      </c>
      <c r="O179" s="59">
        <f>O96*O107</f>
        <v>1348.4244188568214</v>
      </c>
      <c r="P179" s="59">
        <f>P96*P107</f>
        <v>1224.3808066837046</v>
      </c>
      <c r="Q179" s="59">
        <f>Q96*Q107</f>
        <v>1111.7465750804363</v>
      </c>
      <c r="R179" s="59">
        <f>R96*R107</f>
        <v>1009.4724450357487</v>
      </c>
      <c r="S179" s="59">
        <f>S96*S107</f>
        <v>916.6056231390169</v>
      </c>
      <c r="T179" s="59">
        <f>T96*T107</f>
        <v>832.2809304711478</v>
      </c>
      <c r="U179" s="59">
        <f>U96*U107</f>
        <v>755.7127470227339</v>
      </c>
      <c r="V179" s="59">
        <f>V96*V107</f>
        <v>686.1876966767494</v>
      </c>
      <c r="W179" s="59">
        <f>W96*W107</f>
        <v>623.0580046827396</v>
      </c>
      <c r="X179" s="59">
        <f>X96*X107</f>
        <v>565.7354658060144</v>
      </c>
      <c r="Y179" s="59">
        <f>Y96*Y107</f>
        <v>513.6859670169358</v>
      </c>
      <c r="Z179" s="59">
        <f>Z96*Z107</f>
        <v>466.42451374483005</v>
      </c>
      <c r="AA179" s="59">
        <f>AA96*AA107</f>
        <v>423.51071340635565</v>
      </c>
      <c r="AB179" s="59">
        <f>AB96*AB107</f>
        <v>384.54467417285315</v>
      </c>
      <c r="AC179" s="59">
        <f>AC96*AC107</f>
        <v>349.16328080489365</v>
      </c>
    </row>
    <row r="180" spans="1:29" x14ac:dyDescent="0.25">
      <c r="A180" s="33" t="s">
        <v>241</v>
      </c>
      <c r="B180" s="26" t="s">
        <v>86</v>
      </c>
      <c r="C180" s="57">
        <f>SUM(E180:AC180)</f>
        <v>24670.801804390387</v>
      </c>
      <c r="E180" s="37">
        <f>E111*E107</f>
        <v>2492.7246695661825</v>
      </c>
      <c r="F180" s="37">
        <f>F111*F107</f>
        <v>2263.446886432616</v>
      </c>
      <c r="G180" s="37">
        <f>G111*G107</f>
        <v>2055.2549426327037</v>
      </c>
      <c r="H180" s="37">
        <f>H111*H107</f>
        <v>1866.20990690854</v>
      </c>
      <c r="I180" s="37">
        <f>I111*I107</f>
        <v>1694.55111782321</v>
      </c>
      <c r="J180" s="37">
        <f>J111*J107</f>
        <v>1538.6797952913403</v>
      </c>
      <c r="K180" s="37">
        <f>K111*K107</f>
        <v>1397.1441585270566</v>
      </c>
      <c r="L180" s="37">
        <f>L111*L107</f>
        <v>1268.625911957177</v>
      </c>
      <c r="M180" s="37">
        <f>M111*M107</f>
        <v>1151.927973370854</v>
      </c>
      <c r="N180" s="37">
        <f>N111*N107</f>
        <v>1045.963330131158</v>
      </c>
      <c r="O180" s="37">
        <f>O111*O107</f>
        <v>949.7449197666895</v>
      </c>
      <c r="P180" s="37">
        <f>P111*P107</f>
        <v>862.3764407897178</v>
      </c>
      <c r="Q180" s="37">
        <f>Q111*Q107</f>
        <v>783.0440082402392</v>
      </c>
      <c r="R180" s="37">
        <f>R111*R107</f>
        <v>711.0085763130652</v>
      </c>
      <c r="S180" s="37">
        <f>S111*S107</f>
        <v>645.599057560747</v>
      </c>
      <c r="T180" s="37">
        <f>T111*T107</f>
        <v>586.2060746451064</v>
      </c>
      <c r="U180" s="37">
        <f>U111*U107</f>
        <v>532.276286494617</v>
      </c>
      <c r="V180" s="37">
        <f>V111*V107</f>
        <v>483.3072360686372</v>
      </c>
      <c r="W180" s="37">
        <f>W111*W107</f>
        <v>438.8426717821364</v>
      </c>
      <c r="X180" s="37">
        <f>X111*X107</f>
        <v>398.46829905129147</v>
      </c>
      <c r="Y180" s="37">
        <f>Y111*Y107</f>
        <v>361.80792242207025</v>
      </c>
      <c r="Z180" s="37">
        <f>Z111*Z107</f>
        <v>328.5199423779033</v>
      </c>
      <c r="AA180" s="37">
        <f>AA111*AA107</f>
        <v>298.29417422257615</v>
      </c>
      <c r="AB180" s="37">
        <f>AB111*AB107</f>
        <v>270.84895943121</v>
      </c>
      <c r="AC180" s="37">
        <f>AC111*AC107</f>
        <v>245.92854258354203</v>
      </c>
    </row>
    <row r="182" ht="20" customHeight="1" spans="1:29" x14ac:dyDescent="0.25">
      <c r="A182" s="21" t="s">
        <v>242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3" x14ac:dyDescent="0.25">
      <c r="A183" s="25" t="s">
        <v>7</v>
      </c>
      <c r="B183" s="26" t="s">
        <v>83</v>
      </c>
      <c r="C183" s="65">
        <f>IFERROR(IRR(D170:AC170),"n/a")</f>
        <v>0.1400000000002308</v>
      </c>
    </row>
    <row r="184" spans="1:3" x14ac:dyDescent="0.25">
      <c r="A184" s="33" t="s">
        <v>9</v>
      </c>
      <c r="B184" s="26" t="s">
        <v>83</v>
      </c>
      <c r="C184" s="32">
        <f>IFERROR(IRR(D174:AC174),"n/a")</f>
        <v>0.09960342138751571</v>
      </c>
    </row>
    <row r="185" spans="1:3" x14ac:dyDescent="0.25">
      <c r="A185" s="33" t="s">
        <v>85</v>
      </c>
      <c r="B185" s="26" t="s">
        <v>86</v>
      </c>
      <c r="C185" s="37">
        <f>D170+NPV($C$66,E170:AC170)</f>
        <v>8.526512829121202e-14</v>
      </c>
    </row>
    <row r="186" spans="1:3" x14ac:dyDescent="0.25">
      <c r="A186" s="33" t="s">
        <v>87</v>
      </c>
      <c r="B186" s="26" t="s">
        <v>86</v>
      </c>
      <c r="C186" s="37">
        <f>D174+NPV($C$67,E174:AC174)</f>
        <v>-44.14653759393008</v>
      </c>
    </row>
    <row r="187" spans="1:3" x14ac:dyDescent="0.25">
      <c r="A187" s="33" t="s">
        <v>11</v>
      </c>
      <c r="B187" s="26" t="s">
        <v>88</v>
      </c>
      <c r="C187" s="40">
        <f>IF(COUNT(E167:AC167)=0,"",MIN(E167:AC167))</f>
        <v>1.1337114683595604</v>
      </c>
    </row>
    <row r="188" spans="1:3" x14ac:dyDescent="0.25">
      <c r="A188" s="33" t="s">
        <v>12</v>
      </c>
      <c r="B188" s="26" t="s">
        <v>88</v>
      </c>
      <c r="C188" s="40">
        <f>IF(COUNT(E167:AC167)=0,"",AVERAGE(E167:AC167))</f>
        <v>1.5576959212327723</v>
      </c>
    </row>
    <row r="189" spans="1:3" x14ac:dyDescent="0.25">
      <c r="A189" s="33" t="s">
        <v>243</v>
      </c>
      <c r="B189" s="26" t="s">
        <v>82</v>
      </c>
      <c r="C189" s="29">
        <f>IF(C179&gt;0,($C$84+C178)*10/C179,"")</f>
        <v>5.53352703021656</v>
      </c>
    </row>
    <row r="190" spans="1:3" x14ac:dyDescent="0.25">
      <c r="A190" s="33" t="s">
        <v>90</v>
      </c>
      <c r="B190" s="26" t="s">
        <v>82</v>
      </c>
      <c r="C190" s="29">
        <f>IF(C179&gt;0,C180*10/C179,"")</f>
        <v>7.043367848320871</v>
      </c>
    </row>
    <row r="191" spans="1:3" x14ac:dyDescent="0.25">
      <c r="A191" s="33" t="s">
        <v>91</v>
      </c>
      <c r="B191" s="26" t="s">
        <v>92</v>
      </c>
      <c r="C191" s="44">
        <f>IF(COUNT(E172:AC172)=0,"beyond the term",MIN(E172:AC172))</f>
        <v>8</v>
      </c>
    </row>
    <row r="193" ht="20" customHeight="1" spans="1:29" x14ac:dyDescent="0.25">
      <c r="A193" s="21" t="s">
        <v>244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3" x14ac:dyDescent="0.25">
      <c r="A194" s="33" t="s">
        <v>245</v>
      </c>
      <c r="C194" s="66" t="str">
        <f>IF(ABS($C$85+$C$86-$C$84)&lt;0.001,"OK","CHECK")</f>
        <v>OK</v>
      </c>
    </row>
    <row r="195" spans="1:3" x14ac:dyDescent="0.25">
      <c r="A195" s="33" t="s">
        <v>246</v>
      </c>
      <c r="C195" s="66" t="str">
        <f>IF(ABS(INDEX(E140:AC140,1,$C$88))&lt;0.01,"OK","CHECK")</f>
        <v>OK</v>
      </c>
    </row>
    <row r="196" spans="1:3" x14ac:dyDescent="0.25">
      <c r="A196" s="33" t="s">
        <v>247</v>
      </c>
      <c r="C196" s="66" t="str">
        <f>IF(ABS(C115-C123-C124)&lt;0.01,"OK","CHECK")</f>
        <v>OK</v>
      </c>
    </row>
    <row r="197" spans="1:3" x14ac:dyDescent="0.25">
      <c r="A197" s="33" t="s">
        <v>248</v>
      </c>
      <c r="C197" s="66" t="str">
        <f>IF(MIN(E158:AC158)&gt;=-1E-9,"OK","CHECK")</f>
        <v>OK</v>
      </c>
    </row>
    <row r="198" spans="1:3" x14ac:dyDescent="0.25">
      <c r="A198" s="33" t="s">
        <v>249</v>
      </c>
      <c r="C198" s="66" t="str">
        <f>IF(ISNUMBER($C$10),IF($C$10&gt;=$C$66-1E-5,"OK","Below target"),"No IRR")</f>
        <v>OK</v>
      </c>
    </row>
    <row r="199" spans="1:3" x14ac:dyDescent="0.25">
      <c r="A199" s="33" t="s">
        <v>250</v>
      </c>
      <c r="C199" s="66" t="str">
        <f>IF(ISNUMBER($C$15),IF($C$15&gt;=1,"OK","Below 1.0"),"OK")</f>
        <v>OK</v>
      </c>
    </row>
  </sheetData>
  <conditionalFormatting sqref="F9:F24">
    <cfRule type="expression" dxfId="0" priority="1">
      <formula>OR(F9="Yes",F9="OK")</formula>
    </cfRule>
    <cfRule type="expression" dxfId="1" priority="2">
      <formula>OR(F9="Changed",F9="CHECK")</formula>
    </cfRule>
  </conditionalFormatting>
  <conditionalFormatting sqref="C194:C199">
    <cfRule type="expression" dxfId="2" priority="3">
      <formula>C194="OK"</formula>
    </cfRule>
    <cfRule type="expression" dxfId="3" priority="4">
      <formula>C194&lt;&gt;"OK"</formula>
    </cfRule>
  </conditionalFormatting>
  <dataValidations count="4">
    <dataValidation type="list" showErrorMessage="1" errorTitle="Choose from the list" error="One of: Yes, No" sqref="C51">
      <formula1>"Yes,No"</formula1>
    </dataValidation>
    <dataValidation type="list" showErrorMessage="1" errorTitle="Choose from the list" error="One of: annual, oneTime, none" sqref="C57">
      <formula1>"annual,oneTime,none"</formula1>
    </dataValidation>
    <dataValidation type="list" showErrorMessage="1" errorTitle="Choose from the list" error="One of: annuity, equal" sqref="C65">
      <formula1>"annuity,equal"</formula1>
    </dataValidation>
    <dataValidation type="list" showErrorMessage="1" errorTitle="Choose from the list" error="One of: wdv, slm" sqref="C70">
      <formula1>"wdv,slm"</formula1>
    </dataValidation>
  </dataValidations>
  <pageSetup orientation="landscape" fitToWidth="1" fitToHeight="0"/>
  <headerFooter>
    <oddFooter>&amp;L&amp;A&amp;R&amp;P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" customWidth="1"/>
    <col min="4" max="4" width="60" customWidth="1"/>
    <col min="5" max="5" width="44" customWidth="1"/>
    <col min="6" max="6" width="12" customWidth="1"/>
  </cols>
  <sheetData>
    <row r="1" spans="1:6" s="67" customFormat="1" x14ac:dyDescent="0.25">
      <c r="A1" s="67" t="s">
        <v>251</v>
      </c>
      <c r="B1" s="67" t="s">
        <v>252</v>
      </c>
      <c r="C1" s="67" t="s">
        <v>253</v>
      </c>
      <c r="D1" s="67" t="s">
        <v>254</v>
      </c>
      <c r="E1" s="67" t="s">
        <v>255</v>
      </c>
      <c r="F1" s="67" t="s">
        <v>256</v>
      </c>
    </row>
    <row r="2" spans="1:6" s="68" customFormat="1" x14ac:dyDescent="0.25">
      <c r="A2" s="68" t="s">
        <v>257</v>
      </c>
      <c r="B2" s="68" t="s">
        <v>258</v>
      </c>
      <c r="C2" s="68">
        <v>1</v>
      </c>
      <c r="D2" s="68" t="s">
        <v>259</v>
      </c>
      <c r="E2" s="68" t="s">
        <v>260</v>
      </c>
      <c r="F2" s="69" t="s">
        <v>261</v>
      </c>
    </row>
    <row r="3" spans="1:6" s="68" customFormat="1" x14ac:dyDescent="0.25">
      <c r="A3" s="68" t="s">
        <v>262</v>
      </c>
      <c r="B3" s="68" t="s">
        <v>263</v>
      </c>
      <c r="C3" s="68">
        <v>2</v>
      </c>
      <c r="D3" s="68" t="s">
        <v>264</v>
      </c>
      <c r="E3" s="68" t="s">
        <v>265</v>
      </c>
      <c r="F3" s="70" t="s">
        <v>266</v>
      </c>
    </row>
    <row r="4" spans="1:6" s="68" customFormat="1" x14ac:dyDescent="0.25">
      <c r="A4" s="68" t="s">
        <v>267</v>
      </c>
      <c r="B4" s="68" t="s">
        <v>268</v>
      </c>
      <c r="C4" s="68">
        <v>2</v>
      </c>
      <c r="D4" s="68" t="s">
        <v>269</v>
      </c>
      <c r="E4" s="68" t="s">
        <v>270</v>
      </c>
      <c r="F4" s="70" t="s">
        <v>266</v>
      </c>
    </row>
    <row r="5" spans="1:6" s="68" customFormat="1" x14ac:dyDescent="0.25">
      <c r="A5" s="68" t="s">
        <v>271</v>
      </c>
      <c r="B5" s="68" t="s">
        <v>272</v>
      </c>
      <c r="C5" s="68">
        <v>2</v>
      </c>
      <c r="D5" s="68" t="s">
        <v>273</v>
      </c>
      <c r="E5" s="68" t="s">
        <v>274</v>
      </c>
      <c r="F5" s="69" t="s">
        <v>261</v>
      </c>
    </row>
    <row r="6" spans="1:6" s="68" customFormat="1" x14ac:dyDescent="0.25">
      <c r="A6" s="68" t="s">
        <v>275</v>
      </c>
      <c r="B6" s="68" t="s">
        <v>276</v>
      </c>
      <c r="C6" s="68">
        <v>2</v>
      </c>
      <c r="D6" s="68" t="s">
        <v>277</v>
      </c>
      <c r="E6" s="68" t="s">
        <v>278</v>
      </c>
      <c r="F6" s="69" t="s">
        <v>261</v>
      </c>
    </row>
    <row r="7" spans="1:6" s="68" customFormat="1" x14ac:dyDescent="0.25">
      <c r="A7" s="68" t="s">
        <v>279</v>
      </c>
      <c r="B7" s="68" t="s">
        <v>280</v>
      </c>
      <c r="C7" s="68">
        <v>19</v>
      </c>
      <c r="D7" s="68" t="s">
        <v>281</v>
      </c>
      <c r="E7" s="68" t="s">
        <v>282</v>
      </c>
      <c r="F7" s="69" t="s">
        <v>261</v>
      </c>
    </row>
    <row r="8" spans="1:6" s="68" customFormat="1" x14ac:dyDescent="0.25">
      <c r="A8" s="68" t="s">
        <v>60</v>
      </c>
      <c r="B8" s="68" t="s">
        <v>61</v>
      </c>
      <c r="C8" s="68">
        <v>34</v>
      </c>
      <c r="D8" s="68" t="s">
        <v>283</v>
      </c>
      <c r="E8" s="68" t="s">
        <v>284</v>
      </c>
      <c r="F8" s="69" t="s">
        <v>261</v>
      </c>
    </row>
    <row r="9" spans="1:6" s="68" customFormat="1" x14ac:dyDescent="0.25">
      <c r="A9" s="68" t="s">
        <v>64</v>
      </c>
      <c r="B9" s="68" t="s">
        <v>58</v>
      </c>
      <c r="C9" s="68">
        <v>60</v>
      </c>
      <c r="D9" s="68" t="s">
        <v>285</v>
      </c>
      <c r="E9" s="68" t="s">
        <v>286</v>
      </c>
      <c r="F9" s="70" t="s">
        <v>287</v>
      </c>
    </row>
    <row r="10" spans="1:6" s="68" customFormat="1" x14ac:dyDescent="0.25">
      <c r="A10" s="68" t="s">
        <v>62</v>
      </c>
      <c r="B10" s="68" t="s">
        <v>63</v>
      </c>
      <c r="C10" s="68">
        <v>2</v>
      </c>
      <c r="D10" s="68" t="s">
        <v>288</v>
      </c>
      <c r="E10" s="68" t="s">
        <v>289</v>
      </c>
      <c r="F10" s="70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6" customWidth="1"/>
    <col min="5" max="5" width="46" customWidth="1"/>
  </cols>
  <sheetData>
    <row r="1" spans="1:5" s="67" customFormat="1" x14ac:dyDescent="0.25">
      <c r="A1" s="67" t="s">
        <v>290</v>
      </c>
      <c r="B1" s="67" t="s">
        <v>69</v>
      </c>
      <c r="C1" s="67" t="s">
        <v>291</v>
      </c>
      <c r="D1" s="67" t="s">
        <v>74</v>
      </c>
      <c r="E1" s="67" t="s">
        <v>292</v>
      </c>
    </row>
    <row r="2" spans="1:5" x14ac:dyDescent="0.25">
      <c r="A2" t="s">
        <v>293</v>
      </c>
      <c r="B2" t="s">
        <v>257</v>
      </c>
      <c r="C2" s="71">
        <v>500</v>
      </c>
      <c r="D2" t="s">
        <v>106</v>
      </c>
      <c r="E2" t="s">
        <v>294</v>
      </c>
    </row>
    <row r="3" spans="1:5" x14ac:dyDescent="0.25">
      <c r="A3" t="s">
        <v>293</v>
      </c>
      <c r="B3" t="s">
        <v>295</v>
      </c>
      <c r="C3" t="s">
        <v>134</v>
      </c>
      <c r="D3" t="s">
        <v>8</v>
      </c>
      <c r="E3" t="s">
        <v>294</v>
      </c>
    </row>
    <row r="4" spans="1:5" x14ac:dyDescent="0.25">
      <c r="A4" t="s">
        <v>38</v>
      </c>
      <c r="B4" t="s">
        <v>53</v>
      </c>
      <c r="C4" t="s">
        <v>296</v>
      </c>
      <c r="D4" t="s">
        <v>106</v>
      </c>
      <c r="E4" t="s">
        <v>297</v>
      </c>
    </row>
    <row r="5" spans="1:5" x14ac:dyDescent="0.25">
      <c r="A5" t="s">
        <v>38</v>
      </c>
      <c r="B5" t="s">
        <v>298</v>
      </c>
      <c r="C5" s="72">
        <v>0.25</v>
      </c>
      <c r="D5" t="s">
        <v>83</v>
      </c>
      <c r="E5" s="73" t="s">
        <v>104</v>
      </c>
    </row>
    <row r="6" spans="1:5" x14ac:dyDescent="0.25">
      <c r="A6" t="s">
        <v>38</v>
      </c>
      <c r="B6" t="s">
        <v>299</v>
      </c>
      <c r="C6" s="71">
        <v>1.4</v>
      </c>
      <c r="D6" t="s">
        <v>300</v>
      </c>
      <c r="E6" s="73" t="s">
        <v>104</v>
      </c>
    </row>
    <row r="7" spans="1:5" x14ac:dyDescent="0.25">
      <c r="A7" t="s">
        <v>38</v>
      </c>
      <c r="B7" t="s">
        <v>301</v>
      </c>
      <c r="C7" s="72">
        <v>0.005</v>
      </c>
      <c r="D7" t="s">
        <v>83</v>
      </c>
      <c r="E7" s="73" t="s">
        <v>104</v>
      </c>
    </row>
    <row r="8" spans="1:5" x14ac:dyDescent="0.25">
      <c r="A8" t="s">
        <v>38</v>
      </c>
      <c r="B8" t="s">
        <v>302</v>
      </c>
      <c r="C8" s="71">
        <v>4</v>
      </c>
      <c r="D8" t="s">
        <v>303</v>
      </c>
      <c r="E8" s="73" t="s">
        <v>104</v>
      </c>
    </row>
    <row r="9" spans="1:5" x14ac:dyDescent="0.25">
      <c r="A9" t="s">
        <v>38</v>
      </c>
      <c r="B9" t="s">
        <v>304</v>
      </c>
      <c r="C9" s="71">
        <v>4</v>
      </c>
      <c r="D9" t="s">
        <v>305</v>
      </c>
      <c r="E9" s="73" t="s">
        <v>104</v>
      </c>
    </row>
    <row r="10" spans="1:5" x14ac:dyDescent="0.25">
      <c r="A10" t="s">
        <v>40</v>
      </c>
      <c r="B10" t="s">
        <v>53</v>
      </c>
      <c r="C10" t="s">
        <v>296</v>
      </c>
      <c r="D10" t="s">
        <v>106</v>
      </c>
      <c r="E10" t="s">
        <v>297</v>
      </c>
    </row>
    <row r="11" spans="1:5" x14ac:dyDescent="0.25">
      <c r="A11" t="s">
        <v>40</v>
      </c>
      <c r="B11" t="s">
        <v>306</v>
      </c>
      <c r="C11" s="72">
        <v>0.33</v>
      </c>
      <c r="D11" t="s">
        <v>83</v>
      </c>
      <c r="E11" s="73" t="s">
        <v>104</v>
      </c>
    </row>
    <row r="12" spans="1:5" x14ac:dyDescent="0.25">
      <c r="A12" t="s">
        <v>40</v>
      </c>
      <c r="B12" t="s">
        <v>307</v>
      </c>
      <c r="C12" s="71">
        <v>6.5</v>
      </c>
      <c r="D12" t="s">
        <v>112</v>
      </c>
      <c r="E12" s="73" t="s">
        <v>104</v>
      </c>
    </row>
    <row r="13" spans="1:5" x14ac:dyDescent="0.25">
      <c r="A13" t="s">
        <v>40</v>
      </c>
      <c r="B13" t="s">
        <v>308</v>
      </c>
      <c r="C13" s="71">
        <v>9</v>
      </c>
      <c r="D13" t="s">
        <v>121</v>
      </c>
      <c r="E13" s="73" t="s">
        <v>104</v>
      </c>
    </row>
    <row r="14" spans="1:5" x14ac:dyDescent="0.25">
      <c r="A14" t="s">
        <v>42</v>
      </c>
      <c r="B14" t="s">
        <v>53</v>
      </c>
      <c r="C14" t="s">
        <v>296</v>
      </c>
      <c r="D14" t="s">
        <v>106</v>
      </c>
      <c r="E14" t="s">
        <v>297</v>
      </c>
    </row>
    <row r="15" spans="1:5" x14ac:dyDescent="0.25">
      <c r="A15" t="s">
        <v>42</v>
      </c>
      <c r="B15" t="s">
        <v>309</v>
      </c>
      <c r="C15" t="s">
        <v>310</v>
      </c>
      <c r="D15" t="s">
        <v>8</v>
      </c>
      <c r="E15" s="73" t="s">
        <v>104</v>
      </c>
    </row>
    <row r="16" spans="1:5" x14ac:dyDescent="0.25">
      <c r="A16" t="s">
        <v>42</v>
      </c>
      <c r="B16" t="s">
        <v>311</v>
      </c>
      <c r="C16" s="72">
        <v>0.87</v>
      </c>
      <c r="D16" t="s">
        <v>83</v>
      </c>
      <c r="E16" s="73" t="s">
        <v>104</v>
      </c>
    </row>
    <row r="17" spans="1:5" x14ac:dyDescent="0.25">
      <c r="A17" t="s">
        <v>42</v>
      </c>
      <c r="B17" t="s">
        <v>312</v>
      </c>
      <c r="C17" s="72">
        <v>0.05</v>
      </c>
      <c r="D17" t="s">
        <v>83</v>
      </c>
      <c r="E17" s="73" t="s">
        <v>104</v>
      </c>
    </row>
    <row r="18" spans="1:5" x14ac:dyDescent="0.25">
      <c r="A18" t="s">
        <v>42</v>
      </c>
      <c r="B18" t="s">
        <v>313</v>
      </c>
      <c r="C18" s="72">
        <v>0.95</v>
      </c>
      <c r="D18" t="s">
        <v>83</v>
      </c>
      <c r="E18" s="73" t="s">
        <v>104</v>
      </c>
    </row>
    <row r="19" spans="1:5" x14ac:dyDescent="0.25">
      <c r="A19" t="s">
        <v>42</v>
      </c>
      <c r="B19" t="s">
        <v>314</v>
      </c>
      <c r="C19" s="72">
        <v>0.02</v>
      </c>
      <c r="D19" t="s">
        <v>83</v>
      </c>
      <c r="E19" s="73" t="s">
        <v>104</v>
      </c>
    </row>
    <row r="20" spans="1:5" x14ac:dyDescent="0.25">
      <c r="A20" t="s">
        <v>42</v>
      </c>
      <c r="B20" t="s">
        <v>144</v>
      </c>
      <c r="C20" t="s">
        <v>315</v>
      </c>
      <c r="D20" t="s">
        <v>8</v>
      </c>
      <c r="E20" s="73" t="s">
        <v>104</v>
      </c>
    </row>
    <row r="21" spans="1:5" x14ac:dyDescent="0.25">
      <c r="A21" t="s">
        <v>42</v>
      </c>
      <c r="B21" t="s">
        <v>307</v>
      </c>
      <c r="C21" s="71">
        <v>1.2</v>
      </c>
      <c r="D21" t="s">
        <v>113</v>
      </c>
      <c r="E21" s="73" t="s">
        <v>104</v>
      </c>
    </row>
    <row r="22" spans="1:5" x14ac:dyDescent="0.25">
      <c r="A22" t="s">
        <v>42</v>
      </c>
      <c r="B22" t="s">
        <v>308</v>
      </c>
      <c r="C22" s="71">
        <v>1.2</v>
      </c>
      <c r="D22" t="s">
        <v>124</v>
      </c>
      <c r="E22" s="73" t="s">
        <v>104</v>
      </c>
    </row>
    <row r="23" spans="1:5" x14ac:dyDescent="0.25">
      <c r="A23" t="s">
        <v>44</v>
      </c>
      <c r="B23" t="s">
        <v>159</v>
      </c>
      <c r="C23" s="72">
        <v>0.14</v>
      </c>
      <c r="D23" t="s">
        <v>83</v>
      </c>
      <c r="E23" s="73" t="s">
        <v>104</v>
      </c>
    </row>
    <row r="24" spans="1:5" x14ac:dyDescent="0.25">
      <c r="A24" t="s">
        <v>44</v>
      </c>
      <c r="B24" t="s">
        <v>151</v>
      </c>
      <c r="C24" s="72">
        <v>0.7</v>
      </c>
      <c r="D24" t="s">
        <v>83</v>
      </c>
      <c r="E24" s="73" t="s">
        <v>104</v>
      </c>
    </row>
    <row r="25" spans="1:5" x14ac:dyDescent="0.25">
      <c r="A25" t="s">
        <v>44</v>
      </c>
      <c r="B25" t="s">
        <v>153</v>
      </c>
      <c r="C25" s="72">
        <v>0.09</v>
      </c>
      <c r="D25" t="s">
        <v>83</v>
      </c>
      <c r="E25" s="73" t="s">
        <v>104</v>
      </c>
    </row>
    <row r="26" spans="1:5" x14ac:dyDescent="0.25">
      <c r="A26" t="s">
        <v>44</v>
      </c>
      <c r="B26" t="s">
        <v>154</v>
      </c>
      <c r="C26" s="71">
        <v>15</v>
      </c>
      <c r="D26" t="s">
        <v>155</v>
      </c>
      <c r="E26" s="73" t="s">
        <v>104</v>
      </c>
    </row>
    <row r="27" spans="1:5" x14ac:dyDescent="0.25">
      <c r="A27" t="s">
        <v>44</v>
      </c>
      <c r="B27" t="s">
        <v>162</v>
      </c>
      <c r="C27" s="72">
        <v>0.2517</v>
      </c>
      <c r="D27" t="s">
        <v>83</v>
      </c>
      <c r="E27" s="73" t="s">
        <v>104</v>
      </c>
    </row>
    <row r="28" spans="1:5" x14ac:dyDescent="0.25">
      <c r="A28" t="s">
        <v>44</v>
      </c>
      <c r="B28" t="s">
        <v>125</v>
      </c>
      <c r="C28" s="72">
        <v>0.05</v>
      </c>
      <c r="D28" t="s">
        <v>83</v>
      </c>
      <c r="E28" s="73" t="s">
        <v>104</v>
      </c>
    </row>
    <row r="29" spans="1:5" x14ac:dyDescent="0.25">
      <c r="A29" t="s">
        <v>44</v>
      </c>
      <c r="B29" t="s">
        <v>126</v>
      </c>
      <c r="C29" s="72">
        <v>0.003</v>
      </c>
      <c r="D29" t="s">
        <v>83</v>
      </c>
      <c r="E29" s="73" t="s">
        <v>104</v>
      </c>
    </row>
    <row r="30" spans="1:5" x14ac:dyDescent="0.25">
      <c r="A30" t="s">
        <v>44</v>
      </c>
      <c r="B30" t="s">
        <v>102</v>
      </c>
      <c r="C30" s="72">
        <v>0</v>
      </c>
      <c r="D30" t="s">
        <v>83</v>
      </c>
      <c r="E30" s="73" t="s">
        <v>104</v>
      </c>
    </row>
    <row r="31" spans="1:5" x14ac:dyDescent="0.25">
      <c r="A31" t="s">
        <v>44</v>
      </c>
      <c r="B31" t="s">
        <v>316</v>
      </c>
      <c r="C31" s="72">
        <v>0.05</v>
      </c>
      <c r="D31" t="s">
        <v>83</v>
      </c>
      <c r="E31" s="73" t="s">
        <v>104</v>
      </c>
    </row>
    <row r="32" spans="1:5" x14ac:dyDescent="0.25">
      <c r="A32" t="s">
        <v>44</v>
      </c>
      <c r="B32" t="s">
        <v>116</v>
      </c>
      <c r="C32" s="71">
        <v>0</v>
      </c>
      <c r="D32" t="s">
        <v>86</v>
      </c>
      <c r="E32" s="73" t="s">
        <v>104</v>
      </c>
    </row>
    <row r="33" spans="1:5" x14ac:dyDescent="0.25">
      <c r="A33" t="s">
        <v>44</v>
      </c>
      <c r="B33" t="s">
        <v>156</v>
      </c>
      <c r="C33" t="s">
        <v>158</v>
      </c>
      <c r="D33" t="s">
        <v>8</v>
      </c>
      <c r="E33" t="s">
        <v>317</v>
      </c>
    </row>
    <row r="34" spans="1:5" x14ac:dyDescent="0.25">
      <c r="A34" t="s">
        <v>44</v>
      </c>
      <c r="B34" t="s">
        <v>163</v>
      </c>
      <c r="C34" t="s">
        <v>165</v>
      </c>
      <c r="D34" t="s">
        <v>8</v>
      </c>
      <c r="E34" t="s">
        <v>317</v>
      </c>
    </row>
    <row r="35" spans="1:5" x14ac:dyDescent="0.25">
      <c r="A35" t="s">
        <v>44</v>
      </c>
      <c r="B35" t="s">
        <v>166</v>
      </c>
      <c r="C35" s="72">
        <v>0.4</v>
      </c>
      <c r="D35" t="s">
        <v>83</v>
      </c>
      <c r="E35" t="s">
        <v>317</v>
      </c>
    </row>
    <row r="36" spans="1:5" x14ac:dyDescent="0.25">
      <c r="A36" t="s">
        <v>44</v>
      </c>
      <c r="B36" t="s">
        <v>167</v>
      </c>
      <c r="C36" s="71">
        <v>25</v>
      </c>
      <c r="D36" t="s">
        <v>155</v>
      </c>
      <c r="E36" t="s">
        <v>317</v>
      </c>
    </row>
    <row r="37" spans="1:5" x14ac:dyDescent="0.25">
      <c r="A37" t="s">
        <v>44</v>
      </c>
      <c r="B37" t="s">
        <v>168</v>
      </c>
      <c r="C37" s="72">
        <v>0.1</v>
      </c>
      <c r="D37" t="s">
        <v>83</v>
      </c>
      <c r="E37" t="s">
        <v>317</v>
      </c>
    </row>
    <row r="38" spans="1:5" x14ac:dyDescent="0.25">
      <c r="A38" t="s">
        <v>44</v>
      </c>
      <c r="B38" t="s">
        <v>169</v>
      </c>
      <c r="C38" s="71">
        <v>45</v>
      </c>
      <c r="D38" t="s">
        <v>170</v>
      </c>
      <c r="E38" t="s">
        <v>317</v>
      </c>
    </row>
    <row r="39" spans="1:5" x14ac:dyDescent="0.25">
      <c r="A39" t="s">
        <v>44</v>
      </c>
      <c r="B39" t="s">
        <v>318</v>
      </c>
      <c r="C39" s="72">
        <v>0.1</v>
      </c>
      <c r="D39" t="s">
        <v>83</v>
      </c>
      <c r="E39" t="s">
        <v>317</v>
      </c>
    </row>
    <row r="40" spans="1:5" x14ac:dyDescent="0.25">
      <c r="A40" t="s">
        <v>319</v>
      </c>
      <c r="B40" t="s">
        <v>320</v>
      </c>
      <c r="C40" t="s">
        <v>134</v>
      </c>
      <c r="D40" t="s">
        <v>8</v>
      </c>
      <c r="E40" s="7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40" customWidth="1"/>
    <col min="2" max="2" width="18" customWidth="1"/>
    <col min="3" max="3" width="50" customWidth="1"/>
  </cols>
  <sheetData>
    <row r="1" spans="1:3" s="67" customFormat="1" x14ac:dyDescent="0.25">
      <c r="A1" s="67" t="s">
        <v>321</v>
      </c>
      <c r="B1" s="67" t="s">
        <v>291</v>
      </c>
      <c r="C1" s="67" t="s">
        <v>322</v>
      </c>
    </row>
    <row r="2" spans="1:3" x14ac:dyDescent="0.25">
      <c r="A2" t="s">
        <v>29</v>
      </c>
      <c r="B2" s="11">
        <v>500</v>
      </c>
      <c r="C2" t="s">
        <v>30</v>
      </c>
    </row>
    <row r="3" spans="1:3" x14ac:dyDescent="0.25">
      <c r="A3" t="s">
        <v>31</v>
      </c>
      <c r="B3" s="11">
        <v>1307.7878579954233</v>
      </c>
      <c r="C3" t="s">
        <v>32</v>
      </c>
    </row>
    <row r="4" spans="1:3" x14ac:dyDescent="0.25">
      <c r="A4" t="s">
        <v>33</v>
      </c>
      <c r="B4" s="11">
        <v>732.3155483158617</v>
      </c>
      <c r="C4" t="s">
        <v>32</v>
      </c>
    </row>
    <row r="5" spans="1:3" x14ac:dyDescent="0.25">
      <c r="A5" t="s">
        <v>34</v>
      </c>
      <c r="B5" s="11">
        <v>1057.3334651963064</v>
      </c>
      <c r="C5" t="s">
        <v>8</v>
      </c>
    </row>
    <row r="6" spans="1:3" x14ac:dyDescent="0.25">
      <c r="A6" t="s">
        <v>35</v>
      </c>
      <c r="B6" s="11">
        <v>4229.333860785226</v>
      </c>
      <c r="C6" t="s">
        <v>8</v>
      </c>
    </row>
    <row r="8" spans="1:3" s="67" customFormat="1" x14ac:dyDescent="0.25">
      <c r="A8" s="67" t="s">
        <v>307</v>
      </c>
      <c r="B8" s="67" t="s">
        <v>323</v>
      </c>
      <c r="C8" s="67" t="s">
        <v>322</v>
      </c>
    </row>
    <row r="9" spans="1:3" x14ac:dyDescent="0.25">
      <c r="A9" t="s">
        <v>38</v>
      </c>
      <c r="B9" s="8">
        <v>5492.709003580779</v>
      </c>
      <c r="C9" t="s">
        <v>8</v>
      </c>
    </row>
    <row r="10" spans="1:3" x14ac:dyDescent="0.25">
      <c r="A10" t="s">
        <v>40</v>
      </c>
      <c r="B10" s="8">
        <v>4998.053617255757</v>
      </c>
      <c r="C10" t="s">
        <v>8</v>
      </c>
    </row>
    <row r="11" spans="1:3" x14ac:dyDescent="0.25">
      <c r="A11" t="s">
        <v>42</v>
      </c>
      <c r="B11" s="8">
        <v>5328.960664589384</v>
      </c>
      <c r="C11" t="s">
        <v>8</v>
      </c>
    </row>
    <row r="12" spans="1:3" x14ac:dyDescent="0.25">
      <c r="A12" t="s">
        <v>116</v>
      </c>
      <c r="B12" s="8">
        <v>0</v>
      </c>
      <c r="C12" t="s">
        <v>8</v>
      </c>
    </row>
    <row r="13" spans="1:3" x14ac:dyDescent="0.25">
      <c r="A13" t="s">
        <v>324</v>
      </c>
      <c r="B13" s="8">
        <v>15819.723285425918</v>
      </c>
      <c r="C13" t="s">
        <v>325</v>
      </c>
    </row>
    <row r="14" spans="1:3" x14ac:dyDescent="0.25">
      <c r="A14" t="s">
        <v>94</v>
      </c>
      <c r="B14" s="8">
        <v>11073.806299798141</v>
      </c>
      <c r="C14" t="s">
        <v>326</v>
      </c>
    </row>
    <row r="15" spans="1:3" x14ac:dyDescent="0.25">
      <c r="A15" t="s">
        <v>95</v>
      </c>
      <c r="B15" s="8">
        <v>4745.916985627777</v>
      </c>
      <c r="C1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73</v>
      </c>
      <c r="B1" s="67" t="s">
        <v>74</v>
      </c>
      <c r="C1" s="67" t="s">
        <v>327</v>
      </c>
      <c r="D1" s="67" t="s">
        <v>328</v>
      </c>
      <c r="E1" s="67" t="s">
        <v>329</v>
      </c>
      <c r="F1" s="67" t="s">
        <v>330</v>
      </c>
      <c r="G1" s="67" t="s">
        <v>331</v>
      </c>
      <c r="H1" s="67" t="s">
        <v>332</v>
      </c>
      <c r="I1" s="67" t="s">
        <v>333</v>
      </c>
      <c r="J1" s="67" t="s">
        <v>334</v>
      </c>
      <c r="K1" s="67" t="s">
        <v>335</v>
      </c>
      <c r="L1" s="67" t="s">
        <v>336</v>
      </c>
      <c r="M1" s="67" t="s">
        <v>337</v>
      </c>
      <c r="N1" s="67" t="s">
        <v>338</v>
      </c>
      <c r="O1" s="67" t="s">
        <v>339</v>
      </c>
      <c r="P1" s="67" t="s">
        <v>340</v>
      </c>
      <c r="Q1" s="67" t="s">
        <v>341</v>
      </c>
      <c r="R1" s="67" t="s">
        <v>342</v>
      </c>
      <c r="S1" s="67" t="s">
        <v>343</v>
      </c>
      <c r="T1" s="67" t="s">
        <v>344</v>
      </c>
      <c r="U1" s="67" t="s">
        <v>345</v>
      </c>
      <c r="V1" s="67" t="s">
        <v>346</v>
      </c>
      <c r="W1" s="67" t="s">
        <v>347</v>
      </c>
      <c r="X1" s="67" t="s">
        <v>348</v>
      </c>
      <c r="Y1" s="67" t="s">
        <v>349</v>
      </c>
      <c r="Z1" s="67" t="s">
        <v>350</v>
      </c>
      <c r="AA1" s="67" t="s">
        <v>351</v>
      </c>
      <c r="AB1" s="67" t="s">
        <v>352</v>
      </c>
    </row>
    <row r="2" spans="1:1" s="5" customFormat="1" x14ac:dyDescent="0.25">
      <c r="A2" s="5" t="s">
        <v>353</v>
      </c>
    </row>
    <row r="3" spans="1:28" x14ac:dyDescent="0.25">
      <c r="A3" t="s">
        <v>181</v>
      </c>
      <c r="B3" t="s">
        <v>182</v>
      </c>
      <c r="C3" s="74">
        <v>109500</v>
      </c>
      <c r="D3" s="74">
        <v>4380</v>
      </c>
      <c r="E3" s="74">
        <v>4380</v>
      </c>
      <c r="F3" s="74">
        <v>4380</v>
      </c>
      <c r="G3" s="74">
        <v>4380</v>
      </c>
      <c r="H3" s="74">
        <v>4380</v>
      </c>
      <c r="I3" s="74">
        <v>4380</v>
      </c>
      <c r="J3" s="74">
        <v>4380</v>
      </c>
      <c r="K3" s="74">
        <v>4380</v>
      </c>
      <c r="L3" s="74">
        <v>4380</v>
      </c>
      <c r="M3" s="74">
        <v>4380</v>
      </c>
      <c r="N3" s="74">
        <v>4380</v>
      </c>
      <c r="O3" s="74">
        <v>4380</v>
      </c>
      <c r="P3" s="74">
        <v>4380</v>
      </c>
      <c r="Q3" s="74">
        <v>4380</v>
      </c>
      <c r="R3" s="74">
        <v>4380</v>
      </c>
      <c r="S3" s="74">
        <v>4380</v>
      </c>
      <c r="T3" s="74">
        <v>4380</v>
      </c>
      <c r="U3" s="74">
        <v>4380</v>
      </c>
      <c r="V3" s="74">
        <v>4380</v>
      </c>
      <c r="W3" s="74">
        <v>4380</v>
      </c>
      <c r="X3" s="74">
        <v>4380</v>
      </c>
      <c r="Y3" s="74">
        <v>4380</v>
      </c>
      <c r="Z3" s="74">
        <v>4380</v>
      </c>
      <c r="AA3" s="74">
        <v>4380</v>
      </c>
      <c r="AB3" s="74">
        <v>4380</v>
      </c>
    </row>
    <row r="4" spans="1:28" x14ac:dyDescent="0.25">
      <c r="A4" t="s">
        <v>183</v>
      </c>
      <c r="B4" t="s">
        <v>182</v>
      </c>
      <c r="C4" s="74">
        <v>95951.26747125782</v>
      </c>
      <c r="D4" s="74">
        <v>3893.019923950853</v>
      </c>
      <c r="E4" s="74">
        <v>3888.4391551924746</v>
      </c>
      <c r="F4" s="74">
        <v>3883.858386434096</v>
      </c>
      <c r="G4" s="74">
        <v>3879.277617675718</v>
      </c>
      <c r="H4" s="74">
        <v>3874.6968489173396</v>
      </c>
      <c r="I4" s="74">
        <v>3870.116080158961</v>
      </c>
      <c r="J4" s="74">
        <v>3865.5353114005825</v>
      </c>
      <c r="K4" s="74">
        <v>3860.954542642204</v>
      </c>
      <c r="L4" s="74">
        <v>3856.3737738838263</v>
      </c>
      <c r="M4" s="74">
        <v>3851.793005125447</v>
      </c>
      <c r="N4" s="74">
        <v>3847.2122363670687</v>
      </c>
      <c r="O4" s="74">
        <v>3842.631467608691</v>
      </c>
      <c r="P4" s="74">
        <v>3838.050698850312</v>
      </c>
      <c r="Q4" s="74">
        <v>3833.4699300919337</v>
      </c>
      <c r="R4" s="74">
        <v>3828.8891613335554</v>
      </c>
      <c r="S4" s="74">
        <v>3824.3083925751775</v>
      </c>
      <c r="T4" s="74">
        <v>3819.7276238167988</v>
      </c>
      <c r="U4" s="74">
        <v>3815.1468550584204</v>
      </c>
      <c r="V4" s="74">
        <v>3810.566086300042</v>
      </c>
      <c r="W4" s="74">
        <v>3805.9853175416633</v>
      </c>
      <c r="X4" s="74">
        <v>3801.404548783285</v>
      </c>
      <c r="Y4" s="74">
        <v>3796.8237800249067</v>
      </c>
      <c r="Z4" s="74">
        <v>3792.243011266529</v>
      </c>
      <c r="AA4" s="74">
        <v>3787.66224250815</v>
      </c>
      <c r="AB4" s="74">
        <v>3783.0814737497717</v>
      </c>
    </row>
    <row r="5" spans="1:28" x14ac:dyDescent="0.25">
      <c r="A5" t="s">
        <v>184</v>
      </c>
      <c r="B5" t="s">
        <v>8</v>
      </c>
      <c r="D5" s="72">
        <v>0.8888173342353545</v>
      </c>
      <c r="E5" s="72">
        <v>0.8877714966192863</v>
      </c>
      <c r="F5" s="72">
        <v>0.8867256590032182</v>
      </c>
      <c r="G5" s="72">
        <v>0.8856798213871502</v>
      </c>
      <c r="H5" s="72">
        <v>0.884633983771082</v>
      </c>
      <c r="I5" s="72">
        <v>0.8835881461550139</v>
      </c>
      <c r="J5" s="72">
        <v>0.8825423085389458</v>
      </c>
      <c r="K5" s="72">
        <v>0.8814964709228776</v>
      </c>
      <c r="L5" s="72">
        <v>0.8804506333068096</v>
      </c>
      <c r="M5" s="72">
        <v>0.8794047956907414</v>
      </c>
      <c r="N5" s="72">
        <v>0.8783589580746732</v>
      </c>
      <c r="O5" s="72">
        <v>0.8773131204586052</v>
      </c>
      <c r="P5" s="72">
        <v>0.8762672828425371</v>
      </c>
      <c r="Q5" s="72">
        <v>0.8752214452264689</v>
      </c>
      <c r="R5" s="72">
        <v>0.8741756076104008</v>
      </c>
      <c r="S5" s="72">
        <v>0.8731297699943328</v>
      </c>
      <c r="T5" s="72">
        <v>0.8720839323782645</v>
      </c>
      <c r="U5" s="72">
        <v>0.8710380947621964</v>
      </c>
      <c r="V5" s="72">
        <v>0.8699922571461283</v>
      </c>
      <c r="W5" s="72">
        <v>0.8689464195300601</v>
      </c>
      <c r="X5" s="72">
        <v>0.867900581913992</v>
      </c>
      <c r="Y5" s="72">
        <v>0.8668547442979239</v>
      </c>
      <c r="Z5" s="72">
        <v>0.8658089066818558</v>
      </c>
      <c r="AA5" s="72">
        <v>0.8647630690657877</v>
      </c>
      <c r="AB5" s="72">
        <v>0.8637172314497196</v>
      </c>
    </row>
    <row r="6" spans="1:28" x14ac:dyDescent="0.25">
      <c r="A6" t="s">
        <v>187</v>
      </c>
      <c r="B6" t="s">
        <v>182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100</v>
      </c>
      <c r="B7" t="s">
        <v>82</v>
      </c>
      <c r="D7" s="75">
        <v>7.043367848320873</v>
      </c>
      <c r="E7" s="75">
        <v>7.043367848320873</v>
      </c>
      <c r="F7" s="75">
        <v>7.043367848320873</v>
      </c>
      <c r="G7" s="75">
        <v>7.043367848320873</v>
      </c>
      <c r="H7" s="75">
        <v>7.043367848320873</v>
      </c>
      <c r="I7" s="75">
        <v>7.043367848320873</v>
      </c>
      <c r="J7" s="75">
        <v>7.043367848320873</v>
      </c>
      <c r="K7" s="75">
        <v>7.043367848320873</v>
      </c>
      <c r="L7" s="75">
        <v>7.043367848320873</v>
      </c>
      <c r="M7" s="75">
        <v>7.043367848320873</v>
      </c>
      <c r="N7" s="75">
        <v>7.043367848320873</v>
      </c>
      <c r="O7" s="75">
        <v>7.043367848320873</v>
      </c>
      <c r="P7" s="75">
        <v>7.043367848320873</v>
      </c>
      <c r="Q7" s="75">
        <v>7.043367848320873</v>
      </c>
      <c r="R7" s="75">
        <v>7.043367848320873</v>
      </c>
      <c r="S7" s="75">
        <v>7.043367848320873</v>
      </c>
      <c r="T7" s="75">
        <v>7.043367848320873</v>
      </c>
      <c r="U7" s="75">
        <v>7.043367848320873</v>
      </c>
      <c r="V7" s="75">
        <v>7.043367848320873</v>
      </c>
      <c r="W7" s="75">
        <v>7.043367848320873</v>
      </c>
      <c r="X7" s="75">
        <v>7.043367848320873</v>
      </c>
      <c r="Y7" s="75">
        <v>7.043367848320873</v>
      </c>
      <c r="Z7" s="75">
        <v>7.043367848320873</v>
      </c>
      <c r="AA7" s="75">
        <v>7.043367848320873</v>
      </c>
      <c r="AB7" s="75">
        <v>7.043367848320873</v>
      </c>
    </row>
    <row r="8" spans="1:1" s="5" customFormat="1" x14ac:dyDescent="0.25">
      <c r="A8" s="5" t="s">
        <v>192</v>
      </c>
    </row>
    <row r="9" spans="1:28" x14ac:dyDescent="0.25">
      <c r="A9" t="s">
        <v>193</v>
      </c>
      <c r="B9" t="s">
        <v>8</v>
      </c>
      <c r="C9" s="76">
        <v>67582.00723126937</v>
      </c>
      <c r="D9" s="76">
        <v>2741.997136522801</v>
      </c>
      <c r="E9" s="76">
        <v>2738.7707325834654</v>
      </c>
      <c r="F9" s="76">
        <v>2735.5443286441296</v>
      </c>
      <c r="G9" s="76">
        <v>2732.317924704794</v>
      </c>
      <c r="H9" s="76">
        <v>2729.091520765459</v>
      </c>
      <c r="I9" s="76">
        <v>2725.8651168261235</v>
      </c>
      <c r="J9" s="76">
        <v>2722.6387128867877</v>
      </c>
      <c r="K9" s="76">
        <v>2719.4123089474524</v>
      </c>
      <c r="L9" s="76">
        <v>2716.185905008117</v>
      </c>
      <c r="M9" s="76">
        <v>2712.9595010687813</v>
      </c>
      <c r="N9" s="76">
        <v>2709.7330971294455</v>
      </c>
      <c r="O9" s="76">
        <v>2706.50669319011</v>
      </c>
      <c r="P9" s="76">
        <v>2703.280289250775</v>
      </c>
      <c r="Q9" s="76">
        <v>2700.0538853114394</v>
      </c>
      <c r="R9" s="76">
        <v>2696.8274813721036</v>
      </c>
      <c r="S9" s="76">
        <v>2693.6010774327688</v>
      </c>
      <c r="T9" s="76">
        <v>2690.374673493433</v>
      </c>
      <c r="U9" s="76">
        <v>2687.148269554097</v>
      </c>
      <c r="V9" s="76">
        <v>2683.921865614762</v>
      </c>
      <c r="W9" s="76">
        <v>2680.695461675426</v>
      </c>
      <c r="X9" s="76">
        <v>2677.4690577360907</v>
      </c>
      <c r="Y9" s="76">
        <v>2674.2426537967553</v>
      </c>
      <c r="Z9" s="76">
        <v>2671.01624985742</v>
      </c>
      <c r="AA9" s="76">
        <v>2667.789845918084</v>
      </c>
      <c r="AB9" s="76">
        <v>2664.563441978749</v>
      </c>
    </row>
    <row r="10" spans="1:28" x14ac:dyDescent="0.25">
      <c r="A10" t="s">
        <v>194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139</v>
      </c>
      <c r="B11" t="s">
        <v>8</v>
      </c>
      <c r="C11" s="76">
        <v>6802.8232701331835</v>
      </c>
      <c r="D11" s="76">
        <v>254.24498275471316</v>
      </c>
      <c r="E11" s="76">
        <v>255.73397842559768</v>
      </c>
      <c r="F11" s="76">
        <v>257.22297409648223</v>
      </c>
      <c r="G11" s="76">
        <v>258.71196976736667</v>
      </c>
      <c r="H11" s="76">
        <v>260.2009654382512</v>
      </c>
      <c r="I11" s="76">
        <v>261.6899611091357</v>
      </c>
      <c r="J11" s="76">
        <v>263.17895678002026</v>
      </c>
      <c r="K11" s="76">
        <v>264.66795245090475</v>
      </c>
      <c r="L11" s="76">
        <v>266.1569481217893</v>
      </c>
      <c r="M11" s="76">
        <v>267.6459437926738</v>
      </c>
      <c r="N11" s="76">
        <v>269.1349394635583</v>
      </c>
      <c r="O11" s="76">
        <v>270.6239351344429</v>
      </c>
      <c r="P11" s="76">
        <v>272.1129308053273</v>
      </c>
      <c r="Q11" s="76">
        <v>273.6019264762119</v>
      </c>
      <c r="R11" s="76">
        <v>275.0909221470963</v>
      </c>
      <c r="S11" s="76">
        <v>276.5799178179809</v>
      </c>
      <c r="T11" s="76">
        <v>278.0689134888654</v>
      </c>
      <c r="U11" s="76">
        <v>279.55790915974984</v>
      </c>
      <c r="V11" s="76">
        <v>281.04690483063445</v>
      </c>
      <c r="W11" s="76">
        <v>282.5359005015189</v>
      </c>
      <c r="X11" s="76">
        <v>284.0248961724034</v>
      </c>
      <c r="Y11" s="76">
        <v>285.51389184328787</v>
      </c>
      <c r="Z11" s="76">
        <v>287.00288751417247</v>
      </c>
      <c r="AA11" s="76">
        <v>288.49188318505696</v>
      </c>
      <c r="AB11" s="76">
        <v>289.98087885594146</v>
      </c>
    </row>
    <row r="12" spans="1:28" s="14" customFormat="1" x14ac:dyDescent="0.25">
      <c r="A12" s="14" t="s">
        <v>195</v>
      </c>
      <c r="B12" s="14" t="s">
        <v>8</v>
      </c>
      <c r="C12" s="77">
        <v>60779.18396113619</v>
      </c>
      <c r="D12" s="77">
        <v>2487.752153768088</v>
      </c>
      <c r="E12" s="77">
        <v>2483.0367541578676</v>
      </c>
      <c r="F12" s="77">
        <v>2478.3213545476474</v>
      </c>
      <c r="G12" s="77">
        <v>2473.6059549374277</v>
      </c>
      <c r="H12" s="77">
        <v>2468.8905553272075</v>
      </c>
      <c r="I12" s="77">
        <v>2464.175155716988</v>
      </c>
      <c r="J12" s="77">
        <v>2459.4597561067676</v>
      </c>
      <c r="K12" s="77">
        <v>2454.744356496548</v>
      </c>
      <c r="L12" s="77">
        <v>2450.0289568863277</v>
      </c>
      <c r="M12" s="77">
        <v>2445.3135572761075</v>
      </c>
      <c r="N12" s="77">
        <v>2440.5981576658874</v>
      </c>
      <c r="O12" s="77">
        <v>2435.882758055667</v>
      </c>
      <c r="P12" s="77">
        <v>2431.1673584454475</v>
      </c>
      <c r="Q12" s="77">
        <v>2426.4519588352277</v>
      </c>
      <c r="R12" s="77">
        <v>2421.736559225007</v>
      </c>
      <c r="S12" s="77">
        <v>2417.021159614788</v>
      </c>
      <c r="T12" s="77">
        <v>2412.3057600045677</v>
      </c>
      <c r="U12" s="77">
        <v>2407.5903603943475</v>
      </c>
      <c r="V12" s="77">
        <v>2402.8749607841273</v>
      </c>
      <c r="W12" s="77">
        <v>2398.159561173907</v>
      </c>
      <c r="X12" s="77">
        <v>2393.4441615636874</v>
      </c>
      <c r="Y12" s="77">
        <v>2388.7287619534673</v>
      </c>
      <c r="Z12" s="77">
        <v>2384.0133623432475</v>
      </c>
      <c r="AA12" s="77">
        <v>2379.2979627330274</v>
      </c>
      <c r="AB12" s="77">
        <v>2374.582563122807</v>
      </c>
    </row>
    <row r="13" spans="1:1" s="5" customFormat="1" x14ac:dyDescent="0.25">
      <c r="A13" s="5" t="s">
        <v>196</v>
      </c>
    </row>
    <row r="14" spans="1:28" x14ac:dyDescent="0.25">
      <c r="A14" t="s">
        <v>308</v>
      </c>
      <c r="B14" t="s">
        <v>8</v>
      </c>
      <c r="C14" s="76">
        <v>8064.539523193778</v>
      </c>
      <c r="D14" s="76">
        <v>168.9719199976672</v>
      </c>
      <c r="E14" s="76">
        <v>177.42051599755055</v>
      </c>
      <c r="F14" s="76">
        <v>186.29154179742807</v>
      </c>
      <c r="G14" s="76">
        <v>195.6061188872995</v>
      </c>
      <c r="H14" s="76">
        <v>205.3864248316645</v>
      </c>
      <c r="I14" s="76">
        <v>215.65574607324774</v>
      </c>
      <c r="J14" s="76">
        <v>226.43853337691013</v>
      </c>
      <c r="K14" s="76">
        <v>237.76046004575565</v>
      </c>
      <c r="L14" s="76">
        <v>249.64848304804343</v>
      </c>
      <c r="M14" s="76">
        <v>262.1309072004456</v>
      </c>
      <c r="N14" s="76">
        <v>275.2374525604679</v>
      </c>
      <c r="O14" s="76">
        <v>288.9993251884913</v>
      </c>
      <c r="P14" s="76">
        <v>303.44929144791587</v>
      </c>
      <c r="Q14" s="76">
        <v>318.6217560203117</v>
      </c>
      <c r="R14" s="76">
        <v>334.5528438213273</v>
      </c>
      <c r="S14" s="76">
        <v>351.2804860123937</v>
      </c>
      <c r="T14" s="76">
        <v>368.84451031301336</v>
      </c>
      <c r="U14" s="76">
        <v>387.28673582866406</v>
      </c>
      <c r="V14" s="76">
        <v>406.65107262009724</v>
      </c>
      <c r="W14" s="76">
        <v>426.9836262511022</v>
      </c>
      <c r="X14" s="76">
        <v>448.33280756365724</v>
      </c>
      <c r="Y14" s="76">
        <v>470.7494479418402</v>
      </c>
      <c r="Z14" s="76">
        <v>494.2869203389322</v>
      </c>
      <c r="AA14" s="76">
        <v>519.0012663558788</v>
      </c>
      <c r="AB14" s="76">
        <v>544.9513296736727</v>
      </c>
    </row>
    <row r="15" spans="1:28" x14ac:dyDescent="0.25">
      <c r="A15" t="s">
        <v>126</v>
      </c>
      <c r="B15" t="s">
        <v>8</v>
      </c>
      <c r="C15" s="76">
        <v>1129.9802346732802</v>
      </c>
      <c r="D15" s="76">
        <v>45.199209386931194</v>
      </c>
      <c r="E15" s="76">
        <v>45.199209386931194</v>
      </c>
      <c r="F15" s="76">
        <v>45.199209386931194</v>
      </c>
      <c r="G15" s="76">
        <v>45.199209386931194</v>
      </c>
      <c r="H15" s="76">
        <v>45.199209386931194</v>
      </c>
      <c r="I15" s="76">
        <v>45.199209386931194</v>
      </c>
      <c r="J15" s="76">
        <v>45.199209386931194</v>
      </c>
      <c r="K15" s="76">
        <v>45.199209386931194</v>
      </c>
      <c r="L15" s="76">
        <v>45.199209386931194</v>
      </c>
      <c r="M15" s="76">
        <v>45.199209386931194</v>
      </c>
      <c r="N15" s="76">
        <v>45.199209386931194</v>
      </c>
      <c r="O15" s="76">
        <v>45.199209386931194</v>
      </c>
      <c r="P15" s="76">
        <v>45.199209386931194</v>
      </c>
      <c r="Q15" s="76">
        <v>45.199209386931194</v>
      </c>
      <c r="R15" s="76">
        <v>45.199209386931194</v>
      </c>
      <c r="S15" s="76">
        <v>45.199209386931194</v>
      </c>
      <c r="T15" s="76">
        <v>45.199209386931194</v>
      </c>
      <c r="U15" s="76">
        <v>45.199209386931194</v>
      </c>
      <c r="V15" s="76">
        <v>45.199209386931194</v>
      </c>
      <c r="W15" s="76">
        <v>45.199209386931194</v>
      </c>
      <c r="X15" s="76">
        <v>45.199209386931194</v>
      </c>
      <c r="Y15" s="76">
        <v>45.199209386931194</v>
      </c>
      <c r="Z15" s="76">
        <v>45.199209386931194</v>
      </c>
      <c r="AA15" s="76">
        <v>45.199209386931194</v>
      </c>
      <c r="AB15" s="76">
        <v>45.199209386931194</v>
      </c>
    </row>
    <row r="16" spans="1:28" x14ac:dyDescent="0.25">
      <c r="A16" t="s">
        <v>128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197</v>
      </c>
      <c r="B17" s="14" t="s">
        <v>8</v>
      </c>
      <c r="C17" s="77">
        <v>9194.519757867058</v>
      </c>
      <c r="D17" s="77">
        <v>214.17112938459837</v>
      </c>
      <c r="E17" s="77">
        <v>222.61972538448174</v>
      </c>
      <c r="F17" s="77">
        <v>231.49075118435925</v>
      </c>
      <c r="G17" s="77">
        <v>240.80532827423067</v>
      </c>
      <c r="H17" s="77">
        <v>250.5856342185957</v>
      </c>
      <c r="I17" s="77">
        <v>260.8549554601789</v>
      </c>
      <c r="J17" s="77">
        <v>271.63774276384135</v>
      </c>
      <c r="K17" s="77">
        <v>282.95966943268684</v>
      </c>
      <c r="L17" s="77">
        <v>294.84769243497465</v>
      </c>
      <c r="M17" s="77">
        <v>307.33011658737684</v>
      </c>
      <c r="N17" s="77">
        <v>320.4366619473991</v>
      </c>
      <c r="O17" s="77">
        <v>334.1985345754225</v>
      </c>
      <c r="P17" s="77">
        <v>348.6485008348471</v>
      </c>
      <c r="Q17" s="77">
        <v>363.8209654072429</v>
      </c>
      <c r="R17" s="77">
        <v>379.75205320825853</v>
      </c>
      <c r="S17" s="77">
        <v>396.4796953993249</v>
      </c>
      <c r="T17" s="77">
        <v>414.0437196999446</v>
      </c>
      <c r="U17" s="77">
        <v>432.4859452155953</v>
      </c>
      <c r="V17" s="77">
        <v>451.85028200702845</v>
      </c>
      <c r="W17" s="77">
        <v>472.1828356380334</v>
      </c>
      <c r="X17" s="77">
        <v>493.53201695058846</v>
      </c>
      <c r="Y17" s="77">
        <v>515.9486573287713</v>
      </c>
      <c r="Z17" s="77">
        <v>539.4861297258634</v>
      </c>
      <c r="AA17" s="77">
        <v>564.20047574281</v>
      </c>
      <c r="AB17" s="77">
        <v>590.1505390606039</v>
      </c>
    </row>
    <row r="18" spans="1:1" s="5" customFormat="1" x14ac:dyDescent="0.25">
      <c r="A18" s="5" t="s">
        <v>354</v>
      </c>
    </row>
    <row r="19" spans="1:28" x14ac:dyDescent="0.25">
      <c r="A19" t="s">
        <v>143</v>
      </c>
      <c r="B19" t="s">
        <v>8</v>
      </c>
      <c r="C19" s="76">
        <v>2436.09630381229</v>
      </c>
      <c r="D19" s="76">
        <v>0</v>
      </c>
      <c r="E19" s="76">
        <v>101.50401265884541</v>
      </c>
      <c r="F19" s="76">
        <v>101.50401265884541</v>
      </c>
      <c r="G19" s="76">
        <v>101.50401265884541</v>
      </c>
      <c r="H19" s="76">
        <v>101.50401265884541</v>
      </c>
      <c r="I19" s="76">
        <v>101.50401265884541</v>
      </c>
      <c r="J19" s="76">
        <v>101.50401265884541</v>
      </c>
      <c r="K19" s="76">
        <v>101.50401265884541</v>
      </c>
      <c r="L19" s="76">
        <v>101.50401265884541</v>
      </c>
      <c r="M19" s="76">
        <v>101.50401265884541</v>
      </c>
      <c r="N19" s="76">
        <v>101.50401265884541</v>
      </c>
      <c r="O19" s="76">
        <v>101.50401265884541</v>
      </c>
      <c r="P19" s="76">
        <v>101.50401265884541</v>
      </c>
      <c r="Q19" s="76">
        <v>101.50401265884541</v>
      </c>
      <c r="R19" s="76">
        <v>101.50401265884541</v>
      </c>
      <c r="S19" s="76">
        <v>101.50401265884541</v>
      </c>
      <c r="T19" s="76">
        <v>101.50401265884541</v>
      </c>
      <c r="U19" s="76">
        <v>101.50401265884541</v>
      </c>
      <c r="V19" s="76">
        <v>101.50401265884541</v>
      </c>
      <c r="W19" s="76">
        <v>101.50401265884541</v>
      </c>
      <c r="X19" s="76">
        <v>101.50401265884541</v>
      </c>
      <c r="Y19" s="76">
        <v>101.50401265884541</v>
      </c>
      <c r="Z19" s="76">
        <v>101.50401265884541</v>
      </c>
      <c r="AA19" s="76">
        <v>101.50401265884541</v>
      </c>
      <c r="AB19" s="76">
        <v>101.50401265884541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73</v>
      </c>
      <c r="B1" s="67" t="s">
        <v>74</v>
      </c>
      <c r="C1" s="67" t="s">
        <v>327</v>
      </c>
      <c r="D1" s="67" t="s">
        <v>328</v>
      </c>
      <c r="E1" s="67" t="s">
        <v>329</v>
      </c>
      <c r="F1" s="67" t="s">
        <v>330</v>
      </c>
      <c r="G1" s="67" t="s">
        <v>331</v>
      </c>
      <c r="H1" s="67" t="s">
        <v>332</v>
      </c>
      <c r="I1" s="67" t="s">
        <v>333</v>
      </c>
      <c r="J1" s="67" t="s">
        <v>334</v>
      </c>
      <c r="K1" s="67" t="s">
        <v>335</v>
      </c>
      <c r="L1" s="67" t="s">
        <v>336</v>
      </c>
      <c r="M1" s="67" t="s">
        <v>337</v>
      </c>
      <c r="N1" s="67" t="s">
        <v>338</v>
      </c>
      <c r="O1" s="67" t="s">
        <v>339</v>
      </c>
      <c r="P1" s="67" t="s">
        <v>340</v>
      </c>
      <c r="Q1" s="67" t="s">
        <v>341</v>
      </c>
      <c r="R1" s="67" t="s">
        <v>342</v>
      </c>
      <c r="S1" s="67" t="s">
        <v>343</v>
      </c>
      <c r="T1" s="67" t="s">
        <v>344</v>
      </c>
      <c r="U1" s="67" t="s">
        <v>345</v>
      </c>
      <c r="V1" s="67" t="s">
        <v>346</v>
      </c>
      <c r="W1" s="67" t="s">
        <v>347</v>
      </c>
      <c r="X1" s="67" t="s">
        <v>348</v>
      </c>
      <c r="Y1" s="67" t="s">
        <v>349</v>
      </c>
      <c r="Z1" s="67" t="s">
        <v>350</v>
      </c>
      <c r="AA1" s="67" t="s">
        <v>351</v>
      </c>
      <c r="AB1" s="67" t="s">
        <v>352</v>
      </c>
    </row>
    <row r="2" spans="1:1" s="5" customFormat="1" x14ac:dyDescent="0.25">
      <c r="A2" s="5" t="s">
        <v>353</v>
      </c>
    </row>
    <row r="3" spans="1:28" x14ac:dyDescent="0.25">
      <c r="A3" t="s">
        <v>181</v>
      </c>
      <c r="B3" t="s">
        <v>182</v>
      </c>
      <c r="C3" s="74">
        <v>109500</v>
      </c>
      <c r="D3" s="74">
        <v>4380</v>
      </c>
      <c r="E3" s="74">
        <v>4380</v>
      </c>
      <c r="F3" s="74">
        <v>4380</v>
      </c>
      <c r="G3" s="74">
        <v>4380</v>
      </c>
      <c r="H3" s="74">
        <v>4380</v>
      </c>
      <c r="I3" s="74">
        <v>4380</v>
      </c>
      <c r="J3" s="74">
        <v>4380</v>
      </c>
      <c r="K3" s="74">
        <v>4380</v>
      </c>
      <c r="L3" s="74">
        <v>4380</v>
      </c>
      <c r="M3" s="74">
        <v>4380</v>
      </c>
      <c r="N3" s="74">
        <v>4380</v>
      </c>
      <c r="O3" s="74">
        <v>4380</v>
      </c>
      <c r="P3" s="74">
        <v>4380</v>
      </c>
      <c r="Q3" s="74">
        <v>4380</v>
      </c>
      <c r="R3" s="74">
        <v>4380</v>
      </c>
      <c r="S3" s="74">
        <v>4380</v>
      </c>
      <c r="T3" s="74">
        <v>4380</v>
      </c>
      <c r="U3" s="74">
        <v>4380</v>
      </c>
      <c r="V3" s="74">
        <v>4380</v>
      </c>
      <c r="W3" s="74">
        <v>4380</v>
      </c>
      <c r="X3" s="74">
        <v>4380</v>
      </c>
      <c r="Y3" s="74">
        <v>4380</v>
      </c>
      <c r="Z3" s="74">
        <v>4380</v>
      </c>
      <c r="AA3" s="74">
        <v>4380</v>
      </c>
      <c r="AB3" s="74">
        <v>4380</v>
      </c>
    </row>
    <row r="4" spans="1:28" x14ac:dyDescent="0.25">
      <c r="A4" t="s">
        <v>183</v>
      </c>
      <c r="B4" t="s">
        <v>182</v>
      </c>
      <c r="C4" s="74">
        <v>95951.26747125782</v>
      </c>
      <c r="D4" s="74">
        <v>3893.019923950853</v>
      </c>
      <c r="E4" s="74">
        <v>3888.4391551924746</v>
      </c>
      <c r="F4" s="74">
        <v>3883.858386434096</v>
      </c>
      <c r="G4" s="74">
        <v>3879.277617675718</v>
      </c>
      <c r="H4" s="74">
        <v>3874.6968489173396</v>
      </c>
      <c r="I4" s="74">
        <v>3870.116080158961</v>
      </c>
      <c r="J4" s="74">
        <v>3865.5353114005825</v>
      </c>
      <c r="K4" s="74">
        <v>3860.954542642204</v>
      </c>
      <c r="L4" s="74">
        <v>3856.3737738838263</v>
      </c>
      <c r="M4" s="74">
        <v>3851.793005125447</v>
      </c>
      <c r="N4" s="74">
        <v>3847.2122363670687</v>
      </c>
      <c r="O4" s="74">
        <v>3842.631467608691</v>
      </c>
      <c r="P4" s="74">
        <v>3838.050698850312</v>
      </c>
      <c r="Q4" s="74">
        <v>3833.4699300919337</v>
      </c>
      <c r="R4" s="74">
        <v>3828.8891613335554</v>
      </c>
      <c r="S4" s="74">
        <v>3824.3083925751775</v>
      </c>
      <c r="T4" s="74">
        <v>3819.7276238167988</v>
      </c>
      <c r="U4" s="74">
        <v>3815.1468550584204</v>
      </c>
      <c r="V4" s="74">
        <v>3810.566086300042</v>
      </c>
      <c r="W4" s="74">
        <v>3805.9853175416633</v>
      </c>
      <c r="X4" s="74">
        <v>3801.404548783285</v>
      </c>
      <c r="Y4" s="74">
        <v>3796.8237800249067</v>
      </c>
      <c r="Z4" s="74">
        <v>3792.243011266529</v>
      </c>
      <c r="AA4" s="74">
        <v>3787.66224250815</v>
      </c>
      <c r="AB4" s="74">
        <v>3783.0814737497717</v>
      </c>
    </row>
    <row r="5" spans="1:28" x14ac:dyDescent="0.25">
      <c r="A5" t="s">
        <v>184</v>
      </c>
      <c r="B5" t="s">
        <v>8</v>
      </c>
      <c r="D5" s="72">
        <v>0.8888173342353545</v>
      </c>
      <c r="E5" s="72">
        <v>0.8877714966192863</v>
      </c>
      <c r="F5" s="72">
        <v>0.8867256590032182</v>
      </c>
      <c r="G5" s="72">
        <v>0.8856798213871502</v>
      </c>
      <c r="H5" s="72">
        <v>0.884633983771082</v>
      </c>
      <c r="I5" s="72">
        <v>0.8835881461550139</v>
      </c>
      <c r="J5" s="72">
        <v>0.8825423085389458</v>
      </c>
      <c r="K5" s="72">
        <v>0.8814964709228776</v>
      </c>
      <c r="L5" s="72">
        <v>0.8804506333068096</v>
      </c>
      <c r="M5" s="72">
        <v>0.8794047956907414</v>
      </c>
      <c r="N5" s="72">
        <v>0.8783589580746732</v>
      </c>
      <c r="O5" s="72">
        <v>0.8773131204586052</v>
      </c>
      <c r="P5" s="72">
        <v>0.8762672828425371</v>
      </c>
      <c r="Q5" s="72">
        <v>0.8752214452264689</v>
      </c>
      <c r="R5" s="72">
        <v>0.8741756076104008</v>
      </c>
      <c r="S5" s="72">
        <v>0.8731297699943328</v>
      </c>
      <c r="T5" s="72">
        <v>0.8720839323782645</v>
      </c>
      <c r="U5" s="72">
        <v>0.8710380947621964</v>
      </c>
      <c r="V5" s="72">
        <v>0.8699922571461283</v>
      </c>
      <c r="W5" s="72">
        <v>0.8689464195300601</v>
      </c>
      <c r="X5" s="72">
        <v>0.867900581913992</v>
      </c>
      <c r="Y5" s="72">
        <v>0.8668547442979239</v>
      </c>
      <c r="Z5" s="72">
        <v>0.8658089066818558</v>
      </c>
      <c r="AA5" s="72">
        <v>0.8647630690657877</v>
      </c>
      <c r="AB5" s="72">
        <v>0.8637172314497196</v>
      </c>
    </row>
    <row r="6" spans="1:28" x14ac:dyDescent="0.25">
      <c r="A6" t="s">
        <v>187</v>
      </c>
      <c r="B6" t="s">
        <v>182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100</v>
      </c>
      <c r="B7" t="s">
        <v>82</v>
      </c>
      <c r="D7" s="75">
        <v>7.043367848320873</v>
      </c>
      <c r="E7" s="75">
        <v>7.043367848320873</v>
      </c>
      <c r="F7" s="75">
        <v>7.043367848320873</v>
      </c>
      <c r="G7" s="75">
        <v>7.043367848320873</v>
      </c>
      <c r="H7" s="75">
        <v>7.043367848320873</v>
      </c>
      <c r="I7" s="75">
        <v>7.043367848320873</v>
      </c>
      <c r="J7" s="75">
        <v>7.043367848320873</v>
      </c>
      <c r="K7" s="75">
        <v>7.043367848320873</v>
      </c>
      <c r="L7" s="75">
        <v>7.043367848320873</v>
      </c>
      <c r="M7" s="75">
        <v>7.043367848320873</v>
      </c>
      <c r="N7" s="75">
        <v>7.043367848320873</v>
      </c>
      <c r="O7" s="75">
        <v>7.043367848320873</v>
      </c>
      <c r="P7" s="75">
        <v>7.043367848320873</v>
      </c>
      <c r="Q7" s="75">
        <v>7.043367848320873</v>
      </c>
      <c r="R7" s="75">
        <v>7.043367848320873</v>
      </c>
      <c r="S7" s="75">
        <v>7.043367848320873</v>
      </c>
      <c r="T7" s="75">
        <v>7.043367848320873</v>
      </c>
      <c r="U7" s="75">
        <v>7.043367848320873</v>
      </c>
      <c r="V7" s="75">
        <v>7.043367848320873</v>
      </c>
      <c r="W7" s="75">
        <v>7.043367848320873</v>
      </c>
      <c r="X7" s="75">
        <v>7.043367848320873</v>
      </c>
      <c r="Y7" s="75">
        <v>7.043367848320873</v>
      </c>
      <c r="Z7" s="75">
        <v>7.043367848320873</v>
      </c>
      <c r="AA7" s="75">
        <v>7.043367848320873</v>
      </c>
      <c r="AB7" s="75">
        <v>7.043367848320873</v>
      </c>
    </row>
    <row r="8" spans="1:1" s="5" customFormat="1" x14ac:dyDescent="0.25">
      <c r="A8" s="5" t="s">
        <v>192</v>
      </c>
    </row>
    <row r="9" spans="1:28" x14ac:dyDescent="0.25">
      <c r="A9" t="s">
        <v>193</v>
      </c>
      <c r="B9" t="s">
        <v>8</v>
      </c>
      <c r="C9" s="76">
        <v>67582.00723126937</v>
      </c>
      <c r="D9" s="76">
        <v>2741.997136522801</v>
      </c>
      <c r="E9" s="76">
        <v>2738.7707325834654</v>
      </c>
      <c r="F9" s="76">
        <v>2735.5443286441296</v>
      </c>
      <c r="G9" s="76">
        <v>2732.317924704794</v>
      </c>
      <c r="H9" s="76">
        <v>2729.091520765459</v>
      </c>
      <c r="I9" s="76">
        <v>2725.8651168261235</v>
      </c>
      <c r="J9" s="76">
        <v>2722.6387128867877</v>
      </c>
      <c r="K9" s="76">
        <v>2719.4123089474524</v>
      </c>
      <c r="L9" s="76">
        <v>2716.185905008117</v>
      </c>
      <c r="M9" s="76">
        <v>2712.9595010687813</v>
      </c>
      <c r="N9" s="76">
        <v>2709.7330971294455</v>
      </c>
      <c r="O9" s="76">
        <v>2706.50669319011</v>
      </c>
      <c r="P9" s="76">
        <v>2703.280289250775</v>
      </c>
      <c r="Q9" s="76">
        <v>2700.0538853114394</v>
      </c>
      <c r="R9" s="76">
        <v>2696.8274813721036</v>
      </c>
      <c r="S9" s="76">
        <v>2693.6010774327688</v>
      </c>
      <c r="T9" s="76">
        <v>2690.374673493433</v>
      </c>
      <c r="U9" s="76">
        <v>2687.148269554097</v>
      </c>
      <c r="V9" s="76">
        <v>2683.921865614762</v>
      </c>
      <c r="W9" s="76">
        <v>2680.695461675426</v>
      </c>
      <c r="X9" s="76">
        <v>2677.4690577360907</v>
      </c>
      <c r="Y9" s="76">
        <v>2674.2426537967553</v>
      </c>
      <c r="Z9" s="76">
        <v>2671.01624985742</v>
      </c>
      <c r="AA9" s="76">
        <v>2667.789845918084</v>
      </c>
      <c r="AB9" s="76">
        <v>2664.563441978749</v>
      </c>
    </row>
    <row r="10" spans="1:28" x14ac:dyDescent="0.25">
      <c r="A10" t="s">
        <v>194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139</v>
      </c>
      <c r="B11" t="s">
        <v>8</v>
      </c>
      <c r="C11" s="76">
        <v>6802.8232701331835</v>
      </c>
      <c r="D11" s="76">
        <v>254.24498275471316</v>
      </c>
      <c r="E11" s="76">
        <v>255.73397842559768</v>
      </c>
      <c r="F11" s="76">
        <v>257.22297409648223</v>
      </c>
      <c r="G11" s="76">
        <v>258.71196976736667</v>
      </c>
      <c r="H11" s="76">
        <v>260.2009654382512</v>
      </c>
      <c r="I11" s="76">
        <v>261.6899611091357</v>
      </c>
      <c r="J11" s="76">
        <v>263.17895678002026</v>
      </c>
      <c r="K11" s="76">
        <v>264.66795245090475</v>
      </c>
      <c r="L11" s="76">
        <v>266.1569481217893</v>
      </c>
      <c r="M11" s="76">
        <v>267.6459437926738</v>
      </c>
      <c r="N11" s="76">
        <v>269.1349394635583</v>
      </c>
      <c r="O11" s="76">
        <v>270.6239351344429</v>
      </c>
      <c r="P11" s="76">
        <v>272.1129308053273</v>
      </c>
      <c r="Q11" s="76">
        <v>273.6019264762119</v>
      </c>
      <c r="R11" s="76">
        <v>275.0909221470963</v>
      </c>
      <c r="S11" s="76">
        <v>276.5799178179809</v>
      </c>
      <c r="T11" s="76">
        <v>278.0689134888654</v>
      </c>
      <c r="U11" s="76">
        <v>279.55790915974984</v>
      </c>
      <c r="V11" s="76">
        <v>281.04690483063445</v>
      </c>
      <c r="W11" s="76">
        <v>282.5359005015189</v>
      </c>
      <c r="X11" s="76">
        <v>284.0248961724034</v>
      </c>
      <c r="Y11" s="76">
        <v>285.51389184328787</v>
      </c>
      <c r="Z11" s="76">
        <v>287.00288751417247</v>
      </c>
      <c r="AA11" s="76">
        <v>288.49188318505696</v>
      </c>
      <c r="AB11" s="76">
        <v>289.98087885594146</v>
      </c>
    </row>
    <row r="12" spans="1:28" s="14" customFormat="1" x14ac:dyDescent="0.25">
      <c r="A12" s="14" t="s">
        <v>195</v>
      </c>
      <c r="B12" s="14" t="s">
        <v>8</v>
      </c>
      <c r="C12" s="77">
        <v>60779.18396113619</v>
      </c>
      <c r="D12" s="77">
        <v>2487.752153768088</v>
      </c>
      <c r="E12" s="77">
        <v>2483.0367541578676</v>
      </c>
      <c r="F12" s="77">
        <v>2478.3213545476474</v>
      </c>
      <c r="G12" s="77">
        <v>2473.6059549374277</v>
      </c>
      <c r="H12" s="77">
        <v>2468.8905553272075</v>
      </c>
      <c r="I12" s="77">
        <v>2464.175155716988</v>
      </c>
      <c r="J12" s="77">
        <v>2459.4597561067676</v>
      </c>
      <c r="K12" s="77">
        <v>2454.744356496548</v>
      </c>
      <c r="L12" s="77">
        <v>2450.0289568863277</v>
      </c>
      <c r="M12" s="77">
        <v>2445.3135572761075</v>
      </c>
      <c r="N12" s="77">
        <v>2440.5981576658874</v>
      </c>
      <c r="O12" s="77">
        <v>2435.882758055667</v>
      </c>
      <c r="P12" s="77">
        <v>2431.1673584454475</v>
      </c>
      <c r="Q12" s="77">
        <v>2426.4519588352277</v>
      </c>
      <c r="R12" s="77">
        <v>2421.736559225007</v>
      </c>
      <c r="S12" s="77">
        <v>2417.021159614788</v>
      </c>
      <c r="T12" s="77">
        <v>2412.3057600045677</v>
      </c>
      <c r="U12" s="77">
        <v>2407.5903603943475</v>
      </c>
      <c r="V12" s="77">
        <v>2402.8749607841273</v>
      </c>
      <c r="W12" s="77">
        <v>2398.159561173907</v>
      </c>
      <c r="X12" s="77">
        <v>2393.4441615636874</v>
      </c>
      <c r="Y12" s="77">
        <v>2388.7287619534673</v>
      </c>
      <c r="Z12" s="77">
        <v>2384.0133623432475</v>
      </c>
      <c r="AA12" s="77">
        <v>2379.2979627330274</v>
      </c>
      <c r="AB12" s="77">
        <v>2374.582563122807</v>
      </c>
    </row>
    <row r="13" spans="1:1" s="5" customFormat="1" x14ac:dyDescent="0.25">
      <c r="A13" s="5" t="s">
        <v>196</v>
      </c>
    </row>
    <row r="14" spans="1:28" x14ac:dyDescent="0.25">
      <c r="A14" t="s">
        <v>308</v>
      </c>
      <c r="B14" t="s">
        <v>8</v>
      </c>
      <c r="C14" s="76">
        <v>8064.539523193778</v>
      </c>
      <c r="D14" s="76">
        <v>168.9719199976672</v>
      </c>
      <c r="E14" s="76">
        <v>177.42051599755055</v>
      </c>
      <c r="F14" s="76">
        <v>186.29154179742807</v>
      </c>
      <c r="G14" s="76">
        <v>195.6061188872995</v>
      </c>
      <c r="H14" s="76">
        <v>205.3864248316645</v>
      </c>
      <c r="I14" s="76">
        <v>215.65574607324774</v>
      </c>
      <c r="J14" s="76">
        <v>226.43853337691013</v>
      </c>
      <c r="K14" s="76">
        <v>237.76046004575565</v>
      </c>
      <c r="L14" s="76">
        <v>249.64848304804343</v>
      </c>
      <c r="M14" s="76">
        <v>262.1309072004456</v>
      </c>
      <c r="N14" s="76">
        <v>275.2374525604679</v>
      </c>
      <c r="O14" s="76">
        <v>288.9993251884913</v>
      </c>
      <c r="P14" s="76">
        <v>303.44929144791587</v>
      </c>
      <c r="Q14" s="76">
        <v>318.6217560203117</v>
      </c>
      <c r="R14" s="76">
        <v>334.5528438213273</v>
      </c>
      <c r="S14" s="76">
        <v>351.2804860123937</v>
      </c>
      <c r="T14" s="76">
        <v>368.84451031301336</v>
      </c>
      <c r="U14" s="76">
        <v>387.28673582866406</v>
      </c>
      <c r="V14" s="76">
        <v>406.65107262009724</v>
      </c>
      <c r="W14" s="76">
        <v>426.9836262511022</v>
      </c>
      <c r="X14" s="76">
        <v>448.33280756365724</v>
      </c>
      <c r="Y14" s="76">
        <v>470.7494479418402</v>
      </c>
      <c r="Z14" s="76">
        <v>494.2869203389322</v>
      </c>
      <c r="AA14" s="76">
        <v>519.0012663558788</v>
      </c>
      <c r="AB14" s="76">
        <v>544.9513296736727</v>
      </c>
    </row>
    <row r="15" spans="1:28" x14ac:dyDescent="0.25">
      <c r="A15" t="s">
        <v>126</v>
      </c>
      <c r="B15" t="s">
        <v>8</v>
      </c>
      <c r="C15" s="76">
        <v>1129.9802346732802</v>
      </c>
      <c r="D15" s="76">
        <v>45.199209386931194</v>
      </c>
      <c r="E15" s="76">
        <v>45.199209386931194</v>
      </c>
      <c r="F15" s="76">
        <v>45.199209386931194</v>
      </c>
      <c r="G15" s="76">
        <v>45.199209386931194</v>
      </c>
      <c r="H15" s="76">
        <v>45.199209386931194</v>
      </c>
      <c r="I15" s="76">
        <v>45.199209386931194</v>
      </c>
      <c r="J15" s="76">
        <v>45.199209386931194</v>
      </c>
      <c r="K15" s="76">
        <v>45.199209386931194</v>
      </c>
      <c r="L15" s="76">
        <v>45.199209386931194</v>
      </c>
      <c r="M15" s="76">
        <v>45.199209386931194</v>
      </c>
      <c r="N15" s="76">
        <v>45.199209386931194</v>
      </c>
      <c r="O15" s="76">
        <v>45.199209386931194</v>
      </c>
      <c r="P15" s="76">
        <v>45.199209386931194</v>
      </c>
      <c r="Q15" s="76">
        <v>45.199209386931194</v>
      </c>
      <c r="R15" s="76">
        <v>45.199209386931194</v>
      </c>
      <c r="S15" s="76">
        <v>45.199209386931194</v>
      </c>
      <c r="T15" s="76">
        <v>45.199209386931194</v>
      </c>
      <c r="U15" s="76">
        <v>45.199209386931194</v>
      </c>
      <c r="V15" s="76">
        <v>45.199209386931194</v>
      </c>
      <c r="W15" s="76">
        <v>45.199209386931194</v>
      </c>
      <c r="X15" s="76">
        <v>45.199209386931194</v>
      </c>
      <c r="Y15" s="76">
        <v>45.199209386931194</v>
      </c>
      <c r="Z15" s="76">
        <v>45.199209386931194</v>
      </c>
      <c r="AA15" s="76">
        <v>45.199209386931194</v>
      </c>
      <c r="AB15" s="76">
        <v>45.199209386931194</v>
      </c>
    </row>
    <row r="16" spans="1:28" x14ac:dyDescent="0.25">
      <c r="A16" t="s">
        <v>128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197</v>
      </c>
      <c r="B17" s="14" t="s">
        <v>8</v>
      </c>
      <c r="C17" s="77">
        <v>9194.519757867058</v>
      </c>
      <c r="D17" s="77">
        <v>214.17112938459837</v>
      </c>
      <c r="E17" s="77">
        <v>222.61972538448174</v>
      </c>
      <c r="F17" s="77">
        <v>231.49075118435925</v>
      </c>
      <c r="G17" s="77">
        <v>240.80532827423067</v>
      </c>
      <c r="H17" s="77">
        <v>250.5856342185957</v>
      </c>
      <c r="I17" s="77">
        <v>260.8549554601789</v>
      </c>
      <c r="J17" s="77">
        <v>271.63774276384135</v>
      </c>
      <c r="K17" s="77">
        <v>282.95966943268684</v>
      </c>
      <c r="L17" s="77">
        <v>294.84769243497465</v>
      </c>
      <c r="M17" s="77">
        <v>307.33011658737684</v>
      </c>
      <c r="N17" s="77">
        <v>320.4366619473991</v>
      </c>
      <c r="O17" s="77">
        <v>334.1985345754225</v>
      </c>
      <c r="P17" s="77">
        <v>348.6485008348471</v>
      </c>
      <c r="Q17" s="77">
        <v>363.8209654072429</v>
      </c>
      <c r="R17" s="77">
        <v>379.75205320825853</v>
      </c>
      <c r="S17" s="77">
        <v>396.4796953993249</v>
      </c>
      <c r="T17" s="77">
        <v>414.0437196999446</v>
      </c>
      <c r="U17" s="77">
        <v>432.4859452155953</v>
      </c>
      <c r="V17" s="77">
        <v>451.85028200702845</v>
      </c>
      <c r="W17" s="77">
        <v>472.1828356380334</v>
      </c>
      <c r="X17" s="77">
        <v>493.53201695058846</v>
      </c>
      <c r="Y17" s="77">
        <v>515.9486573287713</v>
      </c>
      <c r="Z17" s="77">
        <v>539.4861297258634</v>
      </c>
      <c r="AA17" s="77">
        <v>564.20047574281</v>
      </c>
      <c r="AB17" s="77">
        <v>590.1505390606039</v>
      </c>
    </row>
    <row r="18" spans="1:1" s="5" customFormat="1" x14ac:dyDescent="0.25">
      <c r="A18" s="5" t="s">
        <v>213</v>
      </c>
    </row>
    <row r="19" spans="1:28" s="14" customFormat="1" x14ac:dyDescent="0.25">
      <c r="A19" s="14" t="s">
        <v>198</v>
      </c>
      <c r="B19" s="14" t="s">
        <v>8</v>
      </c>
      <c r="C19" s="77">
        <v>51584.66420326914</v>
      </c>
      <c r="D19" s="77">
        <v>2273.58102438349</v>
      </c>
      <c r="E19" s="77">
        <v>2260.417028773386</v>
      </c>
      <c r="F19" s="77">
        <v>2246.830603363288</v>
      </c>
      <c r="G19" s="77">
        <v>2232.800626663197</v>
      </c>
      <c r="H19" s="77">
        <v>2218.304921108612</v>
      </c>
      <c r="I19" s="77">
        <v>2203.3202002568087</v>
      </c>
      <c r="J19" s="77">
        <v>2187.8220133429263</v>
      </c>
      <c r="K19" s="77">
        <v>2171.784687063861</v>
      </c>
      <c r="L19" s="77">
        <v>2155.181264451353</v>
      </c>
      <c r="M19" s="77">
        <v>2137.9834406887308</v>
      </c>
      <c r="N19" s="77">
        <v>2120.1614957184884</v>
      </c>
      <c r="O19" s="77">
        <v>2101.684223480245</v>
      </c>
      <c r="P19" s="77">
        <v>2082.5188576106</v>
      </c>
      <c r="Q19" s="77">
        <v>2062.630993427985</v>
      </c>
      <c r="R19" s="77">
        <v>2041.9845060167486</v>
      </c>
      <c r="S19" s="77">
        <v>2020.5414642154628</v>
      </c>
      <c r="T19" s="77">
        <v>1998.262040304623</v>
      </c>
      <c r="U19" s="77">
        <v>1975.1044151787523</v>
      </c>
      <c r="V19" s="77">
        <v>1951.0246787770989</v>
      </c>
      <c r="W19" s="77">
        <v>1925.9767255358738</v>
      </c>
      <c r="X19" s="77">
        <v>1899.912144613099</v>
      </c>
      <c r="Y19" s="77">
        <v>1872.780104624696</v>
      </c>
      <c r="Z19" s="77">
        <v>1844.527232617384</v>
      </c>
      <c r="AA19" s="77">
        <v>1815.0974869902175</v>
      </c>
      <c r="AB19" s="77">
        <v>1784.4320240622033</v>
      </c>
    </row>
    <row r="20" spans="1:28" x14ac:dyDescent="0.25">
      <c r="A20" t="s">
        <v>201</v>
      </c>
      <c r="B20" t="s">
        <v>8</v>
      </c>
      <c r="C20" s="76">
        <v>16673.847260695617</v>
      </c>
      <c r="D20" s="76">
        <v>569.510038275333</v>
      </c>
      <c r="E20" s="76">
        <v>573.7393721361183</v>
      </c>
      <c r="F20" s="76">
        <v>578.1525900778072</v>
      </c>
      <c r="G20" s="76">
        <v>582.7664088350274</v>
      </c>
      <c r="H20" s="76">
        <v>587.5999332473534</v>
      </c>
      <c r="I20" s="76">
        <v>592.6751338802957</v>
      </c>
      <c r="J20" s="76">
        <v>598.0174503360244</v>
      </c>
      <c r="K20" s="76">
        <v>603.6565621504047</v>
      </c>
      <c r="L20" s="76">
        <v>609.6273864244545</v>
      </c>
      <c r="M20" s="76">
        <v>615.9713872156323</v>
      </c>
      <c r="N20" s="76">
        <v>622.7383213928887</v>
      </c>
      <c r="O20" s="76">
        <v>629.9886080113776</v>
      </c>
      <c r="P20" s="76">
        <v>637.796608985135</v>
      </c>
      <c r="Q20" s="76">
        <v>646.2552767067053</v>
      </c>
      <c r="R20" s="76">
        <v>655.4829142211458</v>
      </c>
      <c r="S20" s="76">
        <v>665.6333154870304</v>
      </c>
      <c r="T20" s="76">
        <v>676.911539115791</v>
      </c>
      <c r="U20" s="76">
        <v>689.5995406981467</v>
      </c>
      <c r="V20" s="76">
        <v>704.1001139351246</v>
      </c>
      <c r="W20" s="76">
        <v>721.0174493782655</v>
      </c>
      <c r="X20" s="76">
        <v>741.3182519100346</v>
      </c>
      <c r="Y20" s="76">
        <v>766.6942550747459</v>
      </c>
      <c r="Z20" s="76">
        <v>800.5289259610278</v>
      </c>
      <c r="AA20" s="76">
        <v>851.2809322904504</v>
      </c>
      <c r="AB20" s="76">
        <v>952.7849449492958</v>
      </c>
    </row>
    <row r="21" spans="1:28" x14ac:dyDescent="0.25">
      <c r="A21" t="s">
        <v>206</v>
      </c>
      <c r="B21" t="s">
        <v>8</v>
      </c>
      <c r="C21" s="76">
        <v>7973.140535854668</v>
      </c>
      <c r="D21" s="76">
        <v>996.6425669818327</v>
      </c>
      <c r="E21" s="76">
        <v>930.1997291830439</v>
      </c>
      <c r="F21" s="76">
        <v>863.7568913842551</v>
      </c>
      <c r="G21" s="76">
        <v>797.3140535854662</v>
      </c>
      <c r="H21" s="76">
        <v>730.8712157866775</v>
      </c>
      <c r="I21" s="76">
        <v>664.4283779878887</v>
      </c>
      <c r="J21" s="76">
        <v>597.9855401890999</v>
      </c>
      <c r="K21" s="76">
        <v>531.5427023903111</v>
      </c>
      <c r="L21" s="76">
        <v>465.09986459152225</v>
      </c>
      <c r="M21" s="76">
        <v>398.65702679273346</v>
      </c>
      <c r="N21" s="76">
        <v>332.2141889939446</v>
      </c>
      <c r="O21" s="76">
        <v>265.7713511951558</v>
      </c>
      <c r="P21" s="76">
        <v>199.32851339636693</v>
      </c>
      <c r="Q21" s="76">
        <v>132.88567559757809</v>
      </c>
      <c r="R21" s="76">
        <v>66.44283779878926</v>
      </c>
      <c r="S21" s="76">
        <v>4.0927261579781767e-13</v>
      </c>
      <c r="T21" s="76">
        <v>4.0927261579781767e-13</v>
      </c>
      <c r="U21" s="76">
        <v>4.0927261579781767e-13</v>
      </c>
      <c r="V21" s="76">
        <v>4.0927261579781767e-13</v>
      </c>
      <c r="W21" s="76">
        <v>4.0927261579781767e-13</v>
      </c>
      <c r="X21" s="76">
        <v>4.0927261579781767e-13</v>
      </c>
      <c r="Y21" s="76">
        <v>4.0927261579781767e-13</v>
      </c>
      <c r="Z21" s="76">
        <v>4.0927261579781767e-13</v>
      </c>
      <c r="AA21" s="76">
        <v>4.0927261579781767e-13</v>
      </c>
      <c r="AB21" s="76">
        <v>4.0927261579781767e-13</v>
      </c>
    </row>
    <row r="22" spans="1:28" x14ac:dyDescent="0.25">
      <c r="A22" t="s">
        <v>216</v>
      </c>
      <c r="B22" t="s">
        <v>8</v>
      </c>
      <c r="C22" s="76">
        <v>26937.676406718838</v>
      </c>
      <c r="D22" s="76">
        <v>707.4284191263241</v>
      </c>
      <c r="E22" s="76">
        <v>756.4779274542238</v>
      </c>
      <c r="F22" s="76">
        <v>804.9211219012257</v>
      </c>
      <c r="G22" s="76">
        <v>852.7201642427032</v>
      </c>
      <c r="H22" s="76">
        <v>899.8337720745809</v>
      </c>
      <c r="I22" s="76">
        <v>946.2166883886244</v>
      </c>
      <c r="J22" s="76">
        <v>991.819022817802</v>
      </c>
      <c r="K22" s="76">
        <v>1036.585422523145</v>
      </c>
      <c r="L22" s="76">
        <v>1080.4540134353763</v>
      </c>
      <c r="M22" s="76">
        <v>1123.3550266803652</v>
      </c>
      <c r="N22" s="76">
        <v>1165.208985331655</v>
      </c>
      <c r="O22" s="76">
        <v>1205.9242642737115</v>
      </c>
      <c r="P22" s="76">
        <v>1245.3937352290982</v>
      </c>
      <c r="Q22" s="76">
        <v>1283.4900411237013</v>
      </c>
      <c r="R22" s="76">
        <v>1320.0587539968135</v>
      </c>
      <c r="S22" s="76">
        <v>1354.908148728432</v>
      </c>
      <c r="T22" s="76">
        <v>1321.3505011888315</v>
      </c>
      <c r="U22" s="76">
        <v>1285.5048744806052</v>
      </c>
      <c r="V22" s="76">
        <v>1246.9245648419737</v>
      </c>
      <c r="W22" s="76">
        <v>1204.9592761576077</v>
      </c>
      <c r="X22" s="76">
        <v>1158.5938927030638</v>
      </c>
      <c r="Y22" s="76">
        <v>1106.0858495499497</v>
      </c>
      <c r="Z22" s="76">
        <v>1043.998306656356</v>
      </c>
      <c r="AA22" s="76">
        <v>963.8165546997666</v>
      </c>
      <c r="AB22" s="76">
        <v>831.647079112907</v>
      </c>
    </row>
    <row r="23" spans="1:28" x14ac:dyDescent="0.25">
      <c r="A23" t="s">
        <v>163</v>
      </c>
      <c r="B23" t="s">
        <v>8</v>
      </c>
      <c r="C23" s="76">
        <v>18103.51931576806</v>
      </c>
      <c r="D23" s="76">
        <v>6327.8893141703675</v>
      </c>
      <c r="E23" s="76">
        <v>3837.335193565758</v>
      </c>
      <c r="F23" s="76">
        <v>2343.002721202993</v>
      </c>
      <c r="G23" s="76">
        <v>1446.403237785334</v>
      </c>
      <c r="H23" s="76">
        <v>908.4435477347387</v>
      </c>
      <c r="I23" s="76">
        <v>585.6677337043812</v>
      </c>
      <c r="J23" s="76">
        <v>392.00224528616695</v>
      </c>
      <c r="K23" s="76">
        <v>275.8029522352383</v>
      </c>
      <c r="L23" s="76">
        <v>206.0833764046812</v>
      </c>
      <c r="M23" s="76">
        <v>164.25163090634686</v>
      </c>
      <c r="N23" s="76">
        <v>139.15258360734626</v>
      </c>
      <c r="O23" s="76">
        <v>124.09315522794594</v>
      </c>
      <c r="P23" s="76">
        <v>115.05749820030572</v>
      </c>
      <c r="Q23" s="76">
        <v>109.6361039837216</v>
      </c>
      <c r="R23" s="76">
        <v>106.38326745377113</v>
      </c>
      <c r="S23" s="76">
        <v>104.43156553580084</v>
      </c>
      <c r="T23" s="76">
        <v>103.26054438501868</v>
      </c>
      <c r="U23" s="76">
        <v>102.55793169454938</v>
      </c>
      <c r="V23" s="76">
        <v>102.13636408026778</v>
      </c>
      <c r="W23" s="76">
        <v>101.88342351169884</v>
      </c>
      <c r="X23" s="76">
        <v>101.73165917055746</v>
      </c>
      <c r="Y23" s="76">
        <v>101.64060056587265</v>
      </c>
      <c r="Z23" s="76">
        <v>101.58596540306173</v>
      </c>
      <c r="AA23" s="76">
        <v>101.55318430537521</v>
      </c>
      <c r="AB23" s="76">
        <v>101.53351564676328</v>
      </c>
    </row>
    <row r="24" spans="1:28" x14ac:dyDescent="0.25">
      <c r="A24" t="s">
        <v>222</v>
      </c>
      <c r="B24" t="s">
        <v>8</v>
      </c>
      <c r="C24" s="76">
        <v>6420.364695309398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68.82500187528788</v>
      </c>
      <c r="O24" s="76">
        <v>430.8650227832828</v>
      </c>
      <c r="P24" s="76">
        <v>445.0390373417056</v>
      </c>
      <c r="Q24" s="76">
        <v>458.12148912521064</v>
      </c>
      <c r="R24" s="76">
        <v>470.46716947234614</v>
      </c>
      <c r="S24" s="76">
        <v>482.28486149767076</v>
      </c>
      <c r="T24" s="76">
        <v>476.9718765229643</v>
      </c>
      <c r="U24" s="76">
        <v>471.31994989297374</v>
      </c>
      <c r="V24" s="76">
        <v>465.3651888091922</v>
      </c>
      <c r="W24" s="76">
        <v>459.1242841194847</v>
      </c>
      <c r="X24" s="76">
        <v>452.6020281858875</v>
      </c>
      <c r="Y24" s="76">
        <v>445.7958131716057</v>
      </c>
      <c r="Z24" s="76">
        <v>438.6983169578448</v>
      </c>
      <c r="AA24" s="76">
        <v>431.29910098577466</v>
      </c>
      <c r="AB24" s="76">
        <v>423.58555456816606</v>
      </c>
    </row>
    <row r="25" spans="1:28" s="14" customFormat="1" x14ac:dyDescent="0.25">
      <c r="A25" s="14" t="s">
        <v>223</v>
      </c>
      <c r="B25" s="14" t="s">
        <v>8</v>
      </c>
      <c r="C25" s="77">
        <v>20517.311711409442</v>
      </c>
      <c r="D25" s="77">
        <v>707.4284191263241</v>
      </c>
      <c r="E25" s="77">
        <v>756.4779274542238</v>
      </c>
      <c r="F25" s="77">
        <v>804.9211219012257</v>
      </c>
      <c r="G25" s="77">
        <v>852.7201642427032</v>
      </c>
      <c r="H25" s="77">
        <v>899.8337720745809</v>
      </c>
      <c r="I25" s="77">
        <v>946.2166883886244</v>
      </c>
      <c r="J25" s="77">
        <v>991.819022817802</v>
      </c>
      <c r="K25" s="77">
        <v>1036.585422523145</v>
      </c>
      <c r="L25" s="77">
        <v>1080.4540134353763</v>
      </c>
      <c r="M25" s="77">
        <v>1123.3550266803652</v>
      </c>
      <c r="N25" s="77">
        <v>1096.383983456367</v>
      </c>
      <c r="O25" s="77">
        <v>775.0592414904287</v>
      </c>
      <c r="P25" s="77">
        <v>800.3546978873926</v>
      </c>
      <c r="Q25" s="77">
        <v>825.3685519984906</v>
      </c>
      <c r="R25" s="77">
        <v>849.5915845244674</v>
      </c>
      <c r="S25" s="77">
        <v>872.6232872307612</v>
      </c>
      <c r="T25" s="77">
        <v>844.3786246658672</v>
      </c>
      <c r="U25" s="77">
        <v>814.1849245876315</v>
      </c>
      <c r="V25" s="77">
        <v>781.5593760327815</v>
      </c>
      <c r="W25" s="77">
        <v>745.8349920381231</v>
      </c>
      <c r="X25" s="77">
        <v>705.9918645171763</v>
      </c>
      <c r="Y25" s="77">
        <v>660.290036378344</v>
      </c>
      <c r="Z25" s="77">
        <v>605.2999896985111</v>
      </c>
      <c r="AA25" s="77">
        <v>532.5174537139919</v>
      </c>
      <c r="AB25" s="77">
        <v>408.06152454474096</v>
      </c>
    </row>
    <row r="26" spans="1:1" s="5" customFormat="1" x14ac:dyDescent="0.25">
      <c r="A26" s="5" t="s">
        <v>224</v>
      </c>
    </row>
    <row r="27" spans="1:28" x14ac:dyDescent="0.25">
      <c r="A27" t="s">
        <v>225</v>
      </c>
      <c r="B27" t="s">
        <v>86</v>
      </c>
      <c r="D27" s="76">
        <v>306.709169642641</v>
      </c>
      <c r="E27" s="76">
        <v>306.1278190057645</v>
      </c>
      <c r="F27" s="76">
        <v>305.54646836888804</v>
      </c>
      <c r="G27" s="76">
        <v>304.9651177320116</v>
      </c>
      <c r="H27" s="76">
        <v>304.38376709513517</v>
      </c>
      <c r="I27" s="76">
        <v>303.80241645825873</v>
      </c>
      <c r="J27" s="76">
        <v>303.2210658213823</v>
      </c>
      <c r="K27" s="76">
        <v>302.6397151845059</v>
      </c>
      <c r="L27" s="76">
        <v>302.0583645476294</v>
      </c>
      <c r="M27" s="76">
        <v>301.477013910753</v>
      </c>
      <c r="N27" s="76">
        <v>300.8956632738765</v>
      </c>
      <c r="O27" s="76">
        <v>300.31431263700006</v>
      </c>
      <c r="P27" s="76">
        <v>299.7329620001236</v>
      </c>
      <c r="Q27" s="76">
        <v>299.15161136324724</v>
      </c>
      <c r="R27" s="76">
        <v>298.57026072637075</v>
      </c>
      <c r="S27" s="76">
        <v>297.98891008949437</v>
      </c>
      <c r="T27" s="76">
        <v>297.40755945261793</v>
      </c>
      <c r="U27" s="76">
        <v>296.8262088157415</v>
      </c>
      <c r="V27" s="76">
        <v>296.244858178865</v>
      </c>
      <c r="W27" s="76">
        <v>295.66350754198857</v>
      </c>
      <c r="X27" s="76">
        <v>295.08215690511213</v>
      </c>
      <c r="Y27" s="76">
        <v>294.5008062682357</v>
      </c>
      <c r="Z27" s="76">
        <v>293.91945563135926</v>
      </c>
      <c r="AA27" s="76">
        <v>293.3381049944828</v>
      </c>
      <c r="AB27" s="76">
        <v>292.7567543576064</v>
      </c>
    </row>
    <row r="28" spans="1:28" x14ac:dyDescent="0.25">
      <c r="A28" t="s">
        <v>355</v>
      </c>
      <c r="B28" t="s">
        <v>8</v>
      </c>
      <c r="C28" s="76">
        <v>292.7567543576064</v>
      </c>
      <c r="D28" s="76">
        <v>306.709169642641</v>
      </c>
      <c r="E28" s="76">
        <v>-0.5813506368764934</v>
      </c>
      <c r="F28" s="76">
        <v>-0.5813506368764365</v>
      </c>
      <c r="G28" s="76">
        <v>-0.5813506368764365</v>
      </c>
      <c r="H28" s="76">
        <v>-0.5813506368764365</v>
      </c>
      <c r="I28" s="76">
        <v>-0.5813506368764365</v>
      </c>
      <c r="J28" s="76">
        <v>-0.5813506368764365</v>
      </c>
      <c r="K28" s="76">
        <v>-0.5813506368763797</v>
      </c>
      <c r="L28" s="76">
        <v>-0.5813506368764934</v>
      </c>
      <c r="M28" s="76">
        <v>-0.5813506368764365</v>
      </c>
      <c r="N28" s="76">
        <v>-0.5813506368764934</v>
      </c>
      <c r="O28" s="76">
        <v>-0.5813506368764365</v>
      </c>
      <c r="P28" s="76">
        <v>-0.5813506368764365</v>
      </c>
      <c r="Q28" s="76">
        <v>-0.5813506368763797</v>
      </c>
      <c r="R28" s="76">
        <v>-0.5813506368764934</v>
      </c>
      <c r="S28" s="76">
        <v>-0.5813506368763797</v>
      </c>
      <c r="T28" s="76">
        <v>-0.5813506368764365</v>
      </c>
      <c r="U28" s="76">
        <v>-0.5813506368764365</v>
      </c>
      <c r="V28" s="76">
        <v>-0.5813506368764934</v>
      </c>
      <c r="W28" s="76">
        <v>-0.5813506368764365</v>
      </c>
      <c r="X28" s="76">
        <v>-0.5813506368764365</v>
      </c>
      <c r="Y28" s="76">
        <v>-0.5813506368764365</v>
      </c>
      <c r="Z28" s="76">
        <v>-0.5813506368764365</v>
      </c>
      <c r="AA28" s="76">
        <v>-0.5813506368764365</v>
      </c>
      <c r="AB28" s="76">
        <v>-0.5813506368764365</v>
      </c>
    </row>
    <row r="29" spans="1:28" x14ac:dyDescent="0.25">
      <c r="A29" t="s">
        <v>143</v>
      </c>
      <c r="B29" t="s">
        <v>8</v>
      </c>
      <c r="C29" s="76">
        <v>2436.09630381229</v>
      </c>
      <c r="D29" s="76">
        <v>0</v>
      </c>
      <c r="E29" s="76">
        <v>101.50401265884541</v>
      </c>
      <c r="F29" s="76">
        <v>101.50401265884541</v>
      </c>
      <c r="G29" s="76">
        <v>101.50401265884541</v>
      </c>
      <c r="H29" s="76">
        <v>101.50401265884541</v>
      </c>
      <c r="I29" s="76">
        <v>101.50401265884541</v>
      </c>
      <c r="J29" s="76">
        <v>101.50401265884541</v>
      </c>
      <c r="K29" s="76">
        <v>101.50401265884541</v>
      </c>
      <c r="L29" s="76">
        <v>101.50401265884541</v>
      </c>
      <c r="M29" s="76">
        <v>101.50401265884541</v>
      </c>
      <c r="N29" s="76">
        <v>101.50401265884541</v>
      </c>
      <c r="O29" s="76">
        <v>101.50401265884541</v>
      </c>
      <c r="P29" s="76">
        <v>101.50401265884541</v>
      </c>
      <c r="Q29" s="76">
        <v>101.50401265884541</v>
      </c>
      <c r="R29" s="76">
        <v>101.50401265884541</v>
      </c>
      <c r="S29" s="76">
        <v>101.50401265884541</v>
      </c>
      <c r="T29" s="76">
        <v>101.50401265884541</v>
      </c>
      <c r="U29" s="76">
        <v>101.50401265884541</v>
      </c>
      <c r="V29" s="76">
        <v>101.50401265884541</v>
      </c>
      <c r="W29" s="76">
        <v>101.50401265884541</v>
      </c>
      <c r="X29" s="76">
        <v>101.50401265884541</v>
      </c>
      <c r="Y29" s="76">
        <v>101.50401265884541</v>
      </c>
      <c r="Z29" s="76">
        <v>101.50401265884541</v>
      </c>
      <c r="AA29" s="76">
        <v>101.50401265884541</v>
      </c>
      <c r="AB29" s="76">
        <v>101.50401265884541</v>
      </c>
    </row>
    <row r="30" spans="1:28" s="14" customFormat="1" x14ac:dyDescent="0.25">
      <c r="A30" s="14" t="s">
        <v>356</v>
      </c>
      <c r="B30" s="14" t="s">
        <v>8</v>
      </c>
      <c r="C30" s="77">
        <v>42435.446449789844</v>
      </c>
      <c r="D30" s="77">
        <v>1966.871854740849</v>
      </c>
      <c r="E30" s="77">
        <v>2159.4943667514167</v>
      </c>
      <c r="F30" s="77">
        <v>2145.9079413413187</v>
      </c>
      <c r="G30" s="77">
        <v>2131.8779646412277</v>
      </c>
      <c r="H30" s="77">
        <v>2117.3822590866425</v>
      </c>
      <c r="I30" s="77">
        <v>2102.3975382348394</v>
      </c>
      <c r="J30" s="77">
        <v>2086.899351320957</v>
      </c>
      <c r="K30" s="77">
        <v>2070.8620250418917</v>
      </c>
      <c r="L30" s="77">
        <v>2054.2586024293837</v>
      </c>
      <c r="M30" s="77">
        <v>2037.0607786667617</v>
      </c>
      <c r="N30" s="77">
        <v>1950.4138318212315</v>
      </c>
      <c r="O30" s="77">
        <v>1569.896538674993</v>
      </c>
      <c r="P30" s="77">
        <v>1536.5571582469258</v>
      </c>
      <c r="Q30" s="77">
        <v>1503.586842280805</v>
      </c>
      <c r="R30" s="77">
        <v>1470.5946745224337</v>
      </c>
      <c r="S30" s="77">
        <v>1437.333940695823</v>
      </c>
      <c r="T30" s="77">
        <v>1420.36750175969</v>
      </c>
      <c r="U30" s="77">
        <v>1402.8618032638099</v>
      </c>
      <c r="V30" s="77">
        <v>1384.7368279459379</v>
      </c>
      <c r="W30" s="77">
        <v>1365.9297793944204</v>
      </c>
      <c r="X30" s="77">
        <v>1346.3874544052426</v>
      </c>
      <c r="Y30" s="77">
        <v>1326.0616294311214</v>
      </c>
      <c r="Z30" s="77">
        <v>1304.9062536375702</v>
      </c>
      <c r="AA30" s="77">
        <v>1282.8757239824738</v>
      </c>
      <c r="AB30" s="77">
        <v>1259.9238074720681</v>
      </c>
    </row>
    <row r="31" spans="1:28" x14ac:dyDescent="0.25">
      <c r="A31" t="s">
        <v>209</v>
      </c>
      <c r="B31" t="s">
        <v>8</v>
      </c>
      <c r="C31" s="76">
        <v>19046.94683565281</v>
      </c>
      <c r="D31" s="76">
        <v>1734.8963203017088</v>
      </c>
      <c r="E31" s="76">
        <v>1668.45348250292</v>
      </c>
      <c r="F31" s="76">
        <v>1602.0106447041312</v>
      </c>
      <c r="G31" s="76">
        <v>1535.5678069053424</v>
      </c>
      <c r="H31" s="76">
        <v>1469.1249691065536</v>
      </c>
      <c r="I31" s="76">
        <v>1402.6821313077648</v>
      </c>
      <c r="J31" s="76">
        <v>1336.239293508976</v>
      </c>
      <c r="K31" s="76">
        <v>1269.7964557101873</v>
      </c>
      <c r="L31" s="76">
        <v>1203.3536179113983</v>
      </c>
      <c r="M31" s="76">
        <v>1136.9107801126095</v>
      </c>
      <c r="N31" s="76">
        <v>1070.4679423138207</v>
      </c>
      <c r="O31" s="76">
        <v>1004.0251045150319</v>
      </c>
      <c r="P31" s="76">
        <v>937.582266716243</v>
      </c>
      <c r="Q31" s="76">
        <v>871.1394289174541</v>
      </c>
      <c r="R31" s="76">
        <v>804.6965911186653</v>
      </c>
      <c r="S31" s="76">
        <v>4.0927261579781767e-13</v>
      </c>
      <c r="T31" s="76">
        <v>4.0927261579781767e-13</v>
      </c>
      <c r="U31" s="76">
        <v>4.0927261579781767e-13</v>
      </c>
      <c r="V31" s="76">
        <v>4.0927261579781767e-13</v>
      </c>
      <c r="W31" s="76">
        <v>4.0927261579781767e-13</v>
      </c>
      <c r="X31" s="76">
        <v>4.0927261579781767e-13</v>
      </c>
      <c r="Y31" s="76">
        <v>4.0927261579781767e-13</v>
      </c>
      <c r="Z31" s="76">
        <v>4.0927261579781767e-13</v>
      </c>
      <c r="AA31" s="76">
        <v>4.0927261579781767e-13</v>
      </c>
      <c r="AB31" s="76">
        <v>4.0927261579781767e-13</v>
      </c>
    </row>
    <row r="32" spans="1:28" s="14" customFormat="1" x14ac:dyDescent="0.25">
      <c r="A32" s="14" t="s">
        <v>357</v>
      </c>
      <c r="B32" s="14" t="s">
        <v>8</v>
      </c>
      <c r="C32" s="77">
        <v>25263.228697037215</v>
      </c>
      <c r="D32" s="77">
        <v>231.97553443914012</v>
      </c>
      <c r="E32" s="77">
        <v>491.0408842484967</v>
      </c>
      <c r="F32" s="77">
        <v>543.8972966371875</v>
      </c>
      <c r="G32" s="77">
        <v>596.3101577358852</v>
      </c>
      <c r="H32" s="77">
        <v>648.2572899800889</v>
      </c>
      <c r="I32" s="77">
        <v>699.7154069270746</v>
      </c>
      <c r="J32" s="77">
        <v>750.660057811981</v>
      </c>
      <c r="K32" s="77">
        <v>801.0655693317044</v>
      </c>
      <c r="L32" s="77">
        <v>850.9049845179854</v>
      </c>
      <c r="M32" s="77">
        <v>900.1499985541523</v>
      </c>
      <c r="N32" s="77">
        <v>879.9458895074108</v>
      </c>
      <c r="O32" s="77">
        <v>565.8714341599612</v>
      </c>
      <c r="P32" s="77">
        <v>598.9748915306828</v>
      </c>
      <c r="Q32" s="77">
        <v>632.447413363351</v>
      </c>
      <c r="R32" s="77">
        <v>665.8980834037684</v>
      </c>
      <c r="S32" s="77">
        <v>1437.3339406958225</v>
      </c>
      <c r="T32" s="77">
        <v>1420.3675017596895</v>
      </c>
      <c r="U32" s="77">
        <v>1402.8618032638094</v>
      </c>
      <c r="V32" s="77">
        <v>1384.7368279459374</v>
      </c>
      <c r="W32" s="77">
        <v>1365.92977939442</v>
      </c>
      <c r="X32" s="77">
        <v>1346.3874544052421</v>
      </c>
      <c r="Y32" s="77">
        <v>1326.061629431121</v>
      </c>
      <c r="Z32" s="77">
        <v>1304.9062536375698</v>
      </c>
      <c r="AA32" s="77">
        <v>1282.8757239824733</v>
      </c>
      <c r="AB32" s="77">
        <v>3134.652890372261</v>
      </c>
    </row>
    <row r="33" spans="1:28" x14ac:dyDescent="0.25">
      <c r="A33" t="s">
        <v>233</v>
      </c>
      <c r="B33" t="s">
        <v>86</v>
      </c>
      <c r="D33" s="76">
        <v>-4513.941451188637</v>
      </c>
      <c r="E33" s="76">
        <v>-4022.9005669401404</v>
      </c>
      <c r="F33" s="76">
        <v>-3479.003270302953</v>
      </c>
      <c r="G33" s="76">
        <v>-2882.6931125670676</v>
      </c>
      <c r="H33" s="76">
        <v>-2234.4358225869787</v>
      </c>
      <c r="I33" s="76">
        <v>-1534.7204156599041</v>
      </c>
      <c r="J33" s="76">
        <v>-784.0603578479231</v>
      </c>
      <c r="K33" s="76">
        <v>17.005211483781295</v>
      </c>
      <c r="L33" s="76">
        <v>867.9101960017667</v>
      </c>
      <c r="M33" s="76">
        <v>1768.060194555919</v>
      </c>
      <c r="N33" s="76">
        <v>2648.0060840633296</v>
      </c>
      <c r="O33" s="76">
        <v>3213.8775182232907</v>
      </c>
      <c r="P33" s="76">
        <v>3812.8524097539735</v>
      </c>
      <c r="Q33" s="76">
        <v>4445.299823117324</v>
      </c>
      <c r="R33" s="76">
        <v>5111.197906521093</v>
      </c>
      <c r="S33" s="76">
        <v>6548.531847216915</v>
      </c>
      <c r="T33" s="76">
        <v>7968.899348976604</v>
      </c>
      <c r="U33" s="76">
        <v>9371.761152240413</v>
      </c>
      <c r="V33" s="76">
        <v>10756.49798018635</v>
      </c>
      <c r="W33" s="76">
        <v>12122.42775958077</v>
      </c>
      <c r="X33" s="76">
        <v>13468.815213986012</v>
      </c>
      <c r="Y33" s="76">
        <v>14794.876843417132</v>
      </c>
      <c r="Z33" s="76">
        <v>16099.783097054702</v>
      </c>
      <c r="AA33" s="76">
        <v>17382.658821037174</v>
      </c>
      <c r="AB33" s="76">
        <v>20517.311711409435</v>
      </c>
    </row>
    <row r="34" spans="1:28" x14ac:dyDescent="0.25">
      <c r="A34" t="s">
        <v>358</v>
      </c>
      <c r="B34" t="s">
        <v>8</v>
      </c>
      <c r="C34" s="76">
        <v>40861.74983913756</v>
      </c>
      <c r="D34" s="76">
        <v>1966.871854740849</v>
      </c>
      <c r="E34" s="76">
        <v>2159.4943667514167</v>
      </c>
      <c r="F34" s="76">
        <v>2145.9079413413187</v>
      </c>
      <c r="G34" s="76">
        <v>1933.9417418606702</v>
      </c>
      <c r="H34" s="76">
        <v>1787.690151408439</v>
      </c>
      <c r="I34" s="76">
        <v>1695.2344124035938</v>
      </c>
      <c r="J34" s="76">
        <v>1634.8915157010713</v>
      </c>
      <c r="K34" s="76">
        <v>1593.6434223855276</v>
      </c>
      <c r="L34" s="76">
        <v>1563.670664008037</v>
      </c>
      <c r="M34" s="76">
        <v>1540.272482144536</v>
      </c>
      <c r="N34" s="76">
        <v>1520.6188905181452</v>
      </c>
      <c r="O34" s="76">
        <v>1503.0018895791725</v>
      </c>
      <c r="P34" s="76">
        <v>1486.38617142506</v>
      </c>
      <c r="Q34" s="76">
        <v>1470.1395177328948</v>
      </c>
      <c r="R34" s="76">
        <v>1453.8710122484783</v>
      </c>
      <c r="S34" s="76">
        <v>1437.333940695823</v>
      </c>
      <c r="T34" s="76">
        <v>1420.3675017596895</v>
      </c>
      <c r="U34" s="76">
        <v>1402.8618032638094</v>
      </c>
      <c r="V34" s="76">
        <v>1384.7368279459379</v>
      </c>
      <c r="W34" s="76">
        <v>1365.92977939442</v>
      </c>
      <c r="X34" s="76">
        <v>1346.3874544052426</v>
      </c>
      <c r="Y34" s="76">
        <v>1326.061629431121</v>
      </c>
      <c r="Z34" s="76">
        <v>1304.9062536375702</v>
      </c>
      <c r="AA34" s="76">
        <v>1282.8757239824738</v>
      </c>
      <c r="AB34" s="76">
        <v>3134.6528903722665</v>
      </c>
    </row>
    <row r="35" spans="1:1" s="5" customFormat="1" x14ac:dyDescent="0.25">
      <c r="A35" s="5" t="s">
        <v>94</v>
      </c>
    </row>
    <row r="36" spans="1:28" x14ac:dyDescent="0.25">
      <c r="A36" t="s">
        <v>205</v>
      </c>
      <c r="B36" t="s">
        <v>86</v>
      </c>
      <c r="D36" s="76">
        <v>11073.806299798141</v>
      </c>
      <c r="E36" s="76">
        <v>10335.552546478266</v>
      </c>
      <c r="F36" s="76">
        <v>9597.29879315839</v>
      </c>
      <c r="G36" s="76">
        <v>8859.045039838515</v>
      </c>
      <c r="H36" s="76">
        <v>8120.791286518639</v>
      </c>
      <c r="I36" s="76">
        <v>7382.537533198763</v>
      </c>
      <c r="J36" s="76">
        <v>6644.283779878888</v>
      </c>
      <c r="K36" s="76">
        <v>5906.030026559012</v>
      </c>
      <c r="L36" s="76">
        <v>5167.776273239137</v>
      </c>
      <c r="M36" s="76">
        <v>4429.522519919261</v>
      </c>
      <c r="N36" s="76">
        <v>3691.268766599385</v>
      </c>
      <c r="O36" s="76">
        <v>2953.015013279509</v>
      </c>
      <c r="P36" s="76">
        <v>2214.7612599596328</v>
      </c>
      <c r="Q36" s="76">
        <v>1476.5075066397567</v>
      </c>
      <c r="R36" s="76">
        <v>738.2537533198806</v>
      </c>
      <c r="S36" s="76">
        <v>4.547473508864641e-12</v>
      </c>
      <c r="T36" s="76">
        <v>4.547473508864641e-12</v>
      </c>
      <c r="U36" s="76">
        <v>4.547473508864641e-12</v>
      </c>
      <c r="V36" s="76">
        <v>4.547473508864641e-12</v>
      </c>
      <c r="W36" s="76">
        <v>4.547473508864641e-12</v>
      </c>
      <c r="X36" s="76">
        <v>4.547473508864641e-12</v>
      </c>
      <c r="Y36" s="76">
        <v>4.547473508864641e-12</v>
      </c>
      <c r="Z36" s="76">
        <v>4.547473508864641e-12</v>
      </c>
      <c r="AA36" s="76">
        <v>4.547473508864641e-12</v>
      </c>
      <c r="AB36" s="76">
        <v>4.547473508864641e-12</v>
      </c>
    </row>
    <row r="37" spans="1:28" x14ac:dyDescent="0.25">
      <c r="A37" t="s">
        <v>206</v>
      </c>
      <c r="B37" t="s">
        <v>8</v>
      </c>
      <c r="C37" s="76">
        <v>7973.140535854668</v>
      </c>
      <c r="D37" s="76">
        <v>996.6425669818327</v>
      </c>
      <c r="E37" s="76">
        <v>930.1997291830439</v>
      </c>
      <c r="F37" s="76">
        <v>863.7568913842551</v>
      </c>
      <c r="G37" s="76">
        <v>797.3140535854662</v>
      </c>
      <c r="H37" s="76">
        <v>730.8712157866775</v>
      </c>
      <c r="I37" s="76">
        <v>664.4283779878887</v>
      </c>
      <c r="J37" s="76">
        <v>597.9855401890999</v>
      </c>
      <c r="K37" s="76">
        <v>531.5427023903111</v>
      </c>
      <c r="L37" s="76">
        <v>465.09986459152225</v>
      </c>
      <c r="M37" s="76">
        <v>398.65702679273346</v>
      </c>
      <c r="N37" s="76">
        <v>332.2141889939446</v>
      </c>
      <c r="O37" s="76">
        <v>265.7713511951558</v>
      </c>
      <c r="P37" s="76">
        <v>199.32851339636693</v>
      </c>
      <c r="Q37" s="76">
        <v>132.88567559757809</v>
      </c>
      <c r="R37" s="76">
        <v>66.44283779878926</v>
      </c>
      <c r="S37" s="76">
        <v>4.0927261579781767e-13</v>
      </c>
      <c r="T37" s="76">
        <v>4.0927261579781767e-13</v>
      </c>
      <c r="U37" s="76">
        <v>4.0927261579781767e-13</v>
      </c>
      <c r="V37" s="76">
        <v>4.0927261579781767e-13</v>
      </c>
      <c r="W37" s="76">
        <v>4.0927261579781767e-13</v>
      </c>
      <c r="X37" s="76">
        <v>4.0927261579781767e-13</v>
      </c>
      <c r="Y37" s="76">
        <v>4.0927261579781767e-13</v>
      </c>
      <c r="Z37" s="76">
        <v>4.0927261579781767e-13</v>
      </c>
      <c r="AA37" s="76">
        <v>4.0927261579781767e-13</v>
      </c>
      <c r="AB37" s="76">
        <v>4.0927261579781767e-13</v>
      </c>
    </row>
    <row r="38" spans="1:28" x14ac:dyDescent="0.25">
      <c r="A38" t="s">
        <v>207</v>
      </c>
      <c r="B38" t="s">
        <v>8</v>
      </c>
      <c r="C38" s="76">
        <v>11073.806299798138</v>
      </c>
      <c r="D38" s="76">
        <v>738.2537533198761</v>
      </c>
      <c r="E38" s="76">
        <v>738.2537533198761</v>
      </c>
      <c r="F38" s="76">
        <v>738.2537533198761</v>
      </c>
      <c r="G38" s="76">
        <v>738.2537533198761</v>
      </c>
      <c r="H38" s="76">
        <v>738.2537533198761</v>
      </c>
      <c r="I38" s="76">
        <v>738.2537533198761</v>
      </c>
      <c r="J38" s="76">
        <v>738.2537533198761</v>
      </c>
      <c r="K38" s="76">
        <v>738.2537533198761</v>
      </c>
      <c r="L38" s="76">
        <v>738.2537533198761</v>
      </c>
      <c r="M38" s="76">
        <v>738.2537533198761</v>
      </c>
      <c r="N38" s="76">
        <v>738.2537533198761</v>
      </c>
      <c r="O38" s="76">
        <v>738.2537533198761</v>
      </c>
      <c r="P38" s="76">
        <v>738.2537533198761</v>
      </c>
      <c r="Q38" s="76">
        <v>738.2537533198761</v>
      </c>
      <c r="R38" s="76">
        <v>738.2537533198761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  <c r="Z38" s="76">
        <v>0</v>
      </c>
      <c r="AA38" s="76">
        <v>0</v>
      </c>
      <c r="AB38" s="76">
        <v>0</v>
      </c>
    </row>
    <row r="39" spans="1:28" x14ac:dyDescent="0.25">
      <c r="A39" t="s">
        <v>208</v>
      </c>
      <c r="B39" t="s">
        <v>86</v>
      </c>
      <c r="D39" s="76">
        <v>10335.552546478266</v>
      </c>
      <c r="E39" s="76">
        <v>9597.29879315839</v>
      </c>
      <c r="F39" s="76">
        <v>8859.045039838515</v>
      </c>
      <c r="G39" s="76">
        <v>8120.791286518639</v>
      </c>
      <c r="H39" s="76">
        <v>7382.537533198763</v>
      </c>
      <c r="I39" s="76">
        <v>6644.283779878888</v>
      </c>
      <c r="J39" s="76">
        <v>5906.030026559012</v>
      </c>
      <c r="K39" s="76">
        <v>5167.776273239137</v>
      </c>
      <c r="L39" s="76">
        <v>4429.522519919261</v>
      </c>
      <c r="M39" s="76">
        <v>3691.268766599385</v>
      </c>
      <c r="N39" s="76">
        <v>2953.015013279509</v>
      </c>
      <c r="O39" s="76">
        <v>2214.7612599596328</v>
      </c>
      <c r="P39" s="76">
        <v>1476.5075066397567</v>
      </c>
      <c r="Q39" s="76">
        <v>738.2537533198806</v>
      </c>
      <c r="R39" s="76">
        <v>4.547473508864641e-12</v>
      </c>
      <c r="S39" s="76">
        <v>4.547473508864641e-12</v>
      </c>
      <c r="T39" s="76">
        <v>4.547473508864641e-12</v>
      </c>
      <c r="U39" s="76">
        <v>4.547473508864641e-12</v>
      </c>
      <c r="V39" s="76">
        <v>4.547473508864641e-12</v>
      </c>
      <c r="W39" s="76">
        <v>4.547473508864641e-12</v>
      </c>
      <c r="X39" s="76">
        <v>4.547473508864641e-12</v>
      </c>
      <c r="Y39" s="76">
        <v>4.547473508864641e-12</v>
      </c>
      <c r="Z39" s="76">
        <v>4.547473508864641e-12</v>
      </c>
      <c r="AA39" s="76">
        <v>4.547473508864641e-12</v>
      </c>
      <c r="AB39" s="76">
        <v>4.547473508864641e-12</v>
      </c>
    </row>
    <row r="40" spans="1:28" x14ac:dyDescent="0.25">
      <c r="A40" t="s">
        <v>229</v>
      </c>
      <c r="B40" t="s">
        <v>88</v>
      </c>
      <c r="D40" s="78">
        <v>1.1337114683595606</v>
      </c>
      <c r="E40" s="78">
        <v>1.294309004954615</v>
      </c>
      <c r="F40" s="78">
        <v>1.3395091652075992</v>
      </c>
      <c r="G40" s="78">
        <v>1.3883320261432415</v>
      </c>
      <c r="H40" s="78">
        <v>1.4412540142002526</v>
      </c>
      <c r="I40" s="78">
        <v>1.4988410355485942</v>
      </c>
      <c r="J40" s="78">
        <v>1.5617706809389964</v>
      </c>
      <c r="K40" s="78">
        <v>1.6308613996592665</v>
      </c>
      <c r="L40" s="78">
        <v>1.7071113360633423</v>
      </c>
      <c r="M40" s="78">
        <v>1.7917507814157534</v>
      </c>
      <c r="N40" s="78">
        <v>1.822019842654423</v>
      </c>
      <c r="O40" s="78">
        <v>1.5636028736883931</v>
      </c>
      <c r="P40" s="78">
        <v>1.638850491091851</v>
      </c>
      <c r="Q40" s="78">
        <v>1.7260002157740462</v>
      </c>
      <c r="R40" s="78">
        <v>1.8275144827916527</v>
      </c>
    </row>
    <row r="42" spans="1:1" s="5" customFormat="1" x14ac:dyDescent="0.25">
      <c r="A42" s="5" t="s">
        <v>359</v>
      </c>
    </row>
    <row r="43" spans="1:28" s="67" customFormat="1" x14ac:dyDescent="0.25">
      <c r="A43" s="67" t="s">
        <v>224</v>
      </c>
      <c r="B43" s="67" t="s">
        <v>74</v>
      </c>
      <c r="C43" s="67" t="s">
        <v>76</v>
      </c>
      <c r="D43" s="67" t="s">
        <v>328</v>
      </c>
      <c r="E43" s="67" t="s">
        <v>329</v>
      </c>
      <c r="F43" s="67" t="s">
        <v>330</v>
      </c>
      <c r="G43" s="67" t="s">
        <v>331</v>
      </c>
      <c r="H43" s="67" t="s">
        <v>332</v>
      </c>
      <c r="I43" s="67" t="s">
        <v>333</v>
      </c>
      <c r="J43" s="67" t="s">
        <v>334</v>
      </c>
      <c r="K43" s="67" t="s">
        <v>335</v>
      </c>
      <c r="L43" s="67" t="s">
        <v>336</v>
      </c>
      <c r="M43" s="67" t="s">
        <v>337</v>
      </c>
      <c r="N43" s="67" t="s">
        <v>338</v>
      </c>
      <c r="O43" s="67" t="s">
        <v>339</v>
      </c>
      <c r="P43" s="67" t="s">
        <v>340</v>
      </c>
      <c r="Q43" s="67" t="s">
        <v>341</v>
      </c>
      <c r="R43" s="67" t="s">
        <v>342</v>
      </c>
      <c r="S43" s="67" t="s">
        <v>343</v>
      </c>
      <c r="T43" s="67" t="s">
        <v>344</v>
      </c>
      <c r="U43" s="67" t="s">
        <v>345</v>
      </c>
      <c r="V43" s="67" t="s">
        <v>346</v>
      </c>
      <c r="W43" s="67" t="s">
        <v>347</v>
      </c>
      <c r="X43" s="67" t="s">
        <v>348</v>
      </c>
      <c r="Y43" s="67" t="s">
        <v>349</v>
      </c>
      <c r="Z43" s="67" t="s">
        <v>350</v>
      </c>
      <c r="AA43" s="67" t="s">
        <v>351</v>
      </c>
      <c r="AB43" s="67" t="s">
        <v>352</v>
      </c>
    </row>
    <row r="44" spans="1:28" x14ac:dyDescent="0.25">
      <c r="A44" t="s">
        <v>360</v>
      </c>
      <c r="B44" t="s">
        <v>86</v>
      </c>
      <c r="C44" s="76">
        <v>-4745.916985627777</v>
      </c>
      <c r="D44" s="76">
        <v>231.97553443914012</v>
      </c>
      <c r="E44" s="76">
        <v>491.0408842484967</v>
      </c>
      <c r="F44" s="76">
        <v>543.8972966371875</v>
      </c>
      <c r="G44" s="76">
        <v>596.3101577358852</v>
      </c>
      <c r="H44" s="76">
        <v>648.2572899800889</v>
      </c>
      <c r="I44" s="76">
        <v>699.7154069270746</v>
      </c>
      <c r="J44" s="76">
        <v>750.660057811981</v>
      </c>
      <c r="K44" s="76">
        <v>801.0655693317044</v>
      </c>
      <c r="L44" s="76">
        <v>850.9049845179854</v>
      </c>
      <c r="M44" s="76">
        <v>900.1499985541523</v>
      </c>
      <c r="N44" s="76">
        <v>879.9458895074108</v>
      </c>
      <c r="O44" s="76">
        <v>565.8714341599612</v>
      </c>
      <c r="P44" s="76">
        <v>598.9748915306828</v>
      </c>
      <c r="Q44" s="76">
        <v>632.447413363351</v>
      </c>
      <c r="R44" s="76">
        <v>665.8980834037684</v>
      </c>
      <c r="S44" s="76">
        <v>1437.3339406958225</v>
      </c>
      <c r="T44" s="76">
        <v>1420.3675017596895</v>
      </c>
      <c r="U44" s="76">
        <v>1402.8618032638094</v>
      </c>
      <c r="V44" s="76">
        <v>1384.7368279459374</v>
      </c>
      <c r="W44" s="76">
        <v>1365.92977939442</v>
      </c>
      <c r="X44" s="76">
        <v>1346.3874544052421</v>
      </c>
      <c r="Y44" s="76">
        <v>1326.061629431121</v>
      </c>
      <c r="Z44" s="76">
        <v>1304.9062536375698</v>
      </c>
      <c r="AA44" s="76">
        <v>1282.8757239824733</v>
      </c>
      <c r="AB44" s="76">
        <v>3134.652890372261</v>
      </c>
    </row>
    <row r="45" spans="1:28" x14ac:dyDescent="0.25">
      <c r="A45" t="s">
        <v>358</v>
      </c>
      <c r="B45" t="s">
        <v>86</v>
      </c>
      <c r="C45" s="76">
        <v>-15819.723285425918</v>
      </c>
      <c r="D45" s="76">
        <v>1966.871854740849</v>
      </c>
      <c r="E45" s="76">
        <v>2159.4943667514167</v>
      </c>
      <c r="F45" s="76">
        <v>2145.9079413413187</v>
      </c>
      <c r="G45" s="76">
        <v>1933.9417418606702</v>
      </c>
      <c r="H45" s="76">
        <v>1787.690151408439</v>
      </c>
      <c r="I45" s="76">
        <v>1695.2344124035938</v>
      </c>
      <c r="J45" s="76">
        <v>1634.8915157010713</v>
      </c>
      <c r="K45" s="76">
        <v>1593.6434223855276</v>
      </c>
      <c r="L45" s="76">
        <v>1563.670664008037</v>
      </c>
      <c r="M45" s="76">
        <v>1540.272482144536</v>
      </c>
      <c r="N45" s="76">
        <v>1520.6188905181452</v>
      </c>
      <c r="O45" s="76">
        <v>1503.0018895791725</v>
      </c>
      <c r="P45" s="76">
        <v>1486.38617142506</v>
      </c>
      <c r="Q45" s="76">
        <v>1470.1395177328948</v>
      </c>
      <c r="R45" s="76">
        <v>1453.8710122484783</v>
      </c>
      <c r="S45" s="76">
        <v>1437.333940695823</v>
      </c>
      <c r="T45" s="76">
        <v>1420.3675017596895</v>
      </c>
      <c r="U45" s="76">
        <v>1402.8618032638094</v>
      </c>
      <c r="V45" s="76">
        <v>1384.7368279459379</v>
      </c>
      <c r="W45" s="76">
        <v>1365.92977939442</v>
      </c>
      <c r="X45" s="76">
        <v>1346.3874544052426</v>
      </c>
      <c r="Y45" s="76">
        <v>1326.061629431121</v>
      </c>
      <c r="Z45" s="76">
        <v>1304.9062536375702</v>
      </c>
      <c r="AA45" s="76">
        <v>1282.8757239824738</v>
      </c>
      <c r="AB45" s="76">
        <v>3134.6528903722665</v>
      </c>
    </row>
    <row r="46" spans="1:3" x14ac:dyDescent="0.25">
      <c r="A46" t="s">
        <v>7</v>
      </c>
      <c r="B46" s="7">
        <v>0.13999999993597156</v>
      </c>
      <c r="C46" t="s">
        <v>8</v>
      </c>
    </row>
    <row r="47" spans="1:3" x14ac:dyDescent="0.25">
      <c r="A47" t="s">
        <v>9</v>
      </c>
      <c r="B47" s="7">
        <v>0.09960342112113721</v>
      </c>
      <c r="C47" t="s">
        <v>8</v>
      </c>
    </row>
    <row r="48" spans="1:3" x14ac:dyDescent="0.25">
      <c r="A48" t="s">
        <v>10</v>
      </c>
      <c r="B48" s="8">
        <v>8.526512829121202e-14</v>
      </c>
      <c r="C48" t="s">
        <v>8</v>
      </c>
    </row>
    <row r="49" spans="1:3" x14ac:dyDescent="0.25">
      <c r="A49" t="s">
        <v>11</v>
      </c>
      <c r="B49" s="9">
        <v>1.1337114683595606</v>
      </c>
      <c r="C49" t="s">
        <v>8</v>
      </c>
    </row>
    <row r="50" spans="1:3" x14ac:dyDescent="0.25">
      <c r="A50" t="s">
        <v>12</v>
      </c>
      <c r="B50" s="9">
        <v>1.5576959212327723</v>
      </c>
      <c r="C50" t="s">
        <v>8</v>
      </c>
    </row>
    <row r="51" spans="1:3" x14ac:dyDescent="0.25">
      <c r="A51" t="s">
        <v>13</v>
      </c>
      <c r="B51" s="10">
        <v>8</v>
      </c>
      <c r="C5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Live model</vt:lpstr>
      <vt:lpstr>Tender conditions</vt:lpstr>
      <vt:lpstr>Inputs</vt:lpstr>
      <vt:lpstr>Plant and capex</vt:lpstr>
      <vt:lpstr>Revenue and costs (values)</vt:lpstr>
      <vt:lpstr>Financial model (values)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TenderOS · Tender to Bid</dc:creator>
  <dc:title/>
  <dc:subject/>
  <dc:description/>
  <cp:keywords/>
  <cp:category/>
  <cp:lastModifiedBy>Unknown</cp:lastModifiedBy>
  <dcterms:created xsi:type="dcterms:W3CDTF">2026-10-24T19:21:28Z</dcterms:created>
  <dcterms:modified xsi:type="dcterms:W3CDTF">2026-10-24T19:21:28Z</dcterms:modified>
</cp:coreProperties>
</file>