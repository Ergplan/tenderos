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Tender conditions" state="visible" r:id="rId6"/>
    <sheet sheetId="4" name="Inputs" state="visible" r:id="rId7"/>
    <sheet sheetId="5" name="Plant and capex" state="visible" r:id="rId8"/>
    <sheet sheetId="6" name="Revenue and costs (values)" state="visible" r:id="rId9"/>
    <sheet sheetId="7" name="Financial model (values)" state="visible" r:id="rId10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6" authorId="0">
      <text>
        <r>
          <t>Escalates with O&amp;M</t>
        </r>
      </text>
    </comment>
    <comment ref="A52" authorId="0">
      <text>
        <r>
          <t>On the energy short of each time-block's floor, at this multiple of the year's tariff (SECI RTC-TM: 1.5)</t>
        </r>
      </text>
    </comment>
    <comment ref="A67" authorId="0">
      <text>
        <r>
          <t>wdv: written-down value at the WDV rate; slm: the book depreciation</t>
        </r>
      </text>
    </comment>
    <comment ref="A83" authorId="0">
      <text>
        <r>
          <t>The PPA term the optimiser dispatched; one column per year</t>
        </r>
      </text>
    </comment>
    <comment ref="A95" authorId="0">
      <text>
        <r>
          <t>Each hour's energy below its floor (peak and off-peak blocks), from the dispatch</t>
        </r>
      </text>
    </comment>
    <comment ref="A107" authorId="0">
      <text>
        <r>
          <t>Delivered MU × tariff ₹/kWh ÷ 10 = ₹ crore</t>
        </r>
      </text>
    </comment>
    <comment ref="A110" authorId="0">
      <text>
        <r>
          <t>Energy short of the block floors × multiple × the year's tariff</t>
        </r>
      </text>
    </comment>
    <comment ref="A114" authorId="0">
      <text>
        <r>
          <t>Size × ₹ lakh ÷ 100 = ₹ crore, escalated</t>
        </r>
      </text>
    </comment>
    <comment ref="A115" authorId="0">
      <text>
        <r>
          <t>Size × ₹ lakh ÷ 100 = ₹ crore, escalated</t>
        </r>
      </text>
    </comment>
    <comment ref="A123" authorId="0">
      <text>
        <r>
          <t>annual: each year from year 2 replaces the year's fade (MWh × fade × the year's battery price); oneTime: the fade to that year (at most 60%), once</t>
        </r>
      </text>
    </comment>
    <comment ref="A127" authorId="0">
      <text>
        <r>
          <t>Augmentation is depreciated over the years left</t>
        </r>
      </text>
    </comment>
    <comment ref="A149" authorId="0">
      <text>
        <r>
          <t>EBITDA − interest − tax depreciation</t>
        </r>
      </text>
    </comment>
    <comment ref="A158" authorId="0">
      <text>
        <r>
          <t>Revenue × receivable days ÷ 365, held at the year end</t>
        </r>
      </text>
    </comment>
    <comment ref="A160" authorId="0">
      <text>
        <r>
          <t>EBITDA − tax − working capital − battery augmentation</t>
        </r>
      </text>
    </comment>
    <comment ref="A167" authorId="0">
      <text>
        <r>
          <t>The payback year is the first year marked here</t>
        </r>
      </text>
    </comment>
    <comment ref="A168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<sst xmlns="http://schemas.openxmlformats.org/spreadsheetml/2006/main" count="894" uniqueCount="351">
  <si>
    <t>SECI RTC-TM · bid financial model</t>
  </si>
  <si>
    <t>SECI/C&amp;P/IPP/13/0020/25-26 · 200 MW round the clock · 25 years</t>
  </si>
  <si>
    <t>Prepared 2026-10-24 by Demo · Tender to Bid (TenderOS)</t>
  </si>
  <si>
    <t>The key results below are linked to the Live model tab: change an input there (blue cells) and they follow.</t>
  </si>
  <si>
    <t>Key results</t>
  </si>
  <si>
    <t>Bid 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</si>
  <si>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</si>
  <si>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</si>
  <si>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</si>
  <si>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</si>
  <si>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</si>
  <si>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</si>
  <si>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</si>
  <si>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</si>
  <si>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</si>
  <si>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₹37.86 cr per contracted MW</t>
  </si>
  <si>
    <t>Debt (₹ cr)</t>
  </si>
  <si>
    <t>Equity (₹ cr)</t>
  </si>
  <si>
    <t>Levelised cost of supply (₹/kWh)</t>
  </si>
  <si>
    <t>at a 10.0% discount rate</t>
  </si>
  <si>
    <t>Least-tariff sizing (HiGHS, ₹/kWh)</t>
  </si>
  <si>
    <t>Screening tariff of the sizing; the bid tariff is from the full financial model</t>
  </si>
  <si>
    <t>Year-1 supply (MU)</t>
  </si>
  <si>
    <t>90.3% of contracted</t>
  </si>
  <si>
    <t>Year-1 market sale (MU)</t>
  </si>
  <si>
    <t>Revenue over 25 years (₹ cr)</t>
  </si>
  <si>
    <t>Tender conditions</t>
  </si>
  <si>
    <t>5 met, 0 not met</t>
  </si>
  <si>
    <t>Plant</t>
  </si>
  <si>
    <t>Contracted capacity (MW)</t>
  </si>
  <si>
    <t>bid capacity</t>
  </si>
  <si>
    <t>Solar (MW)</t>
  </si>
  <si>
    <t>sized by the optimizer</t>
  </si>
  <si>
    <t>Battery power (MW)</t>
  </si>
  <si>
    <t>Battery energy (MWh)</t>
  </si>
  <si>
    <t>Key inputs</t>
  </si>
  <si>
    <t>Bid capacity (MW)</t>
  </si>
  <si>
    <t>Solar</t>
  </si>
  <si>
    <t>CUF (AC) 25.0% · Capex 4 ₹ cr/MW · O&amp;M 4 ₹ lakh/MW/yr</t>
  </si>
  <si>
    <t>Battery storage</t>
  </si>
  <si>
    <t>Discharge duration 4 hours · Round-trip efficiency 87.0% · Capex 1.2 ₹ cr/MWh · O&amp;M 1.2 ₹ lakh/MWh/yr</t>
  </si>
  <si>
    <t>Financing</t>
  </si>
  <si>
    <t>equity IRR 14.0% · debt 70% at 9.00% for 15 years · tax 25.17%</t>
  </si>
  <si>
    <t>Market sale</t>
  </si>
  <si>
    <t>none</t>
  </si>
  <si>
    <t>Tender</t>
  </si>
  <si>
    <t>Procurer</t>
  </si>
  <si>
    <t>Solar Energy Corporation of India Limited (SECI)</t>
  </si>
  <si>
    <t>SECI/C&amp;P/IPP/13/0020/25-26</t>
  </si>
  <si>
    <t>Supply of 1000 MW Round-the-Clock Thermal Mimic (RTC-TM) power from ISTS-connected RE projects</t>
  </si>
  <si>
    <t>Capacity</t>
  </si>
  <si>
    <t>1000 MW</t>
  </si>
  <si>
    <t>Supply floors</t>
  </si>
  <si>
    <t>Peak Hours floor (every block) 90% · Off-peak floor (every block) 70%</t>
  </si>
  <si>
    <t>Least green share</t>
  </si>
  <si>
    <t>Not stated</t>
  </si>
  <si>
    <t>Mandatory solar</t>
  </si>
  <si>
    <t>PPA term</t>
  </si>
  <si>
    <t>25 years</t>
  </si>
  <si>
    <t>Supply start</t>
  </si>
  <si>
    <t>07.08.2028</t>
  </si>
  <si>
    <t>Ceiling tariff</t>
  </si>
  <si>
    <t>Every tender condition comes from the tender reading, with its page and quote (sheet Tender conditions).</t>
  </si>
  <si>
    <t>Inputs marked "Industry benchmark" are industry benchmark (CERC norms, 2025–26 market prices), not from the tender; the rest are the bidder's own (sheet Inputs).</t>
  </si>
  <si>
    <t>Every number below is a formula on the blue inputs and the optimiser's energy (green). Change a blue cell: the whole model, the returns and the Cover move with it.</t>
  </si>
  <si>
    <t>Colour key</t>
  </si>
  <si>
    <t>Input</t>
  </si>
  <si>
    <t>Optimiser</t>
  </si>
  <si>
    <t>Formula</t>
  </si>
  <si>
    <t>The optimiser's energy comes from the hourly HiGHS dispatch of every year; changing a plant size here moves its cost, not its energy (size the plant again in TenderOS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</si>
  <si>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</si>
  <si>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</si>
  <si>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</si>
  <si>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</si>
  <si>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</si>
  <si>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</si>
  <si>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</si>
  <si>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</si>
  <si>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Bid 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</si>
  <si>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</si>
  <si>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</si>
  <si>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</si>
  <si>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</si>
  <si>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</si>
  <si>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</si>
  <si>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</si>
  <si>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</si>
  <si>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</si>
  <si>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</si>
  <si>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</si>
  <si>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</si>
  <si>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</si>
  <si>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</si>
  <si>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</si>
  <si>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</si>
  <si>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bid again after changing an input: Data › What-If Analysis › Goal Seek, set the cell "Equity IRR less the target" to 0 by changing the bid tariff.</t>
  </si>
  <si>
    <t>Inputs</t>
  </si>
  <si>
    <t>Tariff</t>
  </si>
  <si>
    <t>Solved in TenderOS for the target equity IRR</t>
  </si>
  <si>
    <t>Tariff escalation</t>
  </si>
  <si>
    <t>%/yr</t>
  </si>
  <si>
    <t>Industry benchmark</t>
  </si>
  <si>
    <t>Plant (sized by the optimiser)</t>
  </si>
  <si>
    <t>MW</t>
  </si>
  <si>
    <t>HiGHS sizing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</si>
  <si>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</si>
  <si>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</si>
  <si>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</si>
  <si>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</si>
  <si>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</si>
  <si>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</si>
  <si>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</si>
  <si>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Included in the energy price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</si>
  <si>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</si>
  <si>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</si>
  <si>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</si>
  <si>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</si>
  <si>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</si>
  <si>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</si>
  <si>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</si>
  <si>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</si>
  <si>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</si>
  <si>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</si>
  <si>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</si>
  <si>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</si>
  <si>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</si>
  <si>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Model default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</si>
  <si>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</si>
  <si>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</si>
  <si>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</si>
  <si>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</si>
  <si>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</si>
  <si>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</si>
  <si>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</si>
  <si>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</si>
  <si>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</si>
  <si>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</si>
  <si>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Time-block shortfall penalty</t>
  </si>
  <si>
    <t>× tariff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</si>
  <si>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</si>
  <si>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</si>
  <si>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</si>
  <si>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</si>
  <si>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</si>
  <si>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</si>
  <si>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Model default (used with oneTime)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</si>
  <si>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</si>
  <si>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</si>
  <si>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</si>
  <si>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</si>
  <si>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</si>
  <si>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</si>
  <si>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</si>
  <si>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</si>
  <si>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</si>
  <si>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</si>
  <si>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</si>
  <si>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</si>
  <si>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</si>
  <si>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</si>
  <si>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</si>
  <si>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</si>
  <si>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</si>
  <si>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</si>
  <si>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</si>
  <si>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</si>
  <si>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</si>
  <si>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</si>
  <si>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</si>
  <si>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</si>
  <si>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</si>
  <si>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</si>
  <si>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</si>
  <si>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</si>
  <si>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</si>
  <si>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</si>
  <si>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optimiser's hourly dispatch, summed by year)</t>
  </si>
  <si>
    <t>Contracted energy</t>
  </si>
  <si>
    <t>MU</t>
  </si>
  <si>
    <t>Delivered to the procurer</t>
  </si>
  <si>
    <t>Delivered ÷ contracted</t>
  </si>
  <si>
    <t>Short of the annual floor</t>
  </si>
  <si>
    <t>Short of the time-block floors</t>
  </si>
  <si>
    <t>Sold in the market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</si>
  <si>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</si>
  <si>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</si>
  <si>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</si>
  <si>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</si>
  <si>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</si>
  <si>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</si>
  <si>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</si>
  <si>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</si>
  <si>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</si>
  <si>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</si>
  <si>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</si>
  <si>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</si>
  <si>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</si>
  <si>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</si>
  <si>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</si>
  <si>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</si>
  <si>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</si>
  <si>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</si>
  <si>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</si>
  <si>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</si>
  <si>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</si>
  <si>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</si>
  <si>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</si>
  <si>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</si>
  <si>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</si>
  <si>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</si>
  <si>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</si>
  <si>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</si>
  <si>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</si>
  <si>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</si>
  <si>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</si>
  <si>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</si>
  <si>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</si>
  <si>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</si>
  <si>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</si>
  <si>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</si>
  <si>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</si>
  <si>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</si>
  <si>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</si>
  <si>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</si>
  <si>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</si>
  <si>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</si>
  <si>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</si>
  <si>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</si>
  <si>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</si>
  <si>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</si>
  <si>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</si>
  <si>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</si>
  <si>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</si>
  <si>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</si>
  <si>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</si>
  <si>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</si>
  <si>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</si>
  <si>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</si>
  <si>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</si>
  <si>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</si>
  <si>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</si>
  <si>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</si>
  <si>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</si>
  <si>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</si>
  <si>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</si>
  <si>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</si>
  <si>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</si>
  <si>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Condition</t>
  </si>
  <si>
    <t>Tender says</t>
  </si>
  <si>
    <t>Page</t>
  </si>
  <si>
    <t>Quote</t>
  </si>
  <si>
    <t>Plant and bid</t>
  </si>
  <si>
    <t>Status</t>
  </si>
  <si>
    <t>Bid capacity</t>
  </si>
  <si>
    <t>1,000 MW; one bidder 50–500 MW</t>
  </si>
  <si>
    <t>a minimum quantum of cumulative Contracted Capacity of 50 MW and a maximum quantum of 500 MW</t>
  </si>
  <si>
    <t>200 MW bid</t>
  </si>
  <si>
    <t>Met</t>
  </si>
  <si>
    <t>Peak Hours floor (every block)</t>
  </si>
  <si>
    <t>At least 90% of contracted capacity in every peak time-block; shortfall costs 1.5 × tariff</t>
  </si>
  <si>
    <t>(i) a minimum DFR of 90% in each time-block during the Peak Hours</t>
  </si>
  <si>
    <t>91.4% of the hours at the floor; 73.82 MU short in the worst modelled year</t>
  </si>
  <si>
    <t>Noted</t>
  </si>
  <si>
    <t>Off-peak floor (every block)</t>
  </si>
  <si>
    <t>At least 70% of contracted capacity in every off-peak time-block; shortfall costs 1.5 × tariff</t>
  </si>
  <si>
    <t>(ii) a minimum DFR of 70% in each time-block during the off-Peak Hours.</t>
  </si>
  <si>
    <t>98.0% of the hours at the floor; 2.50 MU short in the worst modelled year</t>
  </si>
  <si>
    <t>Peak hours</t>
  </si>
  <si>
    <t>Any 6 of the 16 hours (the Buying Entity picks 6 hours between 18:00 and 10:00, day-ahead) a day</t>
  </si>
  <si>
    <t>The Buying Entity shall choose any 6 hours, on a daily basis, between 18:00 Hrs. in the evening of a day and 10:00 Hrs. in the morning of the subsequent day</t>
  </si>
  <si>
    <t>Checked in the chosen window</t>
  </si>
  <si>
    <t>Energy storage</t>
  </si>
  <si>
    <t>Mandatory</t>
  </si>
  <si>
    <t>Energy Storage Systems (ESS) shall mandatorily constitute part of the Project. It is clarified that ESS charged using a source other than RE power would not qualify as RE power.</t>
  </si>
  <si>
    <t>743 MW / 2,973 MWh</t>
  </si>
  <si>
    <t>What may be sold in the market</t>
  </si>
  <si>
    <t>Free to sell to any third party or power exchange, no NOC needed</t>
  </si>
  <si>
    <t>the SECI/RPD is free to sell power in excess of the Contracted Capacity in any time-block, to any third party or power exchange, without requiring any NOC from Buying Entity.</t>
  </si>
  <si>
    <t>Nothing sold</t>
  </si>
  <si>
    <t>The PPAs shall be valid for a period of 25 years from the SCSD.</t>
  </si>
  <si>
    <t>Modelled and financed over 25 years</t>
  </si>
  <si>
    <t>SECI reserves the right to cancel any or all of the bids in view of higher tariff discovered after e-RA.</t>
  </si>
  <si>
    <t>Bid tariff ₹8.001/kWh</t>
  </si>
  <si>
    <t>Not required</t>
  </si>
  <si>
    <t>The Scheduled Commencement of Supply Date (SCSD) for supplying power from the full Project capacity shall be the date as on 24 months from the Effective Date of the PPA</t>
  </si>
  <si>
    <t>Build schedule is not modelled</t>
  </si>
  <si>
    <t>Group</t>
  </si>
  <si>
    <t>Value</t>
  </si>
  <si>
    <t>Source</t>
  </si>
  <si>
    <t>Bid</t>
  </si>
  <si>
    <t>Your input</t>
  </si>
  <si>
    <t>Sized for the greenshoe</t>
  </si>
  <si>
    <t>automatic limit</t>
  </si>
  <si>
    <t>Upper limit for the optimizer</t>
  </si>
  <si>
    <t>CUF (AC)</t>
  </si>
  <si>
    <t>DC:AC ratio</t>
  </si>
  <si>
    <t>Annual degradation</t>
  </si>
  <si>
    <t>Capex</t>
  </si>
  <si>
    <t>O&amp;M</t>
  </si>
  <si>
    <t>Discharge duration</t>
  </si>
  <si>
    <t>4 hours</t>
  </si>
  <si>
    <t>Round-trip efficiency</t>
  </si>
  <si>
    <t>Minimum state of charge</t>
  </si>
  <si>
    <t>Maximum state of charge</t>
  </si>
  <si>
    <t>Capacity fade</t>
  </si>
  <si>
    <t>Every year</t>
  </si>
  <si>
    <t>Pre-operative &amp; IDC</t>
  </si>
  <si>
    <t>Model default (editable on Financials)</t>
  </si>
  <si>
    <t>Discount rate (LCOE, NPV)</t>
  </si>
  <si>
    <t>Market</t>
  </si>
  <si>
    <t>Sell in the market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</si>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</sst>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22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  <font>
      <i/>
      <color rgb="FFB26A00"/>
    </font>
    <font>
      <b/>
      <color rgb="FF1E7B34"/>
    </font>
    <font>
      <b/>
      <color rgb="FF666666"/>
    </font>
    <font>
      <color rgb="FFB26A00"/>
    </font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0" fontId="18" fillId="0" borderId="0" xfId="0" applyFont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67" fontId="8" fillId="3" borderId="1" xfId="0" applyNumberFormat="1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70" fontId="0" fillId="0" borderId="0" xfId="0" applyNumberFormat="1"/>
    <xf numFmtId="10" fontId="0" fillId="0" borderId="0" xfId="0" applyNumberFormat="1"/>
    <xf numFmtId="0" fontId="2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52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8.001071731908118</v>
      </c>
      <c r="C10" t="s">
        <v>6</v>
      </c>
    </row>
    <row r="11" spans="1:3" x14ac:dyDescent="0.25">
      <c r="A11" t="s">
        <v>7</v>
      </c>
      <c r="B11" s="7">
        <f>'Live model'!$C$10</f>
        <v>0.13999999993597156</v>
      </c>
      <c r="C11" t="s">
        <v>8</v>
      </c>
    </row>
    <row r="12" spans="1:3" x14ac:dyDescent="0.25">
      <c r="A12" t="s">
        <v>9</v>
      </c>
      <c r="B12" s="7">
        <f>'Live model'!$C$12</f>
        <v>0.09956334949820303</v>
      </c>
      <c r="C12" t="s">
        <v>8</v>
      </c>
    </row>
    <row r="13" spans="1:3" x14ac:dyDescent="0.25">
      <c r="A13" t="s">
        <v>10</v>
      </c>
      <c r="B13" s="8">
        <f>'Live model'!$C$13</f>
        <v>2.5579538487363607e-13</v>
      </c>
      <c r="C13" t="s">
        <v>8</v>
      </c>
    </row>
    <row r="14" spans="1:3" x14ac:dyDescent="0.25">
      <c r="A14" t="s">
        <v>11</v>
      </c>
      <c r="B14" s="9">
        <f>'Live model'!$C$15</f>
        <v>1.15729366418498</v>
      </c>
      <c r="C14" t="s">
        <v>8</v>
      </c>
    </row>
    <row r="15" spans="1:3" x14ac:dyDescent="0.25">
      <c r="A15" t="s">
        <v>12</v>
      </c>
      <c r="B15" s="9">
        <f>'Live model'!$C$16</f>
        <v>1.5536586071699472</v>
      </c>
      <c r="C15" t="s">
        <v>8</v>
      </c>
    </row>
    <row r="16" spans="1:3" x14ac:dyDescent="0.25">
      <c r="A16" t="s">
        <v>13</v>
      </c>
      <c r="B16" s="10">
        <f>'Live model'!$C$19</f>
        <v>8</v>
      </c>
      <c r="C16" t="s">
        <v>8</v>
      </c>
    </row>
    <row r="17" spans="1:3" x14ac:dyDescent="0.25">
      <c r="A17" t="s">
        <v>14</v>
      </c>
      <c r="B17" s="8">
        <f>'Live model'!$C$20</f>
        <v>7571.871924760597</v>
      </c>
      <c r="C17" t="s">
        <v>15</v>
      </c>
    </row>
    <row r="18" spans="1:3" x14ac:dyDescent="0.25">
      <c r="A18" t="s">
        <v>16</v>
      </c>
      <c r="B18" s="8">
        <f>'Live model'!$C$21</f>
        <v>5300.310347332417</v>
      </c>
      <c r="C18" t="s">
        <v>8</v>
      </c>
    </row>
    <row r="19" spans="1:3" x14ac:dyDescent="0.25">
      <c r="A19" t="s">
        <v>17</v>
      </c>
      <c r="B19" s="8">
        <f>'Live model'!$C$22</f>
        <v>2271.5615774281796</v>
      </c>
      <c r="C19" t="s">
        <v>8</v>
      </c>
    </row>
    <row r="20" spans="1:3" x14ac:dyDescent="0.25">
      <c r="A20" t="s">
        <v>18</v>
      </c>
      <c r="B20" s="6">
        <f>'Live model'!$C$17</f>
        <v>6.577507578006551</v>
      </c>
      <c r="C20" t="s">
        <v>19</v>
      </c>
    </row>
    <row r="21" spans="1:3" x14ac:dyDescent="0.25">
      <c r="A21" t="s">
        <v>20</v>
      </c>
      <c r="B21" s="6">
        <v>7.994826073233666</v>
      </c>
      <c r="C21" t="s">
        <v>21</v>
      </c>
    </row>
    <row r="22" spans="1:3" x14ac:dyDescent="0.25">
      <c r="A22" t="s">
        <v>22</v>
      </c>
      <c r="B22" s="11">
        <v>1581.5235191904442</v>
      </c>
      <c r="C22" t="s">
        <v>23</v>
      </c>
    </row>
    <row r="23" spans="1:3" x14ac:dyDescent="0.25">
      <c r="A23" t="s">
        <v>24</v>
      </c>
      <c r="B23" s="11">
        <v>0</v>
      </c>
      <c r="C23" t="s">
        <v>8</v>
      </c>
    </row>
    <row r="24" spans="1:3" x14ac:dyDescent="0.25">
      <c r="A24" t="s">
        <v>25</v>
      </c>
      <c r="B24" s="8">
        <f>'Live model'!$C$23</f>
        <v>29172.888207863343</v>
      </c>
      <c r="C24" t="s">
        <v>8</v>
      </c>
    </row>
    <row r="25" spans="1:3" x14ac:dyDescent="0.25">
      <c r="A25" t="s">
        <v>26</v>
      </c>
      <c r="B25" s="12" t="s">
        <v>27</v>
      </c>
      <c r="C25" t="s">
        <v>8</v>
      </c>
    </row>
    <row r="27" spans="1:1" s="5" customFormat="1" x14ac:dyDescent="0.25">
      <c r="A27" s="5" t="s">
        <v>28</v>
      </c>
    </row>
    <row r="28" spans="1:3" x14ac:dyDescent="0.25">
      <c r="A28" t="s">
        <v>29</v>
      </c>
      <c r="B28" s="11">
        <v>200</v>
      </c>
      <c r="C28" t="s">
        <v>30</v>
      </c>
    </row>
    <row r="29" spans="1:3" x14ac:dyDescent="0.25">
      <c r="A29" t="s">
        <v>31</v>
      </c>
      <c r="B29" s="11">
        <v>910.820964588417</v>
      </c>
      <c r="C29" t="s">
        <v>32</v>
      </c>
    </row>
    <row r="30" spans="1:3" x14ac:dyDescent="0.25">
      <c r="A30" t="s">
        <v>33</v>
      </c>
      <c r="B30" s="11">
        <v>743.338070136755</v>
      </c>
      <c r="C30" t="s">
        <v>8</v>
      </c>
    </row>
    <row r="31" spans="1:3" x14ac:dyDescent="0.25">
      <c r="A31" t="s">
        <v>34</v>
      </c>
      <c r="B31" s="11">
        <v>2973.35228054702</v>
      </c>
      <c r="C31" t="s">
        <v>8</v>
      </c>
    </row>
    <row r="33" spans="1:1" s="5" customFormat="1" x14ac:dyDescent="0.25">
      <c r="A33" s="5" t="s">
        <v>35</v>
      </c>
    </row>
    <row r="34" spans="1:3" x14ac:dyDescent="0.25">
      <c r="A34" t="s">
        <v>36</v>
      </c>
      <c r="B34" s="11">
        <v>200</v>
      </c>
      <c r="C34" t="s">
        <v>8</v>
      </c>
    </row>
    <row r="35" spans="1:3" x14ac:dyDescent="0.25">
      <c r="A35" t="s">
        <v>37</v>
      </c>
      <c r="B35" s="12" t="s">
        <v>38</v>
      </c>
      <c r="C35" t="s">
        <v>8</v>
      </c>
    </row>
    <row r="36" spans="1:3" x14ac:dyDescent="0.25">
      <c r="A36" t="s">
        <v>39</v>
      </c>
      <c r="B36" s="12" t="s">
        <v>40</v>
      </c>
      <c r="C36" t="s">
        <v>8</v>
      </c>
    </row>
    <row r="37" spans="1:3" x14ac:dyDescent="0.25">
      <c r="A37" t="s">
        <v>41</v>
      </c>
      <c r="B37" s="12" t="s">
        <v>42</v>
      </c>
      <c r="C37" t="s">
        <v>8</v>
      </c>
    </row>
    <row r="38" spans="1:3" x14ac:dyDescent="0.25">
      <c r="A38" t="s">
        <v>43</v>
      </c>
      <c r="B38" s="12" t="s">
        <v>44</v>
      </c>
      <c r="C38" t="s">
        <v>8</v>
      </c>
    </row>
    <row r="40" spans="1:1" s="5" customFormat="1" x14ac:dyDescent="0.25">
      <c r="A40" s="5" t="s">
        <v>45</v>
      </c>
    </row>
    <row r="41" spans="1:3" x14ac:dyDescent="0.25">
      <c r="A41" t="s">
        <v>46</v>
      </c>
      <c r="B41" s="12" t="s">
        <v>47</v>
      </c>
      <c r="C41" t="s">
        <v>8</v>
      </c>
    </row>
    <row r="42" spans="1:3" x14ac:dyDescent="0.25">
      <c r="A42" t="s">
        <v>45</v>
      </c>
      <c r="B42" s="12" t="s">
        <v>48</v>
      </c>
      <c r="C42" t="s">
        <v>49</v>
      </c>
    </row>
    <row r="43" spans="1:3" x14ac:dyDescent="0.25">
      <c r="A43" t="s">
        <v>50</v>
      </c>
      <c r="B43" s="12" t="s">
        <v>51</v>
      </c>
      <c r="C43" t="s">
        <v>8</v>
      </c>
    </row>
    <row r="44" spans="1:3" x14ac:dyDescent="0.25">
      <c r="A44" t="s">
        <v>52</v>
      </c>
      <c r="B44" s="12" t="s">
        <v>53</v>
      </c>
      <c r="C44" t="s">
        <v>8</v>
      </c>
    </row>
    <row r="45" spans="1:3" x14ac:dyDescent="0.25">
      <c r="A45" t="s">
        <v>54</v>
      </c>
      <c r="B45" s="12" t="s">
        <v>55</v>
      </c>
      <c r="C45" t="s">
        <v>8</v>
      </c>
    </row>
    <row r="46" spans="1:3" x14ac:dyDescent="0.25">
      <c r="A46" t="s">
        <v>56</v>
      </c>
      <c r="B46" s="12" t="s">
        <v>55</v>
      </c>
      <c r="C46" t="s">
        <v>8</v>
      </c>
    </row>
    <row r="47" spans="1:3" x14ac:dyDescent="0.25">
      <c r="A47" t="s">
        <v>57</v>
      </c>
      <c r="B47" s="12" t="s">
        <v>58</v>
      </c>
      <c r="C47" t="s">
        <v>8</v>
      </c>
    </row>
    <row r="48" spans="1:3" x14ac:dyDescent="0.25">
      <c r="A48" t="s">
        <v>59</v>
      </c>
      <c r="B48" s="12" t="s">
        <v>60</v>
      </c>
      <c r="C48" t="s">
        <v>8</v>
      </c>
    </row>
    <row r="49" spans="1:3" x14ac:dyDescent="0.25">
      <c r="A49" t="s">
        <v>61</v>
      </c>
      <c r="B49" s="12" t="s">
        <v>55</v>
      </c>
      <c r="C49" t="s">
        <v>8</v>
      </c>
    </row>
    <row r="51" spans="1:1" s="13" customFormat="1" x14ac:dyDescent="0.25">
      <c r="A51" s="13" t="s">
        <v>62</v>
      </c>
    </row>
    <row r="52" spans="1:1" s="13" customFormat="1" x14ac:dyDescent="0.25">
      <c r="A52" s="1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194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64</v>
      </c>
    </row>
    <row r="3" spans="1:4" x14ac:dyDescent="0.25">
      <c r="A3" s="14" t="s">
        <v>65</v>
      </c>
      <c r="B3" s="15" t="s">
        <v>66</v>
      </c>
      <c r="C3" s="16" t="s">
        <v>67</v>
      </c>
      <c r="D3" s="17" t="s">
        <v>68</v>
      </c>
    </row>
    <row r="4" spans="1:1" x14ac:dyDescent="0.25">
      <c r="A4" s="3" t="s">
        <v>69</v>
      </c>
    </row>
    <row r="5" spans="1:29" x14ac:dyDescent="0.25">
      <c r="A5" s="18" t="s">
        <v>70</v>
      </c>
      <c r="B5" s="18" t="s">
        <v>71</v>
      </c>
      <c r="C5" s="19" t="s">
        <v>72</v>
      </c>
      <c r="D5" s="19" t="s">
        <v>73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74</v>
      </c>
      <c r="D8" s="24" t="s">
        <v>75</v>
      </c>
      <c r="E8" s="24" t="s">
        <v>76</v>
      </c>
      <c r="F8" s="24" t="s">
        <v>77</v>
      </c>
    </row>
    <row r="9" spans="1:6" x14ac:dyDescent="0.25">
      <c r="A9" s="25" t="s">
        <v>78</v>
      </c>
      <c r="B9" s="26" t="s">
        <v>79</v>
      </c>
      <c r="C9" s="27">
        <f>$C$29</f>
        <v>8.001071731908118</v>
      </c>
      <c r="D9" s="28">
        <v>8.001071731908118</v>
      </c>
      <c r="E9" s="29">
        <f>IF(ISNUMBER(C9),C9-D9,"")</f>
        <v>0</v>
      </c>
      <c r="F9" s="12" t="str">
        <f>IF(ISNUMBER(E9),IF(ABS(E9)&lt;=0.000008001071731908118,"Yes","Changed"),"")</f>
        <v>Yes</v>
      </c>
    </row>
    <row r="10" spans="1:6" x14ac:dyDescent="0.25">
      <c r="A10" s="25" t="s">
        <v>7</v>
      </c>
      <c r="B10" s="26" t="s">
        <v>80</v>
      </c>
      <c r="C10" s="30">
        <f>IFERROR(IRR(D165:AC165),"n/a")</f>
        <v>0.1400000000002308</v>
      </c>
      <c r="D10" s="31">
        <v>0.13999999993597156</v>
      </c>
      <c r="E10" s="32">
        <f>IF(ISNUMBER(C10),C10-D10,"")</f>
        <v>6.42592368205186e-11</v>
      </c>
      <c r="F10" s="12" t="str">
        <f>IF(ISNUMBER(E10),IF(ABS(E10)&lt;=0.00001,"Yes","Changed"),"")</f>
        <v>Yes</v>
      </c>
    </row>
    <row r="11" spans="1:6" x14ac:dyDescent="0.25">
      <c r="A11" s="33" t="s">
        <v>81</v>
      </c>
      <c r="B11" s="26" t="s">
        <v>80</v>
      </c>
      <c r="C11" s="34">
        <f>IFERROR($C$10-$C$63,"n/a")</f>
        <v>2.307876112439544e-13</v>
      </c>
      <c r="D11" s="31">
        <v>-6.402844920927464e-11</v>
      </c>
      <c r="E11" s="32">
        <f>IF(ISNUMBER(C11),C11-D11,"")</f>
        <v>6.42592368205186e-11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80</v>
      </c>
      <c r="C12" s="34">
        <f>IFERROR(IRR(D169:AC169),"n/a")</f>
        <v>0.09956334969890693</v>
      </c>
      <c r="D12" s="31">
        <v>0.09956334949820303</v>
      </c>
      <c r="E12" s="32">
        <f>IF(ISNUMBER(C12),C12-D12,"")</f>
        <v>2.0070389794568655e-10</v>
      </c>
      <c r="F12" s="12" t="str">
        <f>IF(ISNUMBER(E12),IF(ABS(E12)&lt;=0.00001,"Yes","Changed"),"")</f>
        <v>Yes</v>
      </c>
    </row>
    <row r="13" spans="1:6" x14ac:dyDescent="0.25">
      <c r="A13" s="33" t="s">
        <v>82</v>
      </c>
      <c r="B13" s="26" t="s">
        <v>83</v>
      </c>
      <c r="C13" s="35">
        <f>D165+NPV($C$63,E165:AC165)</f>
        <v>-6.394884621840902e-14</v>
      </c>
      <c r="D13" s="36">
        <v>2.5579538487363607e-13</v>
      </c>
      <c r="E13" s="37">
        <f>IF(ISNUMBER(C13),C13-D13,"")</f>
        <v>-3.197442310920451e-13</v>
      </c>
      <c r="F13" s="12" t="str">
        <f>IF(ISNUMBER(E13),IF(ABS(E13)&lt;=0.000001,"Yes","Changed"),"")</f>
        <v>Yes</v>
      </c>
    </row>
    <row r="14" spans="1:6" x14ac:dyDescent="0.25">
      <c r="A14" s="33" t="s">
        <v>84</v>
      </c>
      <c r="B14" s="26" t="s">
        <v>83</v>
      </c>
      <c r="C14" s="35">
        <f>D169+NPV($C$64,E169:AC169)</f>
        <v>-23.208402778295465</v>
      </c>
      <c r="D14" s="36">
        <v>-23.20840277829518</v>
      </c>
      <c r="E14" s="37">
        <f>IF(ISNUMBER(C14),C14-D14,"")</f>
        <v>-2.8421709430404007e-13</v>
      </c>
      <c r="F14" s="12" t="str">
        <f>IF(ISNUMBER(E14),IF(ABS(E14)&lt;=0.00002320840277829518,"Yes","Changed"),"")</f>
        <v>Yes</v>
      </c>
    </row>
    <row r="15" spans="1:6" x14ac:dyDescent="0.25">
      <c r="A15" s="33" t="s">
        <v>11</v>
      </c>
      <c r="B15" s="26" t="s">
        <v>85</v>
      </c>
      <c r="C15" s="38">
        <f>IF(COUNT(E162:AC162)=0,"",MIN(E162:AC162))</f>
        <v>1.15729366418498</v>
      </c>
      <c r="D15" s="39">
        <v>1.15729366418498</v>
      </c>
      <c r="E15" s="40">
        <f>IF(ISNUMBER(C15),C15-D15,"")</f>
        <v>0</v>
      </c>
      <c r="F15" s="12" t="str">
        <f>IF(ISNUMBER(E15),IF(ABS(E15)&lt;=0.00000115729366418498,"Yes","Changed"),"")</f>
        <v>Yes</v>
      </c>
    </row>
    <row r="16" spans="1:6" x14ac:dyDescent="0.25">
      <c r="A16" s="33" t="s">
        <v>12</v>
      </c>
      <c r="B16" s="26" t="s">
        <v>85</v>
      </c>
      <c r="C16" s="38">
        <f>IF(COUNT(E162:AC162)=0,"",AVERAGE(E162:AC162))</f>
        <v>1.5536586071699474</v>
      </c>
      <c r="D16" s="39">
        <v>1.5536586071699472</v>
      </c>
      <c r="E16" s="40">
        <f>IF(ISNUMBER(C16),C16-D16,"")</f>
        <v>2.220446049250313e-16</v>
      </c>
      <c r="F16" s="12" t="str">
        <f>IF(ISNUMBER(E16),IF(ABS(E16)&lt;=0.0000015536586071699471,"Yes","Changed"),"")</f>
        <v>Yes</v>
      </c>
    </row>
    <row r="17" spans="1:6" x14ac:dyDescent="0.25">
      <c r="A17" s="33" t="s">
        <v>86</v>
      </c>
      <c r="B17" s="26" t="s">
        <v>79</v>
      </c>
      <c r="C17" s="41">
        <f>IF(C174&gt;0,($C$80+C173)*10/C174,"")</f>
        <v>6.577507578006552</v>
      </c>
      <c r="D17" s="28">
        <v>6.577507578006551</v>
      </c>
      <c r="E17" s="29">
        <f>IF(ISNUMBER(C17),C17-D17,"")</f>
        <v>8.881784197001252e-16</v>
      </c>
      <c r="F17" s="12" t="str">
        <f>IF(ISNUMBER(E17),IF(ABS(E17)&lt;=0.00000657750757800655,"Yes","Changed"),"")</f>
        <v>Yes</v>
      </c>
    </row>
    <row r="18" spans="1:6" x14ac:dyDescent="0.25">
      <c r="A18" s="33" t="s">
        <v>87</v>
      </c>
      <c r="B18" s="26" t="s">
        <v>79</v>
      </c>
      <c r="C18" s="41">
        <f>IF(C174&gt;0,C175*10/C174,"")</f>
        <v>8.001071731908118</v>
      </c>
      <c r="D18" s="28">
        <v>8.00107173190812</v>
      </c>
      <c r="E18" s="29">
        <f>IF(ISNUMBER(C18),C18-D18,"")</f>
        <v>-1.7763568394002505e-15</v>
      </c>
      <c r="F18" s="12" t="str">
        <f>IF(ISNUMBER(E18),IF(ABS(E18)&lt;=0.00000800107173190812,"Yes","Changed"),"")</f>
        <v>Yes</v>
      </c>
    </row>
    <row r="19" spans="1:6" x14ac:dyDescent="0.25">
      <c r="A19" s="33" t="s">
        <v>88</v>
      </c>
      <c r="B19" s="26" t="s">
        <v>89</v>
      </c>
      <c r="C19" s="42">
        <f>IF(COUNT(E167:AC167)=0,"beyond the term",MIN(E167:AC167))</f>
        <v>8</v>
      </c>
      <c r="D19" s="43">
        <v>8</v>
      </c>
      <c r="E19" s="44">
        <f>IF(ISNUMBER(C19),C19-D19,"")</f>
        <v>0</v>
      </c>
      <c r="F19" s="12" t="str">
        <f>IF(ISNUMBER(E19),IF(ABS(E19)&lt;=0.000008,"Yes","Changed"),"")</f>
        <v>Yes</v>
      </c>
    </row>
    <row r="20" spans="1:6" x14ac:dyDescent="0.25">
      <c r="A20" s="33" t="s">
        <v>90</v>
      </c>
      <c r="B20" s="26" t="s">
        <v>83</v>
      </c>
      <c r="C20" s="35">
        <f>$C$80</f>
        <v>7571.871924760597</v>
      </c>
      <c r="D20" s="36">
        <v>7571.871924760597</v>
      </c>
      <c r="E20" s="37">
        <f>IF(ISNUMBER(C20),C20-D20,"")</f>
        <v>0</v>
      </c>
      <c r="F20" s="12" t="str">
        <f>IF(ISNUMBER(E20),IF(ABS(E20)&lt;=0.007571871924760596,"Yes","Changed"),"")</f>
        <v>Yes</v>
      </c>
    </row>
    <row r="21" spans="1:6" x14ac:dyDescent="0.25">
      <c r="A21" s="33" t="s">
        <v>91</v>
      </c>
      <c r="B21" s="26" t="s">
        <v>83</v>
      </c>
      <c r="C21" s="35">
        <f>$C$81</f>
        <v>5300.310347332417</v>
      </c>
      <c r="D21" s="36">
        <v>5300.310347332417</v>
      </c>
      <c r="E21" s="37">
        <f>IF(ISNUMBER(C21),C21-D21,"")</f>
        <v>0</v>
      </c>
      <c r="F21" s="12" t="str">
        <f>IF(ISNUMBER(E21),IF(ABS(E21)&lt;=0.005300310347332417,"Yes","Changed"),"")</f>
        <v>Yes</v>
      </c>
    </row>
    <row r="22" spans="1:6" x14ac:dyDescent="0.25">
      <c r="A22" s="33" t="s">
        <v>92</v>
      </c>
      <c r="B22" s="26" t="s">
        <v>83</v>
      </c>
      <c r="C22" s="35">
        <f>$C$82</f>
        <v>2271.5615774281796</v>
      </c>
      <c r="D22" s="36">
        <v>2271.5615774281796</v>
      </c>
      <c r="E22" s="37">
        <f>IF(ISNUMBER(C22),C22-D22,"")</f>
        <v>0</v>
      </c>
      <c r="F22" s="12" t="str">
        <f>IF(ISNUMBER(E22),IF(ABS(E22)&lt;=0.0022715615774281796,"Yes","Changed"),"")</f>
        <v>Yes</v>
      </c>
    </row>
    <row r="23" spans="1:6" x14ac:dyDescent="0.25">
      <c r="A23" s="33" t="s">
        <v>93</v>
      </c>
      <c r="B23" s="26" t="s">
        <v>83</v>
      </c>
      <c r="C23" s="35">
        <f>C111</f>
        <v>29172.888207863343</v>
      </c>
      <c r="D23" s="36">
        <v>29172.888207863343</v>
      </c>
      <c r="E23" s="37">
        <f>IF(ISNUMBER(C23),C23-D23,"")</f>
        <v>0</v>
      </c>
      <c r="F23" s="12" t="str">
        <f>IF(ISNUMBER(E23),IF(ABS(E23)&lt;=0.029172888207863342,"Yes","Changed"),"")</f>
        <v>Yes</v>
      </c>
    </row>
    <row r="24" spans="1:6" x14ac:dyDescent="0.25">
      <c r="A24" s="33" t="s">
        <v>94</v>
      </c>
      <c r="C24" s="45" t="str">
        <f>IF(AND($C$189="OK",$C$190="OK",$C$191="OK",$C$192="OK"),"OK","CHECK")</f>
        <v>OK</v>
      </c>
      <c r="F24" s="12" t="str">
        <f>IF(C24="OK","OK","CHECK")</f>
        <v>OK</v>
      </c>
    </row>
    <row r="25" spans="1:1" x14ac:dyDescent="0.25">
      <c r="A25" s="13" t="s">
        <v>95</v>
      </c>
    </row>
    <row r="27" ht="20" customHeight="1" spans="1:29" x14ac:dyDescent="0.25">
      <c r="A27" s="21" t="s">
        <v>96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97</v>
      </c>
      <c r="B28" s="47"/>
      <c r="C28" s="47"/>
      <c r="D28" s="47"/>
    </row>
    <row r="29" spans="1:4" x14ac:dyDescent="0.25">
      <c r="A29" s="33" t="s">
        <v>78</v>
      </c>
      <c r="B29" s="26" t="s">
        <v>79</v>
      </c>
      <c r="C29" s="48">
        <v>8.001071731908118</v>
      </c>
      <c r="D29" s="3" t="s">
        <v>98</v>
      </c>
    </row>
    <row r="30" spans="1:4" x14ac:dyDescent="0.25">
      <c r="A30" s="33" t="s">
        <v>99</v>
      </c>
      <c r="B30" s="26" t="s">
        <v>100</v>
      </c>
      <c r="C30" s="49">
        <v>0</v>
      </c>
      <c r="D30" s="50" t="s">
        <v>101</v>
      </c>
    </row>
    <row r="31" spans="1:4" x14ac:dyDescent="0.25">
      <c r="A31" s="46" t="s">
        <v>102</v>
      </c>
      <c r="B31" s="47"/>
      <c r="C31" s="47"/>
      <c r="D31" s="47"/>
    </row>
    <row r="32" spans="1:4" x14ac:dyDescent="0.25">
      <c r="A32" s="33" t="s">
        <v>37</v>
      </c>
      <c r="B32" s="26" t="s">
        <v>103</v>
      </c>
      <c r="C32" s="51">
        <v>910.820964588417</v>
      </c>
      <c r="D32" s="3" t="s">
        <v>104</v>
      </c>
    </row>
    <row r="33" spans="1:4" x14ac:dyDescent="0.25">
      <c r="A33" s="33" t="s">
        <v>105</v>
      </c>
      <c r="B33" s="26" t="s">
        <v>103</v>
      </c>
      <c r="C33" s="51">
        <v>743.338070136755</v>
      </c>
      <c r="D33" s="3" t="s">
        <v>104</v>
      </c>
    </row>
    <row r="34" spans="1:4" x14ac:dyDescent="0.25">
      <c r="A34" s="33" t="s">
        <v>106</v>
      </c>
      <c r="B34" s="26" t="s">
        <v>107</v>
      </c>
      <c r="C34" s="51">
        <v>2973.35228054702</v>
      </c>
      <c r="D34" s="3" t="s">
        <v>104</v>
      </c>
    </row>
    <row r="35" spans="1:4" x14ac:dyDescent="0.25">
      <c r="A35" s="46" t="s">
        <v>108</v>
      </c>
      <c r="B35" s="47"/>
      <c r="C35" s="47"/>
      <c r="D35" s="47"/>
    </row>
    <row r="36" spans="1:4" x14ac:dyDescent="0.25">
      <c r="A36" s="33" t="s">
        <v>37</v>
      </c>
      <c r="B36" s="26" t="s">
        <v>109</v>
      </c>
      <c r="C36" s="52">
        <v>4</v>
      </c>
      <c r="D36" s="50" t="s">
        <v>101</v>
      </c>
    </row>
    <row r="37" spans="1:4" x14ac:dyDescent="0.25">
      <c r="A37" s="33" t="s">
        <v>106</v>
      </c>
      <c r="B37" s="26" t="s">
        <v>110</v>
      </c>
      <c r="C37" s="52">
        <v>1.2</v>
      </c>
      <c r="D37" s="50" t="s">
        <v>101</v>
      </c>
    </row>
    <row r="38" spans="1:4" x14ac:dyDescent="0.25">
      <c r="A38" s="33" t="s">
        <v>111</v>
      </c>
      <c r="B38" s="26" t="s">
        <v>109</v>
      </c>
      <c r="C38" s="52">
        <v>0</v>
      </c>
      <c r="D38" s="3" t="s">
        <v>112</v>
      </c>
    </row>
    <row r="39" spans="1:4" x14ac:dyDescent="0.25">
      <c r="A39" s="33" t="s">
        <v>113</v>
      </c>
      <c r="B39" s="26" t="s">
        <v>83</v>
      </c>
      <c r="C39" s="53">
        <v>0</v>
      </c>
      <c r="D39" s="50" t="s">
        <v>101</v>
      </c>
    </row>
    <row r="40" spans="1:4" x14ac:dyDescent="0.25">
      <c r="A40" s="33" t="s">
        <v>114</v>
      </c>
      <c r="B40" s="26" t="s">
        <v>115</v>
      </c>
      <c r="C40" s="49">
        <v>0.05</v>
      </c>
      <c r="D40" s="50" t="s">
        <v>101</v>
      </c>
    </row>
    <row r="41" spans="1:4" x14ac:dyDescent="0.25">
      <c r="A41" s="46" t="s">
        <v>116</v>
      </c>
      <c r="B41" s="47"/>
      <c r="C41" s="47"/>
      <c r="D41" s="47"/>
    </row>
    <row r="42" spans="1:4" x14ac:dyDescent="0.25">
      <c r="A42" s="33" t="s">
        <v>117</v>
      </c>
      <c r="B42" s="26" t="s">
        <v>118</v>
      </c>
      <c r="C42" s="52">
        <v>4</v>
      </c>
      <c r="D42" s="50" t="s">
        <v>101</v>
      </c>
    </row>
    <row r="43" spans="1:4" x14ac:dyDescent="0.25">
      <c r="A43" s="33" t="s">
        <v>119</v>
      </c>
      <c r="B43" s="26" t="s">
        <v>120</v>
      </c>
      <c r="C43" s="52">
        <v>1.2</v>
      </c>
      <c r="D43" s="50" t="s">
        <v>101</v>
      </c>
    </row>
    <row r="44" spans="1:4" x14ac:dyDescent="0.25">
      <c r="A44" s="33" t="s">
        <v>121</v>
      </c>
      <c r="B44" s="26" t="s">
        <v>100</v>
      </c>
      <c r="C44" s="49">
        <v>0.05</v>
      </c>
      <c r="D44" s="50" t="s">
        <v>101</v>
      </c>
    </row>
    <row r="45" spans="1:4" x14ac:dyDescent="0.25">
      <c r="A45" s="33" t="s">
        <v>122</v>
      </c>
      <c r="B45" s="26" t="s">
        <v>123</v>
      </c>
      <c r="C45" s="49">
        <v>0.003</v>
      </c>
      <c r="D45" s="50" t="s">
        <v>101</v>
      </c>
    </row>
    <row r="46" spans="1:4" x14ac:dyDescent="0.25">
      <c r="A46" s="33" t="s">
        <v>124</v>
      </c>
      <c r="B46" s="26" t="s">
        <v>125</v>
      </c>
      <c r="C46" s="53">
        <v>0</v>
      </c>
      <c r="D46" s="3" t="s">
        <v>126</v>
      </c>
    </row>
    <row r="47" spans="1:4" x14ac:dyDescent="0.25">
      <c r="A47" s="46" t="s">
        <v>127</v>
      </c>
      <c r="B47" s="47"/>
      <c r="C47" s="47"/>
      <c r="D47" s="47"/>
    </row>
    <row r="48" spans="1:4" x14ac:dyDescent="0.25">
      <c r="A48" s="33" t="s">
        <v>128</v>
      </c>
      <c r="B48" s="26" t="s">
        <v>129</v>
      </c>
      <c r="C48" s="54" t="s">
        <v>130</v>
      </c>
      <c r="D48" s="50" t="s">
        <v>101</v>
      </c>
    </row>
    <row r="49" spans="1:4" x14ac:dyDescent="0.25">
      <c r="A49" s="33" t="s">
        <v>131</v>
      </c>
      <c r="B49" s="26" t="s">
        <v>79</v>
      </c>
      <c r="C49" s="48">
        <v>0</v>
      </c>
      <c r="D49" s="3" t="s">
        <v>132</v>
      </c>
    </row>
    <row r="50" spans="1:4" x14ac:dyDescent="0.25">
      <c r="A50" s="33" t="s">
        <v>133</v>
      </c>
      <c r="B50" s="26" t="s">
        <v>134</v>
      </c>
      <c r="C50" s="49">
        <v>0</v>
      </c>
      <c r="D50" s="3" t="s">
        <v>45</v>
      </c>
    </row>
    <row r="51" spans="1:4" x14ac:dyDescent="0.25">
      <c r="A51" s="33" t="s">
        <v>135</v>
      </c>
      <c r="B51" s="26" t="s">
        <v>136</v>
      </c>
      <c r="C51" s="48">
        <v>0</v>
      </c>
      <c r="D51" s="3" t="s">
        <v>126</v>
      </c>
    </row>
    <row r="52" spans="1:4" x14ac:dyDescent="0.25">
      <c r="A52" s="33" t="s">
        <v>137</v>
      </c>
      <c r="B52" s="26" t="s">
        <v>138</v>
      </c>
      <c r="C52" s="55">
        <v>1.5</v>
      </c>
      <c r="D52" s="3" t="s">
        <v>45</v>
      </c>
    </row>
    <row r="53" spans="1:4" x14ac:dyDescent="0.25">
      <c r="A53" s="46" t="s">
        <v>139</v>
      </c>
      <c r="B53" s="47"/>
      <c r="C53" s="47"/>
      <c r="D53" s="47"/>
    </row>
    <row r="54" spans="1:4" x14ac:dyDescent="0.25">
      <c r="A54" s="33" t="s">
        <v>140</v>
      </c>
      <c r="B54" s="26" t="s">
        <v>141</v>
      </c>
      <c r="C54" s="54" t="s">
        <v>142</v>
      </c>
      <c r="D54" s="50" t="s">
        <v>101</v>
      </c>
    </row>
    <row r="55" spans="1:4" x14ac:dyDescent="0.25">
      <c r="A55" s="33" t="s">
        <v>143</v>
      </c>
      <c r="B55" s="26" t="s">
        <v>100</v>
      </c>
      <c r="C55" s="49">
        <v>0.02</v>
      </c>
      <c r="D55" s="50" t="s">
        <v>101</v>
      </c>
    </row>
    <row r="56" spans="1:4" x14ac:dyDescent="0.25">
      <c r="A56" s="33" t="s">
        <v>144</v>
      </c>
      <c r="B56" s="26" t="s">
        <v>89</v>
      </c>
      <c r="C56" s="56">
        <v>12</v>
      </c>
      <c r="D56" s="3" t="s">
        <v>145</v>
      </c>
    </row>
    <row r="57" spans="1:4" x14ac:dyDescent="0.25">
      <c r="A57" s="33" t="s">
        <v>146</v>
      </c>
      <c r="B57" s="26" t="s">
        <v>100</v>
      </c>
      <c r="C57" s="49">
        <v>0</v>
      </c>
      <c r="D57" s="3" t="s">
        <v>126</v>
      </c>
    </row>
    <row r="58" spans="1:4" x14ac:dyDescent="0.25">
      <c r="A58" s="46" t="s">
        <v>41</v>
      </c>
      <c r="B58" s="47"/>
      <c r="C58" s="47"/>
      <c r="D58" s="47"/>
    </row>
    <row r="59" spans="1:4" x14ac:dyDescent="0.25">
      <c r="A59" s="33" t="s">
        <v>147</v>
      </c>
      <c r="B59" s="26" t="s">
        <v>148</v>
      </c>
      <c r="C59" s="49">
        <v>0.7</v>
      </c>
      <c r="D59" s="50" t="s">
        <v>101</v>
      </c>
    </row>
    <row r="60" spans="1:4" x14ac:dyDescent="0.25">
      <c r="A60" s="33" t="s">
        <v>149</v>
      </c>
      <c r="B60" s="26" t="s">
        <v>100</v>
      </c>
      <c r="C60" s="49">
        <v>0.09</v>
      </c>
      <c r="D60" s="50" t="s">
        <v>101</v>
      </c>
    </row>
    <row r="61" spans="1:4" x14ac:dyDescent="0.25">
      <c r="A61" s="33" t="s">
        <v>150</v>
      </c>
      <c r="B61" s="26" t="s">
        <v>151</v>
      </c>
      <c r="C61" s="56">
        <v>15</v>
      </c>
      <c r="D61" s="50" t="s">
        <v>101</v>
      </c>
    </row>
    <row r="62" spans="1:4" x14ac:dyDescent="0.25">
      <c r="A62" s="33" t="s">
        <v>152</v>
      </c>
      <c r="B62" s="26" t="s">
        <v>153</v>
      </c>
      <c r="C62" s="54" t="s">
        <v>154</v>
      </c>
      <c r="D62" s="3" t="s">
        <v>126</v>
      </c>
    </row>
    <row r="63" spans="1:4" x14ac:dyDescent="0.25">
      <c r="A63" s="33" t="s">
        <v>155</v>
      </c>
      <c r="B63" s="26" t="s">
        <v>80</v>
      </c>
      <c r="C63" s="49">
        <v>0.14</v>
      </c>
      <c r="D63" s="50" t="s">
        <v>101</v>
      </c>
    </row>
    <row r="64" spans="1:4" x14ac:dyDescent="0.25">
      <c r="A64" s="33" t="s">
        <v>156</v>
      </c>
      <c r="B64" s="26" t="s">
        <v>80</v>
      </c>
      <c r="C64" s="49">
        <v>0.1</v>
      </c>
      <c r="D64" s="3" t="s">
        <v>126</v>
      </c>
    </row>
    <row r="65" spans="1:4" x14ac:dyDescent="0.25">
      <c r="A65" s="46" t="s">
        <v>157</v>
      </c>
      <c r="B65" s="47"/>
      <c r="C65" s="47"/>
      <c r="D65" s="47"/>
    </row>
    <row r="66" spans="1:4" x14ac:dyDescent="0.25">
      <c r="A66" s="33" t="s">
        <v>158</v>
      </c>
      <c r="B66" s="26" t="s">
        <v>80</v>
      </c>
      <c r="C66" s="49">
        <v>0.2517</v>
      </c>
      <c r="D66" s="50" t="s">
        <v>101</v>
      </c>
    </row>
    <row r="67" spans="1:4" x14ac:dyDescent="0.25">
      <c r="A67" s="33" t="s">
        <v>159</v>
      </c>
      <c r="B67" s="26" t="s">
        <v>160</v>
      </c>
      <c r="C67" s="54" t="s">
        <v>161</v>
      </c>
      <c r="D67" s="3" t="s">
        <v>126</v>
      </c>
    </row>
    <row r="68" spans="1:4" x14ac:dyDescent="0.25">
      <c r="A68" s="33" t="s">
        <v>162</v>
      </c>
      <c r="B68" s="26" t="s">
        <v>100</v>
      </c>
      <c r="C68" s="49">
        <v>0.4</v>
      </c>
      <c r="D68" s="3" t="s">
        <v>126</v>
      </c>
    </row>
    <row r="69" spans="1:4" x14ac:dyDescent="0.25">
      <c r="A69" s="33" t="s">
        <v>163</v>
      </c>
      <c r="B69" s="26" t="s">
        <v>151</v>
      </c>
      <c r="C69" s="56">
        <v>25</v>
      </c>
      <c r="D69" s="3" t="s">
        <v>126</v>
      </c>
    </row>
    <row r="70" spans="1:4" x14ac:dyDescent="0.25">
      <c r="A70" s="33" t="s">
        <v>164</v>
      </c>
      <c r="B70" s="26" t="s">
        <v>148</v>
      </c>
      <c r="C70" s="49">
        <v>0.1</v>
      </c>
      <c r="D70" s="3" t="s">
        <v>126</v>
      </c>
    </row>
    <row r="71" spans="1:4" x14ac:dyDescent="0.25">
      <c r="A71" s="33" t="s">
        <v>165</v>
      </c>
      <c r="B71" s="26" t="s">
        <v>166</v>
      </c>
      <c r="C71" s="56">
        <v>45</v>
      </c>
      <c r="D71" s="3" t="s">
        <v>126</v>
      </c>
    </row>
    <row r="73" ht="20" customHeight="1" spans="1:29" x14ac:dyDescent="0.25">
      <c r="A73" s="21" t="s">
        <v>167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3" x14ac:dyDescent="0.25">
      <c r="A74" s="33" t="s">
        <v>37</v>
      </c>
      <c r="B74" s="26" t="s">
        <v>83</v>
      </c>
      <c r="C74" s="37">
        <f>$C$32*$C$36</f>
        <v>3643.283858353668</v>
      </c>
    </row>
    <row r="75" spans="1:3" x14ac:dyDescent="0.25">
      <c r="A75" s="33" t="s">
        <v>106</v>
      </c>
      <c r="B75" s="26" t="s">
        <v>83</v>
      </c>
      <c r="C75" s="37">
        <f>$C$34*$C$37</f>
        <v>3568.022736656424</v>
      </c>
    </row>
    <row r="76" spans="1:3" x14ac:dyDescent="0.25">
      <c r="A76" s="33" t="s">
        <v>111</v>
      </c>
      <c r="B76" s="26" t="s">
        <v>83</v>
      </c>
      <c r="C76" s="37">
        <f>$C$33*$C$38</f>
        <v>0</v>
      </c>
    </row>
    <row r="77" spans="1:3" x14ac:dyDescent="0.25">
      <c r="A77" s="33" t="s">
        <v>113</v>
      </c>
      <c r="B77" s="26" t="s">
        <v>83</v>
      </c>
      <c r="C77" s="37">
        <f>$C$39</f>
        <v>0</v>
      </c>
    </row>
    <row r="78" spans="1:3" x14ac:dyDescent="0.25">
      <c r="A78" s="25" t="s">
        <v>168</v>
      </c>
      <c r="B78" s="26" t="s">
        <v>83</v>
      </c>
      <c r="C78" s="57">
        <f>SUM($C$74:$C$77)</f>
        <v>7211.306595010092</v>
      </c>
    </row>
    <row r="79" spans="1:3" x14ac:dyDescent="0.25">
      <c r="A79" s="33" t="s">
        <v>114</v>
      </c>
      <c r="B79" s="26" t="s">
        <v>83</v>
      </c>
      <c r="C79" s="37">
        <f>$C$78*$C$40</f>
        <v>360.5653297505046</v>
      </c>
    </row>
    <row r="80" spans="1:3" x14ac:dyDescent="0.25">
      <c r="A80" s="25" t="s">
        <v>169</v>
      </c>
      <c r="B80" s="26" t="s">
        <v>83</v>
      </c>
      <c r="C80" s="57">
        <f>$C$78+$C$79</f>
        <v>7571.871924760597</v>
      </c>
    </row>
    <row r="81" spans="1:3" x14ac:dyDescent="0.25">
      <c r="A81" s="33" t="s">
        <v>91</v>
      </c>
      <c r="B81" s="26" t="s">
        <v>83</v>
      </c>
      <c r="C81" s="37">
        <f>$C$80*$C$59</f>
        <v>5300.310347332417</v>
      </c>
    </row>
    <row r="82" spans="1:3" x14ac:dyDescent="0.25">
      <c r="A82" s="33" t="s">
        <v>92</v>
      </c>
      <c r="B82" s="26" t="s">
        <v>83</v>
      </c>
      <c r="C82" s="37">
        <f>$C$80-$C$81</f>
        <v>2271.5615774281796</v>
      </c>
    </row>
    <row r="83" spans="1:3" x14ac:dyDescent="0.25">
      <c r="A83" s="33" t="s">
        <v>170</v>
      </c>
      <c r="B83" s="26" t="s">
        <v>151</v>
      </c>
      <c r="C83" s="44">
        <f>COUNT(E5:AC5)</f>
        <v>25</v>
      </c>
    </row>
    <row r="84" spans="1:3" x14ac:dyDescent="0.25">
      <c r="A84" s="33" t="s">
        <v>171</v>
      </c>
      <c r="B84" s="26" t="s">
        <v>151</v>
      </c>
      <c r="C84" s="44">
        <f>MIN($C$83,MAX(1,ROUND($C$61,0)))</f>
        <v>15</v>
      </c>
    </row>
    <row r="85" spans="1:3" x14ac:dyDescent="0.25">
      <c r="A85" s="33" t="s">
        <v>172</v>
      </c>
      <c r="B85" s="26" t="s">
        <v>125</v>
      </c>
      <c r="C85" s="37">
        <f>IF($C$60&lt;=0,$C$81/$C$84,$C$81*$C$60*(1+$C$60)^$C$84/((1+$C$60)^$C$84-1))</f>
        <v>657.5505793899363</v>
      </c>
    </row>
    <row r="86" spans="1:3" x14ac:dyDescent="0.25">
      <c r="A86" s="33" t="s">
        <v>173</v>
      </c>
      <c r="B86" s="26" t="s">
        <v>125</v>
      </c>
      <c r="C86" s="37">
        <f>$C$81/$C$84</f>
        <v>353.3540231554945</v>
      </c>
    </row>
    <row r="87" spans="1:3" x14ac:dyDescent="0.25">
      <c r="A87" s="33" t="s">
        <v>174</v>
      </c>
      <c r="B87" s="26" t="s">
        <v>83</v>
      </c>
      <c r="C87" s="37">
        <f>$C$80*(1-$C$70)</f>
        <v>6814.684732284537</v>
      </c>
    </row>
    <row r="88" spans="1:3" x14ac:dyDescent="0.25">
      <c r="A88" s="33" t="s">
        <v>175</v>
      </c>
      <c r="B88" s="26" t="s">
        <v>125</v>
      </c>
      <c r="C88" s="37">
        <f>$C$87/$C$69</f>
        <v>272.5873892913815</v>
      </c>
    </row>
    <row r="90" ht="20" customHeight="1" spans="1:29" x14ac:dyDescent="0.25">
      <c r="A90" s="21" t="s">
        <v>176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x14ac:dyDescent="0.25">
      <c r="A91" s="33" t="s">
        <v>177</v>
      </c>
      <c r="B91" s="26" t="s">
        <v>178</v>
      </c>
      <c r="C91" s="58">
        <f>SUM(E91:AC91)</f>
        <v>43800</v>
      </c>
      <c r="E91" s="51">
        <v>1752</v>
      </c>
      <c r="F91" s="51">
        <v>1752</v>
      </c>
      <c r="G91" s="51">
        <v>1752</v>
      </c>
      <c r="H91" s="51">
        <v>1752</v>
      </c>
      <c r="I91" s="51">
        <v>1752</v>
      </c>
      <c r="J91" s="51">
        <v>1752</v>
      </c>
      <c r="K91" s="51">
        <v>1752</v>
      </c>
      <c r="L91" s="51">
        <v>1752</v>
      </c>
      <c r="M91" s="51">
        <v>1752</v>
      </c>
      <c r="N91" s="51">
        <v>1752</v>
      </c>
      <c r="O91" s="51">
        <v>1752</v>
      </c>
      <c r="P91" s="51">
        <v>1752</v>
      </c>
      <c r="Q91" s="51">
        <v>1752</v>
      </c>
      <c r="R91" s="51">
        <v>1752</v>
      </c>
      <c r="S91" s="51">
        <v>1752</v>
      </c>
      <c r="T91" s="51">
        <v>1752</v>
      </c>
      <c r="U91" s="51">
        <v>1752</v>
      </c>
      <c r="V91" s="51">
        <v>1752</v>
      </c>
      <c r="W91" s="51">
        <v>1752</v>
      </c>
      <c r="X91" s="51">
        <v>1752</v>
      </c>
      <c r="Y91" s="51">
        <v>1752</v>
      </c>
      <c r="Z91" s="51">
        <v>1752</v>
      </c>
      <c r="AA91" s="51">
        <v>1752</v>
      </c>
      <c r="AB91" s="51">
        <v>1752</v>
      </c>
      <c r="AC91" s="51">
        <v>1752</v>
      </c>
    </row>
    <row r="92" spans="1:29" x14ac:dyDescent="0.25">
      <c r="A92" s="33" t="s">
        <v>179</v>
      </c>
      <c r="B92" s="26" t="s">
        <v>178</v>
      </c>
      <c r="C92" s="58">
        <f>SUM(E92:AC92)</f>
        <v>38865.85349833749</v>
      </c>
      <c r="E92" s="51">
        <v>1581.5235191904442</v>
      </c>
      <c r="F92" s="51">
        <v>1579.2827375856987</v>
      </c>
      <c r="G92" s="51">
        <v>1577.0419559809534</v>
      </c>
      <c r="H92" s="51">
        <v>1574.8011743762079</v>
      </c>
      <c r="I92" s="51">
        <v>1572.5603927714626</v>
      </c>
      <c r="J92" s="51">
        <v>1570.319611166717</v>
      </c>
      <c r="K92" s="51">
        <v>1568.0788295619716</v>
      </c>
      <c r="L92" s="51">
        <v>1565.838047957226</v>
      </c>
      <c r="M92" s="51">
        <v>1563.597266352481</v>
      </c>
      <c r="N92" s="51">
        <v>1561.3564847477355</v>
      </c>
      <c r="O92" s="51">
        <v>1559.1157031429898</v>
      </c>
      <c r="P92" s="51">
        <v>1556.8749215382447</v>
      </c>
      <c r="Q92" s="51">
        <v>1554.6341399334992</v>
      </c>
      <c r="R92" s="51">
        <v>1552.393358328754</v>
      </c>
      <c r="S92" s="51">
        <v>1550.1525767240084</v>
      </c>
      <c r="T92" s="51">
        <v>1547.911795119263</v>
      </c>
      <c r="U92" s="51">
        <v>1545.6710135145177</v>
      </c>
      <c r="V92" s="51">
        <v>1543.4302319097721</v>
      </c>
      <c r="W92" s="51">
        <v>1541.1894503050269</v>
      </c>
      <c r="X92" s="51">
        <v>1538.9486687002816</v>
      </c>
      <c r="Y92" s="51">
        <v>1536.707887095536</v>
      </c>
      <c r="Z92" s="51">
        <v>1534.4671054907903</v>
      </c>
      <c r="AA92" s="51">
        <v>1532.2263238860453</v>
      </c>
      <c r="AB92" s="51">
        <v>1529.9855422812996</v>
      </c>
      <c r="AC92" s="51">
        <v>1527.7447606765545</v>
      </c>
    </row>
    <row r="93" spans="1:29" x14ac:dyDescent="0.25">
      <c r="A93" s="33" t="s">
        <v>180</v>
      </c>
      <c r="B93" s="26" t="s">
        <v>80</v>
      </c>
      <c r="E93" s="32">
        <f>IF(E91&gt;0,E92/E91,1)</f>
        <v>0.9026960725972855</v>
      </c>
      <c r="F93" s="32">
        <f>IF(F91&gt;0,F92/F91,1)</f>
        <v>0.90141708766307</v>
      </c>
      <c r="G93" s="32">
        <f>IF(G91&gt;0,G92/G91,1)</f>
        <v>0.9001381027288546</v>
      </c>
      <c r="H93" s="32">
        <f>IF(H91&gt;0,H92/H91,1)</f>
        <v>0.8988591177946392</v>
      </c>
      <c r="I93" s="32">
        <f>IF(I91&gt;0,I92/I91,1)</f>
        <v>0.8975801328604238</v>
      </c>
      <c r="J93" s="32">
        <f>IF(J91&gt;0,J92/J91,1)</f>
        <v>0.8963011479262084</v>
      </c>
      <c r="K93" s="32">
        <f>IF(K91&gt;0,K92/K91,1)</f>
        <v>0.8950221629919929</v>
      </c>
      <c r="L93" s="32">
        <f>IF(L91&gt;0,L92/L91,1)</f>
        <v>0.8937431780577775</v>
      </c>
      <c r="M93" s="32">
        <f>IF(M91&gt;0,M92/M91,1)</f>
        <v>0.8924641931235622</v>
      </c>
      <c r="N93" s="32">
        <f>IF(N91&gt;0,N92/N91,1)</f>
        <v>0.8911852081893468</v>
      </c>
      <c r="O93" s="32">
        <f>IF(O91&gt;0,O92/O91,1)</f>
        <v>0.8899062232551311</v>
      </c>
      <c r="P93" s="32">
        <f>IF(P91&gt;0,P92/P91,1)</f>
        <v>0.888627238320916</v>
      </c>
      <c r="Q93" s="32">
        <f>IF(Q91&gt;0,Q92/Q91,1)</f>
        <v>0.8873482533867004</v>
      </c>
      <c r="R93" s="32">
        <f>IF(R91&gt;0,R92/R91,1)</f>
        <v>0.8860692684524851</v>
      </c>
      <c r="S93" s="32">
        <f>IF(S91&gt;0,S92/S91,1)</f>
        <v>0.8847902835182696</v>
      </c>
      <c r="T93" s="32">
        <f>IF(T91&gt;0,T92/T91,1)</f>
        <v>0.8835112985840542</v>
      </c>
      <c r="U93" s="32">
        <f>IF(U91&gt;0,U92/U91,1)</f>
        <v>0.8822323136498389</v>
      </c>
      <c r="V93" s="32">
        <f>IF(V91&gt;0,V92/V91,1)</f>
        <v>0.8809533287156234</v>
      </c>
      <c r="W93" s="32">
        <f>IF(W91&gt;0,W92/W91,1)</f>
        <v>0.8796743437814081</v>
      </c>
      <c r="X93" s="32">
        <f>IF(X91&gt;0,X92/X91,1)</f>
        <v>0.8783953588471927</v>
      </c>
      <c r="Y93" s="32">
        <f>IF(Y91&gt;0,Y92/Y91,1)</f>
        <v>0.8771163739129773</v>
      </c>
      <c r="Z93" s="32">
        <f>IF(Z91&gt;0,Z92/Z91,1)</f>
        <v>0.8758373889787616</v>
      </c>
      <c r="AA93" s="32">
        <f>IF(AA91&gt;0,AA92/AA91,1)</f>
        <v>0.8745584040445464</v>
      </c>
      <c r="AB93" s="32">
        <f>IF(AB91&gt;0,AB92/AB91,1)</f>
        <v>0.8732794191103308</v>
      </c>
      <c r="AC93" s="32">
        <f>IF(AC91&gt;0,AC92/AC91,1)</f>
        <v>0.8720004341761156</v>
      </c>
    </row>
    <row r="94" spans="1:29" x14ac:dyDescent="0.25">
      <c r="A94" s="33" t="s">
        <v>181</v>
      </c>
      <c r="B94" s="26" t="s">
        <v>178</v>
      </c>
      <c r="C94" s="58">
        <f>SUM(E94:AC94)</f>
        <v>0</v>
      </c>
      <c r="E94" s="59">
        <f>MAX(0,$C$50*E91-E92)</f>
        <v>0</v>
      </c>
      <c r="F94" s="59">
        <f>MAX(0,$C$50*F91-F92)</f>
        <v>0</v>
      </c>
      <c r="G94" s="59">
        <f>MAX(0,$C$50*G91-G92)</f>
        <v>0</v>
      </c>
      <c r="H94" s="59">
        <f>MAX(0,$C$50*H91-H92)</f>
        <v>0</v>
      </c>
      <c r="I94" s="59">
        <f>MAX(0,$C$50*I91-I92)</f>
        <v>0</v>
      </c>
      <c r="J94" s="59">
        <f>MAX(0,$C$50*J91-J92)</f>
        <v>0</v>
      </c>
      <c r="K94" s="59">
        <f>MAX(0,$C$50*K91-K92)</f>
        <v>0</v>
      </c>
      <c r="L94" s="59">
        <f>MAX(0,$C$50*L91-L92)</f>
        <v>0</v>
      </c>
      <c r="M94" s="59">
        <f>MAX(0,$C$50*M91-M92)</f>
        <v>0</v>
      </c>
      <c r="N94" s="59">
        <f>MAX(0,$C$50*N91-N92)</f>
        <v>0</v>
      </c>
      <c r="O94" s="59">
        <f>MAX(0,$C$50*O91-O92)</f>
        <v>0</v>
      </c>
      <c r="P94" s="59">
        <f>MAX(0,$C$50*P91-P92)</f>
        <v>0</v>
      </c>
      <c r="Q94" s="59">
        <f>MAX(0,$C$50*Q91-Q92)</f>
        <v>0</v>
      </c>
      <c r="R94" s="59">
        <f>MAX(0,$C$50*R91-R92)</f>
        <v>0</v>
      </c>
      <c r="S94" s="59">
        <f>MAX(0,$C$50*S91-S92)</f>
        <v>0</v>
      </c>
      <c r="T94" s="59">
        <f>MAX(0,$C$50*T91-T92)</f>
        <v>0</v>
      </c>
      <c r="U94" s="59">
        <f>MAX(0,$C$50*U91-U92)</f>
        <v>0</v>
      </c>
      <c r="V94" s="59">
        <f>MAX(0,$C$50*V91-V92)</f>
        <v>0</v>
      </c>
      <c r="W94" s="59">
        <f>MAX(0,$C$50*W91-W92)</f>
        <v>0</v>
      </c>
      <c r="X94" s="59">
        <f>MAX(0,$C$50*X91-X92)</f>
        <v>0</v>
      </c>
      <c r="Y94" s="59">
        <f>MAX(0,$C$50*Y91-Y92)</f>
        <v>0</v>
      </c>
      <c r="Z94" s="59">
        <f>MAX(0,$C$50*Z91-Z92)</f>
        <v>0</v>
      </c>
      <c r="AA94" s="59">
        <f>MAX(0,$C$50*AA91-AA92)</f>
        <v>0</v>
      </c>
      <c r="AB94" s="59">
        <f>MAX(0,$C$50*AB91-AB92)</f>
        <v>0</v>
      </c>
      <c r="AC94" s="59">
        <f>MAX(0,$C$50*AC91-AC92)</f>
        <v>0</v>
      </c>
    </row>
    <row r="95" spans="1:29" x14ac:dyDescent="0.25">
      <c r="A95" s="33" t="s">
        <v>182</v>
      </c>
      <c r="B95" s="26" t="s">
        <v>178</v>
      </c>
      <c r="C95" s="58">
        <f>SUM(E95:AC95)</f>
        <v>1603.0852139195001</v>
      </c>
      <c r="E95" s="51">
        <v>51.92833597204506</v>
      </c>
      <c r="F95" s="51">
        <v>52.94459202077297</v>
      </c>
      <c r="G95" s="51">
        <v>53.960848069500884</v>
      </c>
      <c r="H95" s="51">
        <v>54.977104118228795</v>
      </c>
      <c r="I95" s="51">
        <v>55.993360166956705</v>
      </c>
      <c r="J95" s="51">
        <v>57.009616215684616</v>
      </c>
      <c r="K95" s="51">
        <v>58.02587226441253</v>
      </c>
      <c r="L95" s="51">
        <v>59.042128313140445</v>
      </c>
      <c r="M95" s="51">
        <v>60.05838436186836</v>
      </c>
      <c r="N95" s="51">
        <v>61.07464041059627</v>
      </c>
      <c r="O95" s="51">
        <v>62.09089645932418</v>
      </c>
      <c r="P95" s="51">
        <v>63.107152508052096</v>
      </c>
      <c r="Q95" s="51">
        <v>64.12340855678</v>
      </c>
      <c r="R95" s="51">
        <v>65.13966460550792</v>
      </c>
      <c r="S95" s="51">
        <v>66.15592065423583</v>
      </c>
      <c r="T95" s="51">
        <v>67.17217670296374</v>
      </c>
      <c r="U95" s="51">
        <v>68.18843275169165</v>
      </c>
      <c r="V95" s="51">
        <v>69.20468880041956</v>
      </c>
      <c r="W95" s="51">
        <v>70.22094484914747</v>
      </c>
      <c r="X95" s="51">
        <v>71.23720089787538</v>
      </c>
      <c r="Y95" s="51">
        <v>72.2534569466033</v>
      </c>
      <c r="Z95" s="51">
        <v>73.2697129953312</v>
      </c>
      <c r="AA95" s="51">
        <v>74.28596904405912</v>
      </c>
      <c r="AB95" s="51">
        <v>75.30222509278704</v>
      </c>
      <c r="AC95" s="51">
        <v>76.31848114151495</v>
      </c>
    </row>
    <row r="96" spans="1:29" x14ac:dyDescent="0.25">
      <c r="A96" s="33" t="s">
        <v>183</v>
      </c>
      <c r="B96" s="26" t="s">
        <v>178</v>
      </c>
      <c r="C96" s="58">
        <f>SUM(E96:AC96)</f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</row>
    <row r="97" spans="1:29" x14ac:dyDescent="0.25">
      <c r="A97" s="33" t="s">
        <v>131</v>
      </c>
      <c r="B97" s="26" t="s">
        <v>79</v>
      </c>
      <c r="E97" s="29">
        <f>$C$49</f>
        <v>0</v>
      </c>
      <c r="F97" s="29">
        <f>$C$49</f>
        <v>0</v>
      </c>
      <c r="G97" s="29">
        <f>$C$49</f>
        <v>0</v>
      </c>
      <c r="H97" s="29">
        <f>$C$49</f>
        <v>0</v>
      </c>
      <c r="I97" s="29">
        <f>$C$49</f>
        <v>0</v>
      </c>
      <c r="J97" s="29">
        <f>$C$49</f>
        <v>0</v>
      </c>
      <c r="K97" s="29">
        <f>$C$49</f>
        <v>0</v>
      </c>
      <c r="L97" s="29">
        <f>$C$49</f>
        <v>0</v>
      </c>
      <c r="M97" s="29">
        <f>$C$49</f>
        <v>0</v>
      </c>
      <c r="N97" s="29">
        <f>$C$49</f>
        <v>0</v>
      </c>
      <c r="O97" s="29">
        <f>$C$49</f>
        <v>0</v>
      </c>
      <c r="P97" s="29">
        <f>$C$49</f>
        <v>0</v>
      </c>
      <c r="Q97" s="29">
        <f>$C$49</f>
        <v>0</v>
      </c>
      <c r="R97" s="29">
        <f>$C$49</f>
        <v>0</v>
      </c>
      <c r="S97" s="29">
        <f>$C$49</f>
        <v>0</v>
      </c>
      <c r="T97" s="29">
        <f>$C$49</f>
        <v>0</v>
      </c>
      <c r="U97" s="29">
        <f>$C$49</f>
        <v>0</v>
      </c>
      <c r="V97" s="29">
        <f>$C$49</f>
        <v>0</v>
      </c>
      <c r="W97" s="29">
        <f>$C$49</f>
        <v>0</v>
      </c>
      <c r="X97" s="29">
        <f>$C$49</f>
        <v>0</v>
      </c>
      <c r="Y97" s="29">
        <f>$C$49</f>
        <v>0</v>
      </c>
      <c r="Z97" s="29">
        <f>$C$49</f>
        <v>0</v>
      </c>
      <c r="AA97" s="29">
        <f>$C$49</f>
        <v>0</v>
      </c>
      <c r="AB97" s="29">
        <f>$C$49</f>
        <v>0</v>
      </c>
      <c r="AC97" s="29">
        <f>$C$49</f>
        <v>0</v>
      </c>
    </row>
    <row r="99" ht="20" customHeight="1" spans="1:29" x14ac:dyDescent="0.25">
      <c r="A99" s="21" t="s">
        <v>184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x14ac:dyDescent="0.25">
      <c r="A100" s="33" t="s">
        <v>97</v>
      </c>
      <c r="B100" s="26" t="s">
        <v>85</v>
      </c>
      <c r="E100" s="60">
        <f>(1+$C$30)^(E$5-1)</f>
        <v>1</v>
      </c>
      <c r="F100" s="60">
        <f>(1+$C$30)^(F$5-1)</f>
        <v>1</v>
      </c>
      <c r="G100" s="60">
        <f>(1+$C$30)^(G$5-1)</f>
        <v>1</v>
      </c>
      <c r="H100" s="60">
        <f>(1+$C$30)^(H$5-1)</f>
        <v>1</v>
      </c>
      <c r="I100" s="60">
        <f>(1+$C$30)^(I$5-1)</f>
        <v>1</v>
      </c>
      <c r="J100" s="60">
        <f>(1+$C$30)^(J$5-1)</f>
        <v>1</v>
      </c>
      <c r="K100" s="60">
        <f>(1+$C$30)^(K$5-1)</f>
        <v>1</v>
      </c>
      <c r="L100" s="60">
        <f>(1+$C$30)^(L$5-1)</f>
        <v>1</v>
      </c>
      <c r="M100" s="60">
        <f>(1+$C$30)^(M$5-1)</f>
        <v>1</v>
      </c>
      <c r="N100" s="60">
        <f>(1+$C$30)^(N$5-1)</f>
        <v>1</v>
      </c>
      <c r="O100" s="60">
        <f>(1+$C$30)^(O$5-1)</f>
        <v>1</v>
      </c>
      <c r="P100" s="60">
        <f>(1+$C$30)^(P$5-1)</f>
        <v>1</v>
      </c>
      <c r="Q100" s="60">
        <f>(1+$C$30)^(Q$5-1)</f>
        <v>1</v>
      </c>
      <c r="R100" s="60">
        <f>(1+$C$30)^(R$5-1)</f>
        <v>1</v>
      </c>
      <c r="S100" s="60">
        <f>(1+$C$30)^(S$5-1)</f>
        <v>1</v>
      </c>
      <c r="T100" s="60">
        <f>(1+$C$30)^(T$5-1)</f>
        <v>1</v>
      </c>
      <c r="U100" s="60">
        <f>(1+$C$30)^(U$5-1)</f>
        <v>1</v>
      </c>
      <c r="V100" s="60">
        <f>(1+$C$30)^(V$5-1)</f>
        <v>1</v>
      </c>
      <c r="W100" s="60">
        <f>(1+$C$30)^(W$5-1)</f>
        <v>1</v>
      </c>
      <c r="X100" s="60">
        <f>(1+$C$30)^(X$5-1)</f>
        <v>1</v>
      </c>
      <c r="Y100" s="60">
        <f>(1+$C$30)^(Y$5-1)</f>
        <v>1</v>
      </c>
      <c r="Z100" s="60">
        <f>(1+$C$30)^(Z$5-1)</f>
        <v>1</v>
      </c>
      <c r="AA100" s="60">
        <f>(1+$C$30)^(AA$5-1)</f>
        <v>1</v>
      </c>
      <c r="AB100" s="60">
        <f>(1+$C$30)^(AB$5-1)</f>
        <v>1</v>
      </c>
      <c r="AC100" s="60">
        <f>(1+$C$30)^(AC$5-1)</f>
        <v>1</v>
      </c>
    </row>
    <row r="101" spans="1:29" x14ac:dyDescent="0.25">
      <c r="A101" s="33" t="s">
        <v>185</v>
      </c>
      <c r="B101" s="26" t="s">
        <v>85</v>
      </c>
      <c r="E101" s="60">
        <f>(1+$C$44)^(E$5-1)</f>
        <v>1</v>
      </c>
      <c r="F101" s="60">
        <f>(1+$C$44)^(F$5-1)</f>
        <v>1.05</v>
      </c>
      <c r="G101" s="60">
        <f>(1+$C$44)^(G$5-1)</f>
        <v>1.1025</v>
      </c>
      <c r="H101" s="60">
        <f>(1+$C$44)^(H$5-1)</f>
        <v>1.1576250000000001</v>
      </c>
      <c r="I101" s="60">
        <f>(1+$C$44)^(I$5-1)</f>
        <v>1.2155062500000002</v>
      </c>
      <c r="J101" s="60">
        <f>(1+$C$44)^(J$5-1)</f>
        <v>1.2762815625000004</v>
      </c>
      <c r="K101" s="60">
        <f>(1+$C$44)^(K$5-1)</f>
        <v>1.3400956406250004</v>
      </c>
      <c r="L101" s="60">
        <f>(1+$C$44)^(L$5-1)</f>
        <v>1.4071004226562505</v>
      </c>
      <c r="M101" s="60">
        <f>(1+$C$44)^(M$5-1)</f>
        <v>1.477455443789063</v>
      </c>
      <c r="N101" s="60">
        <f>(1+$C$44)^(N$5-1)</f>
        <v>1.5513282159785162</v>
      </c>
      <c r="O101" s="60">
        <f>(1+$C$44)^(O$5-1)</f>
        <v>1.6288946267774422</v>
      </c>
      <c r="P101" s="60">
        <f>(1+$C$44)^(P$5-1)</f>
        <v>1.7103393581163142</v>
      </c>
      <c r="Q101" s="60">
        <f>(1+$C$44)^(Q$5-1)</f>
        <v>1.79585632602213</v>
      </c>
      <c r="R101" s="60">
        <f>(1+$C$44)^(R$5-1)</f>
        <v>1.8856491423232367</v>
      </c>
      <c r="S101" s="60">
        <f>(1+$C$44)^(S$5-1)</f>
        <v>1.9799315994393987</v>
      </c>
      <c r="T101" s="60">
        <f>(1+$C$44)^(T$5-1)</f>
        <v>2.0789281794113688</v>
      </c>
      <c r="U101" s="60">
        <f>(1+$C$44)^(U$5-1)</f>
        <v>2.182874588381937</v>
      </c>
      <c r="V101" s="60">
        <f>(1+$C$44)^(V$5-1)</f>
        <v>2.292018317801034</v>
      </c>
      <c r="W101" s="60">
        <f>(1+$C$44)^(W$5-1)</f>
        <v>2.406619233691086</v>
      </c>
      <c r="X101" s="60">
        <f>(1+$C$44)^(X$5-1)</f>
        <v>2.5269501953756404</v>
      </c>
      <c r="Y101" s="60">
        <f>(1+$C$44)^(Y$5-1)</f>
        <v>2.653297705144422</v>
      </c>
      <c r="Z101" s="60">
        <f>(1+$C$44)^(Z$5-1)</f>
        <v>2.7859625904016436</v>
      </c>
      <c r="AA101" s="60">
        <f>(1+$C$44)^(AA$5-1)</f>
        <v>2.925260719921726</v>
      </c>
      <c r="AB101" s="60">
        <f>(1+$C$44)^(AB$5-1)</f>
        <v>3.0715237559178123</v>
      </c>
      <c r="AC101" s="60">
        <f>(1+$C$44)^(AC$5-1)</f>
        <v>3.225099943713703</v>
      </c>
    </row>
    <row r="102" spans="1:29" x14ac:dyDescent="0.25">
      <c r="A102" s="33" t="s">
        <v>186</v>
      </c>
      <c r="B102" s="26" t="s">
        <v>85</v>
      </c>
      <c r="E102" s="60">
        <f>(1-$C$57)^(E$5-1)</f>
        <v>1</v>
      </c>
      <c r="F102" s="60">
        <f>(1-$C$57)^(F$5-1)</f>
        <v>1</v>
      </c>
      <c r="G102" s="60">
        <f>(1-$C$57)^(G$5-1)</f>
        <v>1</v>
      </c>
      <c r="H102" s="60">
        <f>(1-$C$57)^(H$5-1)</f>
        <v>1</v>
      </c>
      <c r="I102" s="60">
        <f>(1-$C$57)^(I$5-1)</f>
        <v>1</v>
      </c>
      <c r="J102" s="60">
        <f>(1-$C$57)^(J$5-1)</f>
        <v>1</v>
      </c>
      <c r="K102" s="60">
        <f>(1-$C$57)^(K$5-1)</f>
        <v>1</v>
      </c>
      <c r="L102" s="60">
        <f>(1-$C$57)^(L$5-1)</f>
        <v>1</v>
      </c>
      <c r="M102" s="60">
        <f>(1-$C$57)^(M$5-1)</f>
        <v>1</v>
      </c>
      <c r="N102" s="60">
        <f>(1-$C$57)^(N$5-1)</f>
        <v>1</v>
      </c>
      <c r="O102" s="60">
        <f>(1-$C$57)^(O$5-1)</f>
        <v>1</v>
      </c>
      <c r="P102" s="60">
        <f>(1-$C$57)^(P$5-1)</f>
        <v>1</v>
      </c>
      <c r="Q102" s="60">
        <f>(1-$C$57)^(Q$5-1)</f>
        <v>1</v>
      </c>
      <c r="R102" s="60">
        <f>(1-$C$57)^(R$5-1)</f>
        <v>1</v>
      </c>
      <c r="S102" s="60">
        <f>(1-$C$57)^(S$5-1)</f>
        <v>1</v>
      </c>
      <c r="T102" s="60">
        <f>(1-$C$57)^(T$5-1)</f>
        <v>1</v>
      </c>
      <c r="U102" s="60">
        <f>(1-$C$57)^(U$5-1)</f>
        <v>1</v>
      </c>
      <c r="V102" s="60">
        <f>(1-$C$57)^(V$5-1)</f>
        <v>1</v>
      </c>
      <c r="W102" s="60">
        <f>(1-$C$57)^(W$5-1)</f>
        <v>1</v>
      </c>
      <c r="X102" s="60">
        <f>(1-$C$57)^(X$5-1)</f>
        <v>1</v>
      </c>
      <c r="Y102" s="60">
        <f>(1-$C$57)^(Y$5-1)</f>
        <v>1</v>
      </c>
      <c r="Z102" s="60">
        <f>(1-$C$57)^(Z$5-1)</f>
        <v>1</v>
      </c>
      <c r="AA102" s="60">
        <f>(1-$C$57)^(AA$5-1)</f>
        <v>1</v>
      </c>
      <c r="AB102" s="60">
        <f>(1-$C$57)^(AB$5-1)</f>
        <v>1</v>
      </c>
      <c r="AC102" s="60">
        <f>(1-$C$57)^(AC$5-1)</f>
        <v>1</v>
      </c>
    </row>
    <row r="103" spans="1:29" x14ac:dyDescent="0.25">
      <c r="A103" s="33" t="s">
        <v>187</v>
      </c>
      <c r="B103" s="26" t="s">
        <v>85</v>
      </c>
      <c r="E103" s="60">
        <f>1/(1+$C$64)^E$5</f>
        <v>0.9090909090909091</v>
      </c>
      <c r="F103" s="60">
        <f>1/(1+$C$64)^F$5</f>
        <v>0.8264462809917354</v>
      </c>
      <c r="G103" s="60">
        <f>1/(1+$C$64)^G$5</f>
        <v>0.7513148009015775</v>
      </c>
      <c r="H103" s="60">
        <f>1/(1+$C$64)^H$5</f>
        <v>0.6830134553650704</v>
      </c>
      <c r="I103" s="60">
        <f>1/(1+$C$64)^I$5</f>
        <v>0.6209213230591549</v>
      </c>
      <c r="J103" s="60">
        <f>1/(1+$C$64)^J$5</f>
        <v>0.5644739300537772</v>
      </c>
      <c r="K103" s="60">
        <f>1/(1+$C$64)^K$5</f>
        <v>0.5131581182307065</v>
      </c>
      <c r="L103" s="60">
        <f>1/(1+$C$64)^L$5</f>
        <v>0.4665073802097331</v>
      </c>
      <c r="M103" s="60">
        <f>1/(1+$C$64)^M$5</f>
        <v>0.42409761837248455</v>
      </c>
      <c r="N103" s="60">
        <f>1/(1+$C$64)^N$5</f>
        <v>0.3855432894295314</v>
      </c>
      <c r="O103" s="60">
        <f>1/(1+$C$64)^O$5</f>
        <v>0.3504938994813922</v>
      </c>
      <c r="P103" s="60">
        <f>1/(1+$C$64)^P$5</f>
        <v>0.3186308177103565</v>
      </c>
      <c r="Q103" s="60">
        <f>1/(1+$C$64)^Q$5</f>
        <v>0.2896643797366877</v>
      </c>
      <c r="R103" s="60">
        <f>1/(1+$C$64)^R$5</f>
        <v>0.26333125430607973</v>
      </c>
      <c r="S103" s="60">
        <f>1/(1+$C$64)^S$5</f>
        <v>0.23939204936916333</v>
      </c>
      <c r="T103" s="60">
        <f>1/(1+$C$64)^T$5</f>
        <v>0.2176291357901485</v>
      </c>
      <c r="U103" s="60">
        <f>1/(1+$C$64)^U$5</f>
        <v>0.19784466890013497</v>
      </c>
      <c r="V103" s="60">
        <f>1/(1+$C$64)^V$5</f>
        <v>0.17985878990921358</v>
      </c>
      <c r="W103" s="60">
        <f>1/(1+$C$64)^W$5</f>
        <v>0.16350799082655781</v>
      </c>
      <c r="X103" s="60">
        <f>1/(1+$C$64)^X$5</f>
        <v>0.14864362802414344</v>
      </c>
      <c r="Y103" s="60">
        <f>1/(1+$C$64)^Y$5</f>
        <v>0.13513057093103947</v>
      </c>
      <c r="Z103" s="60">
        <f>1/(1+$C$64)^Z$5</f>
        <v>0.12284597357367225</v>
      </c>
      <c r="AA103" s="60">
        <f>1/(1+$C$64)^AA$5</f>
        <v>0.11167815779424749</v>
      </c>
      <c r="AB103" s="60">
        <f>1/(1+$C$64)^AB$5</f>
        <v>0.10152559799477044</v>
      </c>
      <c r="AC103" s="60">
        <f>1/(1+$C$64)^AC$5</f>
        <v>0.09229599817706403</v>
      </c>
    </row>
    <row r="105" ht="20" customHeight="1" spans="1:29" x14ac:dyDescent="0.25">
      <c r="A105" s="21" t="s">
        <v>188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x14ac:dyDescent="0.25">
      <c r="A106" s="33" t="s">
        <v>97</v>
      </c>
      <c r="B106" s="26" t="s">
        <v>79</v>
      </c>
      <c r="E106" s="29">
        <f>$C$29*E100</f>
        <v>8.001071731908118</v>
      </c>
      <c r="F106" s="29">
        <f>$C$29*F100</f>
        <v>8.001071731908118</v>
      </c>
      <c r="G106" s="29">
        <f>$C$29*G100</f>
        <v>8.001071731908118</v>
      </c>
      <c r="H106" s="29">
        <f>$C$29*H100</f>
        <v>8.001071731908118</v>
      </c>
      <c r="I106" s="29">
        <f>$C$29*I100</f>
        <v>8.001071731908118</v>
      </c>
      <c r="J106" s="29">
        <f>$C$29*J100</f>
        <v>8.001071731908118</v>
      </c>
      <c r="K106" s="29">
        <f>$C$29*K100</f>
        <v>8.001071731908118</v>
      </c>
      <c r="L106" s="29">
        <f>$C$29*L100</f>
        <v>8.001071731908118</v>
      </c>
      <c r="M106" s="29">
        <f>$C$29*M100</f>
        <v>8.001071731908118</v>
      </c>
      <c r="N106" s="29">
        <f>$C$29*N100</f>
        <v>8.001071731908118</v>
      </c>
      <c r="O106" s="29">
        <f>$C$29*O100</f>
        <v>8.001071731908118</v>
      </c>
      <c r="P106" s="29">
        <f>$C$29*P100</f>
        <v>8.001071731908118</v>
      </c>
      <c r="Q106" s="29">
        <f>$C$29*Q100</f>
        <v>8.001071731908118</v>
      </c>
      <c r="R106" s="29">
        <f>$C$29*R100</f>
        <v>8.001071731908118</v>
      </c>
      <c r="S106" s="29">
        <f>$C$29*S100</f>
        <v>8.001071731908118</v>
      </c>
      <c r="T106" s="29">
        <f>$C$29*T100</f>
        <v>8.001071731908118</v>
      </c>
      <c r="U106" s="29">
        <f>$C$29*U100</f>
        <v>8.001071731908118</v>
      </c>
      <c r="V106" s="29">
        <f>$C$29*V100</f>
        <v>8.001071731908118</v>
      </c>
      <c r="W106" s="29">
        <f>$C$29*W100</f>
        <v>8.001071731908118</v>
      </c>
      <c r="X106" s="29">
        <f>$C$29*X100</f>
        <v>8.001071731908118</v>
      </c>
      <c r="Y106" s="29">
        <f>$C$29*Y100</f>
        <v>8.001071731908118</v>
      </c>
      <c r="Z106" s="29">
        <f>$C$29*Z100</f>
        <v>8.001071731908118</v>
      </c>
      <c r="AA106" s="29">
        <f>$C$29*AA100</f>
        <v>8.001071731908118</v>
      </c>
      <c r="AB106" s="29">
        <f>$C$29*AB100</f>
        <v>8.001071731908118</v>
      </c>
      <c r="AC106" s="29">
        <f>$C$29*AC100</f>
        <v>8.001071731908118</v>
      </c>
    </row>
    <row r="107" spans="1:29" x14ac:dyDescent="0.25">
      <c r="A107" s="33" t="s">
        <v>189</v>
      </c>
      <c r="B107" s="26" t="s">
        <v>83</v>
      </c>
      <c r="C107" s="57">
        <f>SUM(E107:AC107)</f>
        <v>31096.848176203024</v>
      </c>
      <c r="E107" s="37">
        <f>E92*E106/10</f>
        <v>1265.388312274251</v>
      </c>
      <c r="F107" s="37">
        <f>F92*F106/10</f>
        <v>1263.59544683874</v>
      </c>
      <c r="G107" s="37">
        <f>G92*G106/10</f>
        <v>1261.8025814032294</v>
      </c>
      <c r="H107" s="37">
        <f>H92*H106/10</f>
        <v>1260.0097159677184</v>
      </c>
      <c r="I107" s="37">
        <f>I92*I106/10</f>
        <v>1258.2168505322074</v>
      </c>
      <c r="J107" s="37">
        <f>J92*J106/10</f>
        <v>1256.4239850966967</v>
      </c>
      <c r="K107" s="37">
        <f>K92*K106/10</f>
        <v>1254.6311196611857</v>
      </c>
      <c r="L107" s="37">
        <f>L92*L106/10</f>
        <v>1252.838254225675</v>
      </c>
      <c r="M107" s="37">
        <f>M92*M106/10</f>
        <v>1251.0453887901645</v>
      </c>
      <c r="N107" s="37">
        <f>N92*N106/10</f>
        <v>1249.2525233546535</v>
      </c>
      <c r="O107" s="37">
        <f>O92*O106/10</f>
        <v>1247.4596579191425</v>
      </c>
      <c r="P107" s="37">
        <f>P92*P106/10</f>
        <v>1245.6667924836318</v>
      </c>
      <c r="Q107" s="37">
        <f>Q92*Q106/10</f>
        <v>1243.873927048121</v>
      </c>
      <c r="R107" s="37">
        <f>R92*R106/10</f>
        <v>1242.0810616126103</v>
      </c>
      <c r="S107" s="37">
        <f>S92*S106/10</f>
        <v>1240.2881961770995</v>
      </c>
      <c r="T107" s="37">
        <f>T92*T106/10</f>
        <v>1238.4953307415885</v>
      </c>
      <c r="U107" s="37">
        <f>U92*U106/10</f>
        <v>1236.7024653060776</v>
      </c>
      <c r="V107" s="37">
        <f>V92*V106/10</f>
        <v>1234.9095998705668</v>
      </c>
      <c r="W107" s="37">
        <f>W92*W106/10</f>
        <v>1233.116734435056</v>
      </c>
      <c r="X107" s="37">
        <f>X92*X106/10</f>
        <v>1231.3238689995455</v>
      </c>
      <c r="Y107" s="37">
        <f>Y92*Y106/10</f>
        <v>1229.5310035640346</v>
      </c>
      <c r="Z107" s="37">
        <f>Z92*Z106/10</f>
        <v>1227.7381381285236</v>
      </c>
      <c r="AA107" s="37">
        <f>AA92*AA106/10</f>
        <v>1225.9452726930128</v>
      </c>
      <c r="AB107" s="37">
        <f>AB92*AB106/10</f>
        <v>1224.1524072575016</v>
      </c>
      <c r="AC107" s="37">
        <f>AC92*AC106/10</f>
        <v>1222.3595418219913</v>
      </c>
    </row>
    <row r="108" spans="1:29" x14ac:dyDescent="0.25">
      <c r="A108" s="33" t="s">
        <v>190</v>
      </c>
      <c r="B108" s="26" t="s">
        <v>83</v>
      </c>
      <c r="C108" s="57">
        <f>SUM(E108:AC108)</f>
        <v>0</v>
      </c>
      <c r="E108" s="37">
        <f>IF($C$48="Yes",E96*E97/10,0)</f>
        <v>0</v>
      </c>
      <c r="F108" s="37">
        <f>IF($C$48="Yes",F96*F97/10,0)</f>
        <v>0</v>
      </c>
      <c r="G108" s="37">
        <f>IF($C$48="Yes",G96*G97/10,0)</f>
        <v>0</v>
      </c>
      <c r="H108" s="37">
        <f>IF($C$48="Yes",H96*H97/10,0)</f>
        <v>0</v>
      </c>
      <c r="I108" s="37">
        <f>IF($C$48="Yes",I96*I97/10,0)</f>
        <v>0</v>
      </c>
      <c r="J108" s="37">
        <f>IF($C$48="Yes",J96*J97/10,0)</f>
        <v>0</v>
      </c>
      <c r="K108" s="37">
        <f>IF($C$48="Yes",K96*K97/10,0)</f>
        <v>0</v>
      </c>
      <c r="L108" s="37">
        <f>IF($C$48="Yes",L96*L97/10,0)</f>
        <v>0</v>
      </c>
      <c r="M108" s="37">
        <f>IF($C$48="Yes",M96*M97/10,0)</f>
        <v>0</v>
      </c>
      <c r="N108" s="37">
        <f>IF($C$48="Yes",N96*N97/10,0)</f>
        <v>0</v>
      </c>
      <c r="O108" s="37">
        <f>IF($C$48="Yes",O96*O97/10,0)</f>
        <v>0</v>
      </c>
      <c r="P108" s="37">
        <f>IF($C$48="Yes",P96*P97/10,0)</f>
        <v>0</v>
      </c>
      <c r="Q108" s="37">
        <f>IF($C$48="Yes",Q96*Q97/10,0)</f>
        <v>0</v>
      </c>
      <c r="R108" s="37">
        <f>IF($C$48="Yes",R96*R97/10,0)</f>
        <v>0</v>
      </c>
      <c r="S108" s="37">
        <f>IF($C$48="Yes",S96*S97/10,0)</f>
        <v>0</v>
      </c>
      <c r="T108" s="37">
        <f>IF($C$48="Yes",T96*T97/10,0)</f>
        <v>0</v>
      </c>
      <c r="U108" s="37">
        <f>IF($C$48="Yes",U96*U97/10,0)</f>
        <v>0</v>
      </c>
      <c r="V108" s="37">
        <f>IF($C$48="Yes",V96*V97/10,0)</f>
        <v>0</v>
      </c>
      <c r="W108" s="37">
        <f>IF($C$48="Yes",W96*W97/10,0)</f>
        <v>0</v>
      </c>
      <c r="X108" s="37">
        <f>IF($C$48="Yes",X96*X97/10,0)</f>
        <v>0</v>
      </c>
      <c r="Y108" s="37">
        <f>IF($C$48="Yes",Y96*Y97/10,0)</f>
        <v>0</v>
      </c>
      <c r="Z108" s="37">
        <f>IF($C$48="Yes",Z96*Z97/10,0)</f>
        <v>0</v>
      </c>
      <c r="AA108" s="37">
        <f>IF($C$48="Yes",AA96*AA97/10,0)</f>
        <v>0</v>
      </c>
      <c r="AB108" s="37">
        <f>IF($C$48="Yes",AB96*AB97/10,0)</f>
        <v>0</v>
      </c>
      <c r="AC108" s="37">
        <f>IF($C$48="Yes",AC96*AC97/10,0)</f>
        <v>0</v>
      </c>
    </row>
    <row r="109" spans="1:29" x14ac:dyDescent="0.25">
      <c r="A109" s="33" t="s">
        <v>135</v>
      </c>
      <c r="B109" s="26" t="s">
        <v>83</v>
      </c>
      <c r="C109" s="57">
        <f>SUM(E109:AC109)</f>
        <v>0</v>
      </c>
      <c r="E109" s="37">
        <f>E94*$C$51/10</f>
        <v>0</v>
      </c>
      <c r="F109" s="37">
        <f>F94*$C$51/10</f>
        <v>0</v>
      </c>
      <c r="G109" s="37">
        <f>G94*$C$51/10</f>
        <v>0</v>
      </c>
      <c r="H109" s="37">
        <f>H94*$C$51/10</f>
        <v>0</v>
      </c>
      <c r="I109" s="37">
        <f>I94*$C$51/10</f>
        <v>0</v>
      </c>
      <c r="J109" s="37">
        <f>J94*$C$51/10</f>
        <v>0</v>
      </c>
      <c r="K109" s="37">
        <f>K94*$C$51/10</f>
        <v>0</v>
      </c>
      <c r="L109" s="37">
        <f>L94*$C$51/10</f>
        <v>0</v>
      </c>
      <c r="M109" s="37">
        <f>M94*$C$51/10</f>
        <v>0</v>
      </c>
      <c r="N109" s="37">
        <f>N94*$C$51/10</f>
        <v>0</v>
      </c>
      <c r="O109" s="37">
        <f>O94*$C$51/10</f>
        <v>0</v>
      </c>
      <c r="P109" s="37">
        <f>P94*$C$51/10</f>
        <v>0</v>
      </c>
      <c r="Q109" s="37">
        <f>Q94*$C$51/10</f>
        <v>0</v>
      </c>
      <c r="R109" s="37">
        <f>R94*$C$51/10</f>
        <v>0</v>
      </c>
      <c r="S109" s="37">
        <f>S94*$C$51/10</f>
        <v>0</v>
      </c>
      <c r="T109" s="37">
        <f>T94*$C$51/10</f>
        <v>0</v>
      </c>
      <c r="U109" s="37">
        <f>U94*$C$51/10</f>
        <v>0</v>
      </c>
      <c r="V109" s="37">
        <f>V94*$C$51/10</f>
        <v>0</v>
      </c>
      <c r="W109" s="37">
        <f>W94*$C$51/10</f>
        <v>0</v>
      </c>
      <c r="X109" s="37">
        <f>X94*$C$51/10</f>
        <v>0</v>
      </c>
      <c r="Y109" s="37">
        <f>Y94*$C$51/10</f>
        <v>0</v>
      </c>
      <c r="Z109" s="37">
        <f>Z94*$C$51/10</f>
        <v>0</v>
      </c>
      <c r="AA109" s="37">
        <f>AA94*$C$51/10</f>
        <v>0</v>
      </c>
      <c r="AB109" s="37">
        <f>AB94*$C$51/10</f>
        <v>0</v>
      </c>
      <c r="AC109" s="37">
        <f>AC94*$C$51/10</f>
        <v>0</v>
      </c>
    </row>
    <row r="110" spans="1:29" x14ac:dyDescent="0.25">
      <c r="A110" s="33" t="s">
        <v>137</v>
      </c>
      <c r="B110" s="26" t="s">
        <v>83</v>
      </c>
      <c r="C110" s="57">
        <f>SUM(E110:AC110)</f>
        <v>1923.9599683396784</v>
      </c>
      <c r="E110" s="37">
        <f>E95*$C$52*E106/10</f>
        <v>62.322351154643584</v>
      </c>
      <c r="F110" s="37">
        <f>F95*$C$52*F106/10</f>
        <v>63.54202178622221</v>
      </c>
      <c r="G110" s="37">
        <f>G95*$C$52*G106/10</f>
        <v>64.76169241780084</v>
      </c>
      <c r="H110" s="37">
        <f>H95*$C$52*H106/10</f>
        <v>65.98136304937947</v>
      </c>
      <c r="I110" s="37">
        <f>I95*$C$52*I106/10</f>
        <v>67.20103368095809</v>
      </c>
      <c r="J110" s="37">
        <f>J95*$C$52*J106/10</f>
        <v>68.42070431253673</v>
      </c>
      <c r="K110" s="37">
        <f>K95*$C$52*K106/10</f>
        <v>69.64037494411535</v>
      </c>
      <c r="L110" s="37">
        <f>L95*$C$52*L106/10</f>
        <v>70.86004557569399</v>
      </c>
      <c r="M110" s="37">
        <f>M95*$C$52*M106/10</f>
        <v>72.07971620727263</v>
      </c>
      <c r="N110" s="37">
        <f>N95*$C$52*N106/10</f>
        <v>73.29938683885125</v>
      </c>
      <c r="O110" s="37">
        <f>O95*$C$52*O106/10</f>
        <v>74.51905747042989</v>
      </c>
      <c r="P110" s="37">
        <f>P95*$C$52*P106/10</f>
        <v>75.73872810200852</v>
      </c>
      <c r="Q110" s="37">
        <f>Q95*$C$52*Q106/10</f>
        <v>76.95839873358713</v>
      </c>
      <c r="R110" s="37">
        <f>R95*$C$52*R106/10</f>
        <v>78.17806936516578</v>
      </c>
      <c r="S110" s="37">
        <f>S95*$C$52*S106/10</f>
        <v>79.39773999674439</v>
      </c>
      <c r="T110" s="37">
        <f>T95*$C$52*T106/10</f>
        <v>80.61741062832303</v>
      </c>
      <c r="U110" s="37">
        <f>U95*$C$52*U106/10</f>
        <v>81.83708125990165</v>
      </c>
      <c r="V110" s="37">
        <f>V95*$C$52*V106/10</f>
        <v>83.05675189148029</v>
      </c>
      <c r="W110" s="37">
        <f>W95*$C$52*W106/10</f>
        <v>84.27642252305891</v>
      </c>
      <c r="X110" s="37">
        <f>X95*$C$52*X106/10</f>
        <v>85.49609315463755</v>
      </c>
      <c r="Y110" s="37">
        <f>Y95*$C$52*Y106/10</f>
        <v>86.71576378621617</v>
      </c>
      <c r="Z110" s="37">
        <f>Z95*$C$52*Z106/10</f>
        <v>87.93543441779481</v>
      </c>
      <c r="AA110" s="37">
        <f>AA95*$C$52*AA106/10</f>
        <v>89.15510504937342</v>
      </c>
      <c r="AB110" s="37">
        <f>AB95*$C$52*AB106/10</f>
        <v>90.37477568095207</v>
      </c>
      <c r="AC110" s="37">
        <f>AC95*$C$52*AC106/10</f>
        <v>91.5944463125307</v>
      </c>
    </row>
    <row r="111" spans="1:29" x14ac:dyDescent="0.25">
      <c r="A111" s="61" t="s">
        <v>191</v>
      </c>
      <c r="B111" s="62" t="s">
        <v>83</v>
      </c>
      <c r="C111" s="63">
        <f>SUM(E111:AC111)</f>
        <v>29172.888207863343</v>
      </c>
      <c r="D111" s="64"/>
      <c r="E111" s="63">
        <f>E107+E108-E109-E110</f>
        <v>1203.0659611196072</v>
      </c>
      <c r="F111" s="63">
        <f>F107+F108-F109-F110</f>
        <v>1200.0534250525177</v>
      </c>
      <c r="G111" s="63">
        <f>G107+G108-G109-G110</f>
        <v>1197.0408889854286</v>
      </c>
      <c r="H111" s="63">
        <f>H107+H108-H109-H110</f>
        <v>1194.028352918339</v>
      </c>
      <c r="I111" s="63">
        <f>I107+I108-I109-I110</f>
        <v>1191.0158168512494</v>
      </c>
      <c r="J111" s="63">
        <f>J107+J108-J109-J110</f>
        <v>1188.0032807841599</v>
      </c>
      <c r="K111" s="63">
        <f>K107+K108-K109-K110</f>
        <v>1184.9907447170704</v>
      </c>
      <c r="L111" s="63">
        <f>L107+L108-L109-L110</f>
        <v>1181.978208649981</v>
      </c>
      <c r="M111" s="63">
        <f>M107+M108-M109-M110</f>
        <v>1178.9656725828918</v>
      </c>
      <c r="N111" s="63">
        <f>N107+N108-N109-N110</f>
        <v>1175.9531365158023</v>
      </c>
      <c r="O111" s="63">
        <f>O107+O108-O109-O110</f>
        <v>1172.9406004487125</v>
      </c>
      <c r="P111" s="63">
        <f>P107+P108-P109-P110</f>
        <v>1169.9280643816232</v>
      </c>
      <c r="Q111" s="63">
        <f>Q107+Q108-Q109-Q110</f>
        <v>1166.915528314534</v>
      </c>
      <c r="R111" s="63">
        <f>R107+R108-R109-R110</f>
        <v>1163.9029922474444</v>
      </c>
      <c r="S111" s="63">
        <f>S107+S108-S109-S110</f>
        <v>1160.8904561803552</v>
      </c>
      <c r="T111" s="63">
        <f>T107+T108-T109-T110</f>
        <v>1157.8779201132654</v>
      </c>
      <c r="U111" s="63">
        <f>U107+U108-U109-U110</f>
        <v>1154.865384046176</v>
      </c>
      <c r="V111" s="63">
        <f>V107+V108-V109-V110</f>
        <v>1151.8528479790866</v>
      </c>
      <c r="W111" s="63">
        <f>W107+W108-W109-W110</f>
        <v>1148.840311911997</v>
      </c>
      <c r="X111" s="63">
        <f>X107+X108-X109-X110</f>
        <v>1145.827775844908</v>
      </c>
      <c r="Y111" s="63">
        <f>Y107+Y108-Y109-Y110</f>
        <v>1142.8152397778183</v>
      </c>
      <c r="Z111" s="63">
        <f>Z107+Z108-Z109-Z110</f>
        <v>1139.8027037107288</v>
      </c>
      <c r="AA111" s="63">
        <f>AA107+AA108-AA109-AA110</f>
        <v>1136.7901676436395</v>
      </c>
      <c r="AB111" s="63">
        <f>AB107+AB108-AB109-AB110</f>
        <v>1133.7776315765495</v>
      </c>
      <c r="AC111" s="63">
        <f>AC107+AC108-AC109-AC110</f>
        <v>1130.7650955094607</v>
      </c>
    </row>
    <row r="113" ht="20" customHeight="1" spans="1:29" x14ac:dyDescent="0.25">
      <c r="A113" s="21" t="s">
        <v>192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x14ac:dyDescent="0.25">
      <c r="A114" s="33" t="s">
        <v>117</v>
      </c>
      <c r="B114" s="26" t="s">
        <v>83</v>
      </c>
      <c r="C114" s="57">
        <f>SUM(E114:AC114)</f>
        <v>1738.8336872962511</v>
      </c>
      <c r="E114" s="37">
        <f>$C$32*$C$42/100*E101</f>
        <v>36.43283858353668</v>
      </c>
      <c r="F114" s="37">
        <f>$C$32*$C$42/100*F101</f>
        <v>38.25448051271351</v>
      </c>
      <c r="G114" s="37">
        <f>$C$32*$C$42/100*G101</f>
        <v>40.16720453834919</v>
      </c>
      <c r="H114" s="37">
        <f>$C$32*$C$42/100*H101</f>
        <v>42.17556476526665</v>
      </c>
      <c r="I114" s="37">
        <f>$C$32*$C$42/100*I101</f>
        <v>44.28434300352999</v>
      </c>
      <c r="J114" s="37">
        <f>$C$32*$C$42/100*J101</f>
        <v>46.49856015370649</v>
      </c>
      <c r="K114" s="37">
        <f>$C$32*$C$42/100*K101</f>
        <v>48.82348816139182</v>
      </c>
      <c r="L114" s="37">
        <f>$C$32*$C$42/100*L101</f>
        <v>51.26466256946141</v>
      </c>
      <c r="M114" s="37">
        <f>$C$32*$C$42/100*M101</f>
        <v>53.82789569793448</v>
      </c>
      <c r="N114" s="37">
        <f>$C$32*$C$42/100*N101</f>
        <v>56.51929048283121</v>
      </c>
      <c r="O114" s="37">
        <f>$C$32*$C$42/100*O101</f>
        <v>59.34525500697278</v>
      </c>
      <c r="P114" s="37">
        <f>$C$32*$C$42/100*P101</f>
        <v>62.31251775732141</v>
      </c>
      <c r="Q114" s="37">
        <f>$C$32*$C$42/100*Q101</f>
        <v>65.42814364518749</v>
      </c>
      <c r="R114" s="37">
        <f>$C$32*$C$42/100*R101</f>
        <v>68.69955082744686</v>
      </c>
      <c r="S114" s="37">
        <f>$C$32*$C$42/100*S101</f>
        <v>72.13452836881922</v>
      </c>
      <c r="T114" s="37">
        <f>$C$32*$C$42/100*T101</f>
        <v>75.74125478726017</v>
      </c>
      <c r="U114" s="37">
        <f>$C$32*$C$42/100*U101</f>
        <v>79.52831752662318</v>
      </c>
      <c r="V114" s="37">
        <f>$C$32*$C$42/100*V101</f>
        <v>83.50473340295434</v>
      </c>
      <c r="W114" s="37">
        <f>$C$32*$C$42/100*W101</f>
        <v>87.67997007310208</v>
      </c>
      <c r="X114" s="37">
        <f>$C$32*$C$42/100*X101</f>
        <v>92.06396857675718</v>
      </c>
      <c r="Y114" s="37">
        <f>$C$32*$C$42/100*Y101</f>
        <v>96.66716700559503</v>
      </c>
      <c r="Z114" s="37">
        <f>$C$32*$C$42/100*Z101</f>
        <v>101.5005253558748</v>
      </c>
      <c r="AA114" s="37">
        <f>$C$32*$C$42/100*AA101</f>
        <v>106.57555162366855</v>
      </c>
      <c r="AB114" s="37">
        <f>$C$32*$C$42/100*AB101</f>
        <v>111.90432920485198</v>
      </c>
      <c r="AC114" s="37">
        <f>$C$32*$C$42/100*AC101</f>
        <v>117.49954566509457</v>
      </c>
    </row>
    <row r="115" spans="1:29" x14ac:dyDescent="0.25">
      <c r="A115" s="33" t="s">
        <v>119</v>
      </c>
      <c r="B115" s="26" t="s">
        <v>83</v>
      </c>
      <c r="C115" s="57">
        <f>SUM(E115:AC115)</f>
        <v>1702.9137373722817</v>
      </c>
      <c r="E115" s="37">
        <f>$C$34*$C$43/100*E101</f>
        <v>35.68022736656424</v>
      </c>
      <c r="F115" s="37">
        <f>$C$34*$C$43/100*F101</f>
        <v>37.464238734892454</v>
      </c>
      <c r="G115" s="37">
        <f>$C$34*$C$43/100*G101</f>
        <v>39.33745067163707</v>
      </c>
      <c r="H115" s="37">
        <f>$C$34*$C$43/100*H101</f>
        <v>41.30432320521893</v>
      </c>
      <c r="I115" s="37">
        <f>$C$34*$C$43/100*I101</f>
        <v>43.36953936547988</v>
      </c>
      <c r="J115" s="37">
        <f>$C$34*$C$43/100*J101</f>
        <v>45.53801633375388</v>
      </c>
      <c r="K115" s="37">
        <f>$C$34*$C$43/100*K101</f>
        <v>47.81491715044157</v>
      </c>
      <c r="L115" s="37">
        <f>$C$34*$C$43/100*L101</f>
        <v>50.20566300796366</v>
      </c>
      <c r="M115" s="37">
        <f>$C$34*$C$43/100*M101</f>
        <v>52.71594615836184</v>
      </c>
      <c r="N115" s="37">
        <f>$C$34*$C$43/100*N101</f>
        <v>55.351743466279935</v>
      </c>
      <c r="O115" s="37">
        <f>$C$34*$C$43/100*O101</f>
        <v>58.11933063959393</v>
      </c>
      <c r="P115" s="37">
        <f>$C$34*$C$43/100*P101</f>
        <v>61.02529717157363</v>
      </c>
      <c r="Q115" s="37">
        <f>$C$34*$C$43/100*Q101</f>
        <v>64.07656203015232</v>
      </c>
      <c r="R115" s="37">
        <f>$C$34*$C$43/100*R101</f>
        <v>67.28039013165993</v>
      </c>
      <c r="S115" s="37">
        <f>$C$34*$C$43/100*S101</f>
        <v>70.64440963824293</v>
      </c>
      <c r="T115" s="37">
        <f>$C$34*$C$43/100*T101</f>
        <v>74.1766301201551</v>
      </c>
      <c r="U115" s="37">
        <f>$C$34*$C$43/100*U101</f>
        <v>77.88546162616284</v>
      </c>
      <c r="V115" s="37">
        <f>$C$34*$C$43/100*V101</f>
        <v>81.77973470747098</v>
      </c>
      <c r="W115" s="37">
        <f>$C$34*$C$43/100*W101</f>
        <v>85.86872144284455</v>
      </c>
      <c r="X115" s="37">
        <f>$C$34*$C$43/100*X101</f>
        <v>90.16215751498677</v>
      </c>
      <c r="Y115" s="37">
        <f>$C$34*$C$43/100*Y101</f>
        <v>94.6702653907361</v>
      </c>
      <c r="Z115" s="37">
        <f>$C$34*$C$43/100*Z101</f>
        <v>99.40377866027292</v>
      </c>
      <c r="AA115" s="37">
        <f>$C$34*$C$43/100*AA101</f>
        <v>104.37396759328658</v>
      </c>
      <c r="AB115" s="37">
        <f>$C$34*$C$43/100*AB101</f>
        <v>109.59266597295091</v>
      </c>
      <c r="AC115" s="37">
        <f>$C$34*$C$43/100*AC101</f>
        <v>115.07229927159845</v>
      </c>
    </row>
    <row r="116" spans="1:29" x14ac:dyDescent="0.25">
      <c r="A116" s="33" t="s">
        <v>122</v>
      </c>
      <c r="B116" s="26" t="s">
        <v>83</v>
      </c>
      <c r="C116" s="57">
        <f>SUM(E116:AC116)</f>
        <v>540.847994625757</v>
      </c>
      <c r="E116" s="37">
        <f>$C$78*$C$45</f>
        <v>21.633919785030276</v>
      </c>
      <c r="F116" s="37">
        <f>$C$78*$C$45</f>
        <v>21.633919785030276</v>
      </c>
      <c r="G116" s="37">
        <f>$C$78*$C$45</f>
        <v>21.633919785030276</v>
      </c>
      <c r="H116" s="37">
        <f>$C$78*$C$45</f>
        <v>21.633919785030276</v>
      </c>
      <c r="I116" s="37">
        <f>$C$78*$C$45</f>
        <v>21.633919785030276</v>
      </c>
      <c r="J116" s="37">
        <f>$C$78*$C$45</f>
        <v>21.633919785030276</v>
      </c>
      <c r="K116" s="37">
        <f>$C$78*$C$45</f>
        <v>21.633919785030276</v>
      </c>
      <c r="L116" s="37">
        <f>$C$78*$C$45</f>
        <v>21.633919785030276</v>
      </c>
      <c r="M116" s="37">
        <f>$C$78*$C$45</f>
        <v>21.633919785030276</v>
      </c>
      <c r="N116" s="37">
        <f>$C$78*$C$45</f>
        <v>21.633919785030276</v>
      </c>
      <c r="O116" s="37">
        <f>$C$78*$C$45</f>
        <v>21.633919785030276</v>
      </c>
      <c r="P116" s="37">
        <f>$C$78*$C$45</f>
        <v>21.633919785030276</v>
      </c>
      <c r="Q116" s="37">
        <f>$C$78*$C$45</f>
        <v>21.633919785030276</v>
      </c>
      <c r="R116" s="37">
        <f>$C$78*$C$45</f>
        <v>21.633919785030276</v>
      </c>
      <c r="S116" s="37">
        <f>$C$78*$C$45</f>
        <v>21.633919785030276</v>
      </c>
      <c r="T116" s="37">
        <f>$C$78*$C$45</f>
        <v>21.633919785030276</v>
      </c>
      <c r="U116" s="37">
        <f>$C$78*$C$45</f>
        <v>21.633919785030276</v>
      </c>
      <c r="V116" s="37">
        <f>$C$78*$C$45</f>
        <v>21.633919785030276</v>
      </c>
      <c r="W116" s="37">
        <f>$C$78*$C$45</f>
        <v>21.633919785030276</v>
      </c>
      <c r="X116" s="37">
        <f>$C$78*$C$45</f>
        <v>21.633919785030276</v>
      </c>
      <c r="Y116" s="37">
        <f>$C$78*$C$45</f>
        <v>21.633919785030276</v>
      </c>
      <c r="Z116" s="37">
        <f>$C$78*$C$45</f>
        <v>21.633919785030276</v>
      </c>
      <c r="AA116" s="37">
        <f>$C$78*$C$45</f>
        <v>21.633919785030276</v>
      </c>
      <c r="AB116" s="37">
        <f>$C$78*$C$45</f>
        <v>21.633919785030276</v>
      </c>
      <c r="AC116" s="37">
        <f>$C$78*$C$45</f>
        <v>21.633919785030276</v>
      </c>
    </row>
    <row r="117" spans="1:29" x14ac:dyDescent="0.25">
      <c r="A117" s="33" t="s">
        <v>124</v>
      </c>
      <c r="B117" s="26" t="s">
        <v>83</v>
      </c>
      <c r="C117" s="57">
        <f>SUM(E117:AC117)</f>
        <v>0</v>
      </c>
      <c r="E117" s="37">
        <f>$C$46*E101</f>
        <v>0</v>
      </c>
      <c r="F117" s="37">
        <f>$C$46*F101</f>
        <v>0</v>
      </c>
      <c r="G117" s="37">
        <f>$C$46*G101</f>
        <v>0</v>
      </c>
      <c r="H117" s="37">
        <f>$C$46*H101</f>
        <v>0</v>
      </c>
      <c r="I117" s="37">
        <f>$C$46*I101</f>
        <v>0</v>
      </c>
      <c r="J117" s="37">
        <f>$C$46*J101</f>
        <v>0</v>
      </c>
      <c r="K117" s="37">
        <f>$C$46*K101</f>
        <v>0</v>
      </c>
      <c r="L117" s="37">
        <f>$C$46*L101</f>
        <v>0</v>
      </c>
      <c r="M117" s="37">
        <f>$C$46*M101</f>
        <v>0</v>
      </c>
      <c r="N117" s="37">
        <f>$C$46*N101</f>
        <v>0</v>
      </c>
      <c r="O117" s="37">
        <f>$C$46*O101</f>
        <v>0</v>
      </c>
      <c r="P117" s="37">
        <f>$C$46*P101</f>
        <v>0</v>
      </c>
      <c r="Q117" s="37">
        <f>$C$46*Q101</f>
        <v>0</v>
      </c>
      <c r="R117" s="37">
        <f>$C$46*R101</f>
        <v>0</v>
      </c>
      <c r="S117" s="37">
        <f>$C$46*S101</f>
        <v>0</v>
      </c>
      <c r="T117" s="37">
        <f>$C$46*T101</f>
        <v>0</v>
      </c>
      <c r="U117" s="37">
        <f>$C$46*U101</f>
        <v>0</v>
      </c>
      <c r="V117" s="37">
        <f>$C$46*V101</f>
        <v>0</v>
      </c>
      <c r="W117" s="37">
        <f>$C$46*W101</f>
        <v>0</v>
      </c>
      <c r="X117" s="37">
        <f>$C$46*X101</f>
        <v>0</v>
      </c>
      <c r="Y117" s="37">
        <f>$C$46*Y101</f>
        <v>0</v>
      </c>
      <c r="Z117" s="37">
        <f>$C$46*Z101</f>
        <v>0</v>
      </c>
      <c r="AA117" s="37">
        <f>$C$46*AA101</f>
        <v>0</v>
      </c>
      <c r="AB117" s="37">
        <f>$C$46*AB101</f>
        <v>0</v>
      </c>
      <c r="AC117" s="37">
        <f>$C$46*AC101</f>
        <v>0</v>
      </c>
    </row>
    <row r="118" spans="1:29" x14ac:dyDescent="0.25">
      <c r="A118" s="61" t="s">
        <v>193</v>
      </c>
      <c r="B118" s="62" t="s">
        <v>83</v>
      </c>
      <c r="C118" s="63">
        <f>SUM(E118:AC118)</f>
        <v>3982.5954192942895</v>
      </c>
      <c r="D118" s="64"/>
      <c r="E118" s="63">
        <f>SUM(E114:E117)</f>
        <v>93.74698573513119</v>
      </c>
      <c r="F118" s="63">
        <f>SUM(F114:F117)</f>
        <v>97.35263903263625</v>
      </c>
      <c r="G118" s="63">
        <f>SUM(G114:G117)</f>
        <v>101.13857499501653</v>
      </c>
      <c r="H118" s="63">
        <f>SUM(H114:H117)</f>
        <v>105.11380775551585</v>
      </c>
      <c r="I118" s="63">
        <f>SUM(I114:I117)</f>
        <v>109.28780215404014</v>
      </c>
      <c r="J118" s="63">
        <f>SUM(J114:J117)</f>
        <v>113.67049627249064</v>
      </c>
      <c r="K118" s="63">
        <f>SUM(K114:K117)</f>
        <v>118.27232509686367</v>
      </c>
      <c r="L118" s="63">
        <f>SUM(L114:L117)</f>
        <v>123.10424536245533</v>
      </c>
      <c r="M118" s="63">
        <f>SUM(M114:M117)</f>
        <v>128.1777616413266</v>
      </c>
      <c r="N118" s="63">
        <f>SUM(N114:N117)</f>
        <v>133.50495373414142</v>
      </c>
      <c r="O118" s="63">
        <f>SUM(O114:O117)</f>
        <v>139.098505431597</v>
      </c>
      <c r="P118" s="63">
        <f>SUM(P114:P117)</f>
        <v>144.97173471392531</v>
      </c>
      <c r="Q118" s="63">
        <f>SUM(Q114:Q117)</f>
        <v>151.1386254603701</v>
      </c>
      <c r="R118" s="63">
        <f>SUM(R114:R117)</f>
        <v>157.61386074413707</v>
      </c>
      <c r="S118" s="63">
        <f>SUM(S114:S117)</f>
        <v>164.41285779209244</v>
      </c>
      <c r="T118" s="63">
        <f>SUM(T114:T117)</f>
        <v>171.55180469244556</v>
      </c>
      <c r="U118" s="63">
        <f>SUM(U114:U117)</f>
        <v>179.0476989378163</v>
      </c>
      <c r="V118" s="63">
        <f>SUM(V114:V117)</f>
        <v>186.91838789545562</v>
      </c>
      <c r="W118" s="63">
        <f>SUM(W114:W117)</f>
        <v>195.18261130097693</v>
      </c>
      <c r="X118" s="63">
        <f>SUM(X114:X117)</f>
        <v>203.86004587677422</v>
      </c>
      <c r="Y118" s="63">
        <f>SUM(Y114:Y117)</f>
        <v>212.97135218136142</v>
      </c>
      <c r="Z118" s="63">
        <f>SUM(Z114:Z117)</f>
        <v>222.538223801178</v>
      </c>
      <c r="AA118" s="63">
        <f>SUM(AA114:AA117)</f>
        <v>232.58343900198543</v>
      </c>
      <c r="AB118" s="63">
        <f>SUM(AB114:AB117)</f>
        <v>243.13091496283317</v>
      </c>
      <c r="AC118" s="63">
        <f>SUM(AC114:AC117)</f>
        <v>254.2057647217233</v>
      </c>
    </row>
    <row r="119" spans="1:29" x14ac:dyDescent="0.25">
      <c r="A119" s="61" t="s">
        <v>194</v>
      </c>
      <c r="B119" s="62" t="s">
        <v>83</v>
      </c>
      <c r="C119" s="63">
        <f>SUM(E119:AC119)</f>
        <v>25190.292788569055</v>
      </c>
      <c r="D119" s="64"/>
      <c r="E119" s="63">
        <f>E111-E118</f>
        <v>1109.318975384476</v>
      </c>
      <c r="F119" s="63">
        <f>F111-F118</f>
        <v>1102.7007860198814</v>
      </c>
      <c r="G119" s="63">
        <f>G111-G118</f>
        <v>1095.902313990412</v>
      </c>
      <c r="H119" s="63">
        <f>H111-H118</f>
        <v>1088.914545162823</v>
      </c>
      <c r="I119" s="63">
        <f>I111-I118</f>
        <v>1081.7280146972093</v>
      </c>
      <c r="J119" s="63">
        <f>J111-J118</f>
        <v>1074.3327845116692</v>
      </c>
      <c r="K119" s="63">
        <f>K111-K118</f>
        <v>1066.7184196202068</v>
      </c>
      <c r="L119" s="63">
        <f>L111-L118</f>
        <v>1058.8739632875258</v>
      </c>
      <c r="M119" s="63">
        <f>M111-M118</f>
        <v>1050.787910941565</v>
      </c>
      <c r="N119" s="63">
        <f>N111-N118</f>
        <v>1042.4481827816608</v>
      </c>
      <c r="O119" s="63">
        <f>O111-O118</f>
        <v>1033.8420950171155</v>
      </c>
      <c r="P119" s="63">
        <f>P111-P118</f>
        <v>1024.956329667698</v>
      </c>
      <c r="Q119" s="63">
        <f>Q111-Q118</f>
        <v>1015.7769028541638</v>
      </c>
      <c r="R119" s="63">
        <f>R111-R118</f>
        <v>1006.2891315033073</v>
      </c>
      <c r="S119" s="63">
        <f>S111-S118</f>
        <v>996.4775983882628</v>
      </c>
      <c r="T119" s="63">
        <f>T111-T118</f>
        <v>986.3261154208199</v>
      </c>
      <c r="U119" s="63">
        <f>U111-U118</f>
        <v>975.8176851083596</v>
      </c>
      <c r="V119" s="63">
        <f>V111-V118</f>
        <v>964.9344600836309</v>
      </c>
      <c r="W119" s="63">
        <f>W111-W118</f>
        <v>953.6577006110201</v>
      </c>
      <c r="X119" s="63">
        <f>X111-X118</f>
        <v>941.9677299681339</v>
      </c>
      <c r="Y119" s="63">
        <f>Y111-Y118</f>
        <v>929.8438875964569</v>
      </c>
      <c r="Z119" s="63">
        <f>Z111-Z118</f>
        <v>917.2644799095508</v>
      </c>
      <c r="AA119" s="63">
        <f>AA111-AA118</f>
        <v>904.2067286416541</v>
      </c>
      <c r="AB119" s="63">
        <f>AB111-AB118</f>
        <v>890.6467166137163</v>
      </c>
      <c r="AC119" s="63">
        <f>AC111-AC118</f>
        <v>876.5593307877374</v>
      </c>
    </row>
    <row r="120" spans="1:29" x14ac:dyDescent="0.25">
      <c r="A120" s="33" t="s">
        <v>195</v>
      </c>
      <c r="B120" s="26" t="s">
        <v>80</v>
      </c>
      <c r="E120" s="32">
        <f>IF(E111&lt;&gt;0,E119/E111,"")</f>
        <v>0.922076603640346</v>
      </c>
      <c r="F120" s="32">
        <f>IF(F111&lt;&gt;0,F119/F111,"")</f>
        <v>0.9188764124994053</v>
      </c>
      <c r="G120" s="32">
        <f>IF(G111&lt;&gt;0,G119/G111,"")</f>
        <v>0.9155095068801382</v>
      </c>
      <c r="H120" s="32">
        <f>IF(H111&lt;&gt;0,H119/H111,"")</f>
        <v>0.9119670755735356</v>
      </c>
      <c r="I120" s="32">
        <f>IF(I111&lt;&gt;0,I119/I111,"")</f>
        <v>0.9082398398008098</v>
      </c>
      <c r="J120" s="32">
        <f>IF(J111&lt;&gt;0,J119/J111,"")</f>
        <v>0.9043180283159986</v>
      </c>
      <c r="K120" s="32">
        <f>IF(K111&lt;&gt;0,K119/K111,"")</f>
        <v>0.9001913511779348</v>
      </c>
      <c r="L120" s="32">
        <f>IF(L111&lt;&gt;0,L119/L111,"")</f>
        <v>0.8958489721201705</v>
      </c>
      <c r="M120" s="32">
        <f>IF(M111&lt;&gt;0,M119/M111,"")</f>
        <v>0.8912794794436097</v>
      </c>
      <c r="N120" s="32">
        <f>IF(N111&lt;&gt;0,N119/N111,"")</f>
        <v>0.886470855352536</v>
      </c>
      <c r="O120" s="32">
        <f>IF(O111&lt;&gt;0,O119/O111,"")</f>
        <v>0.881410443650442</v>
      </c>
      <c r="P120" s="32">
        <f>IF(P111&lt;&gt;0,P119/P111,"")</f>
        <v>0.8760849157075725</v>
      </c>
      <c r="Q120" s="32">
        <f>IF(Q111&lt;&gt;0,Q119/Q111,"")</f>
        <v>0.870480234607323</v>
      </c>
      <c r="R120" s="32">
        <f>IF(R111&lt;&gt;0,R119/R111,"")</f>
        <v>0.8645816173736337</v>
      </c>
      <c r="S120" s="32">
        <f>IF(S111&lt;&gt;0,S119/S111,"")</f>
        <v>0.8583734951762328</v>
      </c>
      <c r="T120" s="32">
        <f>IF(T111&lt;&gt;0,T119/T111,"")</f>
        <v>0.8518394714050129</v>
      </c>
      <c r="U120" s="32">
        <f>IF(U111&lt;&gt;0,U119/U111,"")</f>
        <v>0.8449622774989528</v>
      </c>
      <c r="V120" s="32">
        <f>IF(V111&lt;&gt;0,V119/V111,"")</f>
        <v>0.8377237264088013</v>
      </c>
      <c r="W120" s="32">
        <f>IF(W111&lt;&gt;0,W119/W111,"")</f>
        <v>0.8301046635662205</v>
      </c>
      <c r="X120" s="32">
        <f>IF(X111&lt;&gt;0,X119/X111,"")</f>
        <v>0.822084915225194</v>
      </c>
      <c r="Y120" s="32">
        <f>IF(Y111&lt;&gt;0,Y119/Y111,"")</f>
        <v>0.8136432340342552</v>
      </c>
      <c r="Z120" s="32">
        <f>IF(Z111&lt;&gt;0,Z119/Z111,"")</f>
        <v>0.804757241690439</v>
      </c>
      <c r="AA120" s="32">
        <f>IF(AA111&lt;&gt;0,AA119/AA111,"")</f>
        <v>0.79540336851779</v>
      </c>
      <c r="AB120" s="32">
        <f>IF(AB111&lt;&gt;0,AB119/AB111,"")</f>
        <v>0.7855567898047584</v>
      </c>
      <c r="AC120" s="32">
        <f>IF(AC111&lt;&gt;0,AC119/AC111,"")</f>
        <v>0.7751913587258438</v>
      </c>
    </row>
    <row r="122" ht="20" customHeight="1" spans="1:29" x14ac:dyDescent="0.25">
      <c r="A122" s="21" t="s">
        <v>196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x14ac:dyDescent="0.25">
      <c r="A123" s="33" t="s">
        <v>139</v>
      </c>
      <c r="B123" s="26" t="s">
        <v>83</v>
      </c>
      <c r="C123" s="57">
        <f>SUM(E123:AC123)</f>
        <v>1712.650913595084</v>
      </c>
      <c r="E123" s="37">
        <f>IF($C$54="annual",IF(E$5&gt;=2,$C$34*$C$55*$C$37*E102,0),IF(AND($C$54="oneTime",E$5=$C$56,$C$56&gt;1,$C$56&lt;=$C$83),$C$34*MIN(0.6,$C$55*(E$5-1))*$C$37*E102,0))</f>
        <v>0</v>
      </c>
      <c r="F123" s="37">
        <f>IF($C$54="annual",IF(F$5&gt;=2,$C$34*$C$55*$C$37*F102,0),IF(AND($C$54="oneTime",F$5=$C$56,$C$56&gt;1,$C$56&lt;=$C$83),$C$34*MIN(0.6,$C$55*(F$5-1))*$C$37*F102,0))</f>
        <v>71.36045473312848</v>
      </c>
      <c r="G123" s="37">
        <f>IF($C$54="annual",IF(G$5&gt;=2,$C$34*$C$55*$C$37*G102,0),IF(AND($C$54="oneTime",G$5=$C$56,$C$56&gt;1,$C$56&lt;=$C$83),$C$34*MIN(0.6,$C$55*(G$5-1))*$C$37*G102,0))</f>
        <v>71.36045473312848</v>
      </c>
      <c r="H123" s="37">
        <f>IF($C$54="annual",IF(H$5&gt;=2,$C$34*$C$55*$C$37*H102,0),IF(AND($C$54="oneTime",H$5=$C$56,$C$56&gt;1,$C$56&lt;=$C$83),$C$34*MIN(0.6,$C$55*(H$5-1))*$C$37*H102,0))</f>
        <v>71.36045473312848</v>
      </c>
      <c r="I123" s="37">
        <f>IF($C$54="annual",IF(I$5&gt;=2,$C$34*$C$55*$C$37*I102,0),IF(AND($C$54="oneTime",I$5=$C$56,$C$56&gt;1,$C$56&lt;=$C$83),$C$34*MIN(0.6,$C$55*(I$5-1))*$C$37*I102,0))</f>
        <v>71.36045473312848</v>
      </c>
      <c r="J123" s="37">
        <f>IF($C$54="annual",IF(J$5&gt;=2,$C$34*$C$55*$C$37*J102,0),IF(AND($C$54="oneTime",J$5=$C$56,$C$56&gt;1,$C$56&lt;=$C$83),$C$34*MIN(0.6,$C$55*(J$5-1))*$C$37*J102,0))</f>
        <v>71.36045473312848</v>
      </c>
      <c r="K123" s="37">
        <f>IF($C$54="annual",IF(K$5&gt;=2,$C$34*$C$55*$C$37*K102,0),IF(AND($C$54="oneTime",K$5=$C$56,$C$56&gt;1,$C$56&lt;=$C$83),$C$34*MIN(0.6,$C$55*(K$5-1))*$C$37*K102,0))</f>
        <v>71.36045473312848</v>
      </c>
      <c r="L123" s="37">
        <f>IF($C$54="annual",IF(L$5&gt;=2,$C$34*$C$55*$C$37*L102,0),IF(AND($C$54="oneTime",L$5=$C$56,$C$56&gt;1,$C$56&lt;=$C$83),$C$34*MIN(0.6,$C$55*(L$5-1))*$C$37*L102,0))</f>
        <v>71.36045473312848</v>
      </c>
      <c r="M123" s="37">
        <f>IF($C$54="annual",IF(M$5&gt;=2,$C$34*$C$55*$C$37*M102,0),IF(AND($C$54="oneTime",M$5=$C$56,$C$56&gt;1,$C$56&lt;=$C$83),$C$34*MIN(0.6,$C$55*(M$5-1))*$C$37*M102,0))</f>
        <v>71.36045473312848</v>
      </c>
      <c r="N123" s="37">
        <f>IF($C$54="annual",IF(N$5&gt;=2,$C$34*$C$55*$C$37*N102,0),IF(AND($C$54="oneTime",N$5=$C$56,$C$56&gt;1,$C$56&lt;=$C$83),$C$34*MIN(0.6,$C$55*(N$5-1))*$C$37*N102,0))</f>
        <v>71.36045473312848</v>
      </c>
      <c r="O123" s="37">
        <f>IF($C$54="annual",IF(O$5&gt;=2,$C$34*$C$55*$C$37*O102,0),IF(AND($C$54="oneTime",O$5=$C$56,$C$56&gt;1,$C$56&lt;=$C$83),$C$34*MIN(0.6,$C$55*(O$5-1))*$C$37*O102,0))</f>
        <v>71.36045473312848</v>
      </c>
      <c r="P123" s="37">
        <f>IF($C$54="annual",IF(P$5&gt;=2,$C$34*$C$55*$C$37*P102,0),IF(AND($C$54="oneTime",P$5=$C$56,$C$56&gt;1,$C$56&lt;=$C$83),$C$34*MIN(0.6,$C$55*(P$5-1))*$C$37*P102,0))</f>
        <v>71.36045473312848</v>
      </c>
      <c r="Q123" s="37">
        <f>IF($C$54="annual",IF(Q$5&gt;=2,$C$34*$C$55*$C$37*Q102,0),IF(AND($C$54="oneTime",Q$5=$C$56,$C$56&gt;1,$C$56&lt;=$C$83),$C$34*MIN(0.6,$C$55*(Q$5-1))*$C$37*Q102,0))</f>
        <v>71.36045473312848</v>
      </c>
      <c r="R123" s="37">
        <f>IF($C$54="annual",IF(R$5&gt;=2,$C$34*$C$55*$C$37*R102,0),IF(AND($C$54="oneTime",R$5=$C$56,$C$56&gt;1,$C$56&lt;=$C$83),$C$34*MIN(0.6,$C$55*(R$5-1))*$C$37*R102,0))</f>
        <v>71.36045473312848</v>
      </c>
      <c r="S123" s="37">
        <f>IF($C$54="annual",IF(S$5&gt;=2,$C$34*$C$55*$C$37*S102,0),IF(AND($C$54="oneTime",S$5=$C$56,$C$56&gt;1,$C$56&lt;=$C$83),$C$34*MIN(0.6,$C$55*(S$5-1))*$C$37*S102,0))</f>
        <v>71.36045473312848</v>
      </c>
      <c r="T123" s="37">
        <f>IF($C$54="annual",IF(T$5&gt;=2,$C$34*$C$55*$C$37*T102,0),IF(AND($C$54="oneTime",T$5=$C$56,$C$56&gt;1,$C$56&lt;=$C$83),$C$34*MIN(0.6,$C$55*(T$5-1))*$C$37*T102,0))</f>
        <v>71.36045473312848</v>
      </c>
      <c r="U123" s="37">
        <f>IF($C$54="annual",IF(U$5&gt;=2,$C$34*$C$55*$C$37*U102,0),IF(AND($C$54="oneTime",U$5=$C$56,$C$56&gt;1,$C$56&lt;=$C$83),$C$34*MIN(0.6,$C$55*(U$5-1))*$C$37*U102,0))</f>
        <v>71.36045473312848</v>
      </c>
      <c r="V123" s="37">
        <f>IF($C$54="annual",IF(V$5&gt;=2,$C$34*$C$55*$C$37*V102,0),IF(AND($C$54="oneTime",V$5=$C$56,$C$56&gt;1,$C$56&lt;=$C$83),$C$34*MIN(0.6,$C$55*(V$5-1))*$C$37*V102,0))</f>
        <v>71.36045473312848</v>
      </c>
      <c r="W123" s="37">
        <f>IF($C$54="annual",IF(W$5&gt;=2,$C$34*$C$55*$C$37*W102,0),IF(AND($C$54="oneTime",W$5=$C$56,$C$56&gt;1,$C$56&lt;=$C$83),$C$34*MIN(0.6,$C$55*(W$5-1))*$C$37*W102,0))</f>
        <v>71.36045473312848</v>
      </c>
      <c r="X123" s="37">
        <f>IF($C$54="annual",IF(X$5&gt;=2,$C$34*$C$55*$C$37*X102,0),IF(AND($C$54="oneTime",X$5=$C$56,$C$56&gt;1,$C$56&lt;=$C$83),$C$34*MIN(0.6,$C$55*(X$5-1))*$C$37*X102,0))</f>
        <v>71.36045473312848</v>
      </c>
      <c r="Y123" s="37">
        <f>IF($C$54="annual",IF(Y$5&gt;=2,$C$34*$C$55*$C$37*Y102,0),IF(AND($C$54="oneTime",Y$5=$C$56,$C$56&gt;1,$C$56&lt;=$C$83),$C$34*MIN(0.6,$C$55*(Y$5-1))*$C$37*Y102,0))</f>
        <v>71.36045473312848</v>
      </c>
      <c r="Z123" s="37">
        <f>IF($C$54="annual",IF(Z$5&gt;=2,$C$34*$C$55*$C$37*Z102,0),IF(AND($C$54="oneTime",Z$5=$C$56,$C$56&gt;1,$C$56&lt;=$C$83),$C$34*MIN(0.6,$C$55*(Z$5-1))*$C$37*Z102,0))</f>
        <v>71.36045473312848</v>
      </c>
      <c r="AA123" s="37">
        <f>IF($C$54="annual",IF(AA$5&gt;=2,$C$34*$C$55*$C$37*AA102,0),IF(AND($C$54="oneTime",AA$5=$C$56,$C$56&gt;1,$C$56&lt;=$C$83),$C$34*MIN(0.6,$C$55*(AA$5-1))*$C$37*AA102,0))</f>
        <v>71.36045473312848</v>
      </c>
      <c r="AB123" s="37">
        <f>IF($C$54="annual",IF(AB$5&gt;=2,$C$34*$C$55*$C$37*AB102,0),IF(AND($C$54="oneTime",AB$5=$C$56,$C$56&gt;1,$C$56&lt;=$C$83),$C$34*MIN(0.6,$C$55*(AB$5-1))*$C$37*AB102,0))</f>
        <v>71.36045473312848</v>
      </c>
      <c r="AC123" s="37">
        <f>IF($C$54="annual",IF(AC$5&gt;=2,$C$34*$C$55*$C$37*AC102,0),IF(AND($C$54="oneTime",AC$5=$C$56,$C$56&gt;1,$C$56&lt;=$C$83),$C$34*MIN(0.6,$C$55*(AC$5-1))*$C$37*AC102,0))</f>
        <v>71.36045473312848</v>
      </c>
    </row>
    <row r="125" ht="20" customHeight="1" spans="1:29" x14ac:dyDescent="0.25">
      <c r="A125" s="21" t="s">
        <v>197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x14ac:dyDescent="0.25">
      <c r="A126" s="33" t="s">
        <v>198</v>
      </c>
      <c r="B126" s="26" t="s">
        <v>83</v>
      </c>
      <c r="C126" s="57">
        <f>SUM(E126:AC126)</f>
        <v>6814.684732284537</v>
      </c>
      <c r="E126" s="37">
        <f>IF(E$5&lt;=$C$69,$C$88,0)</f>
        <v>272.5873892913815</v>
      </c>
      <c r="F126" s="37">
        <f>IF(F$5&lt;=$C$69,$C$88,0)</f>
        <v>272.5873892913815</v>
      </c>
      <c r="G126" s="37">
        <f>IF(G$5&lt;=$C$69,$C$88,0)</f>
        <v>272.5873892913815</v>
      </c>
      <c r="H126" s="37">
        <f>IF(H$5&lt;=$C$69,$C$88,0)</f>
        <v>272.5873892913815</v>
      </c>
      <c r="I126" s="37">
        <f>IF(I$5&lt;=$C$69,$C$88,0)</f>
        <v>272.5873892913815</v>
      </c>
      <c r="J126" s="37">
        <f>IF(J$5&lt;=$C$69,$C$88,0)</f>
        <v>272.5873892913815</v>
      </c>
      <c r="K126" s="37">
        <f>IF(K$5&lt;=$C$69,$C$88,0)</f>
        <v>272.5873892913815</v>
      </c>
      <c r="L126" s="37">
        <f>IF(L$5&lt;=$C$69,$C$88,0)</f>
        <v>272.5873892913815</v>
      </c>
      <c r="M126" s="37">
        <f>IF(M$5&lt;=$C$69,$C$88,0)</f>
        <v>272.5873892913815</v>
      </c>
      <c r="N126" s="37">
        <f>IF(N$5&lt;=$C$69,$C$88,0)</f>
        <v>272.5873892913815</v>
      </c>
      <c r="O126" s="37">
        <f>IF(O$5&lt;=$C$69,$C$88,0)</f>
        <v>272.5873892913815</v>
      </c>
      <c r="P126" s="37">
        <f>IF(P$5&lt;=$C$69,$C$88,0)</f>
        <v>272.5873892913815</v>
      </c>
      <c r="Q126" s="37">
        <f>IF(Q$5&lt;=$C$69,$C$88,0)</f>
        <v>272.5873892913815</v>
      </c>
      <c r="R126" s="37">
        <f>IF(R$5&lt;=$C$69,$C$88,0)</f>
        <v>272.5873892913815</v>
      </c>
      <c r="S126" s="37">
        <f>IF(S$5&lt;=$C$69,$C$88,0)</f>
        <v>272.5873892913815</v>
      </c>
      <c r="T126" s="37">
        <f>IF(T$5&lt;=$C$69,$C$88,0)</f>
        <v>272.5873892913815</v>
      </c>
      <c r="U126" s="37">
        <f>IF(U$5&lt;=$C$69,$C$88,0)</f>
        <v>272.5873892913815</v>
      </c>
      <c r="V126" s="37">
        <f>IF(V$5&lt;=$C$69,$C$88,0)</f>
        <v>272.5873892913815</v>
      </c>
      <c r="W126" s="37">
        <f>IF(W$5&lt;=$C$69,$C$88,0)</f>
        <v>272.5873892913815</v>
      </c>
      <c r="X126" s="37">
        <f>IF(X$5&lt;=$C$69,$C$88,0)</f>
        <v>272.5873892913815</v>
      </c>
      <c r="Y126" s="37">
        <f>IF(Y$5&lt;=$C$69,$C$88,0)</f>
        <v>272.5873892913815</v>
      </c>
      <c r="Z126" s="37">
        <f>IF(Z$5&lt;=$C$69,$C$88,0)</f>
        <v>272.5873892913815</v>
      </c>
      <c r="AA126" s="37">
        <f>IF(AA$5&lt;=$C$69,$C$88,0)</f>
        <v>272.5873892913815</v>
      </c>
      <c r="AB126" s="37">
        <f>IF(AB$5&lt;=$C$69,$C$88,0)</f>
        <v>272.5873892913815</v>
      </c>
      <c r="AC126" s="37">
        <f>IF(AC$5&lt;=$C$69,$C$88,0)</f>
        <v>272.5873892913815</v>
      </c>
    </row>
    <row r="127" spans="1:29" x14ac:dyDescent="0.25">
      <c r="A127" s="33" t="s">
        <v>199</v>
      </c>
      <c r="B127" s="26" t="s">
        <v>83</v>
      </c>
      <c r="E127" s="37">
        <f>E123/MAX(1,$C$83-E$5+1)</f>
        <v>0</v>
      </c>
      <c r="F127" s="37">
        <f>F123/MAX(1,$C$83-F$5+1)</f>
        <v>2.97335228054702</v>
      </c>
      <c r="G127" s="37">
        <f>G123/MAX(1,$C$83-G$5+1)</f>
        <v>3.1026284666577597</v>
      </c>
      <c r="H127" s="37">
        <f>H123/MAX(1,$C$83-H$5+1)</f>
        <v>3.2436570333240216</v>
      </c>
      <c r="I127" s="37">
        <f>I123/MAX(1,$C$83-I$5+1)</f>
        <v>3.398116892053737</v>
      </c>
      <c r="J127" s="37">
        <f>J123/MAX(1,$C$83-J$5+1)</f>
        <v>3.568022736656424</v>
      </c>
      <c r="K127" s="37">
        <f>K123/MAX(1,$C$83-K$5+1)</f>
        <v>3.755813407006762</v>
      </c>
      <c r="L127" s="37">
        <f>L123/MAX(1,$C$83-L$5+1)</f>
        <v>3.9644697073960264</v>
      </c>
      <c r="M127" s="37">
        <f>M123/MAX(1,$C$83-M$5+1)</f>
        <v>4.197673807831087</v>
      </c>
      <c r="N127" s="37">
        <f>N123/MAX(1,$C$83-N$5+1)</f>
        <v>4.46002842082053</v>
      </c>
      <c r="O127" s="37">
        <f>O123/MAX(1,$C$83-O$5+1)</f>
        <v>4.7573636488752316</v>
      </c>
      <c r="P127" s="37">
        <f>P123/MAX(1,$C$83-P$5+1)</f>
        <v>5.097175338080605</v>
      </c>
      <c r="Q127" s="37">
        <f>Q123/MAX(1,$C$83-Q$5+1)</f>
        <v>5.4892657487021905</v>
      </c>
      <c r="R127" s="37">
        <f>R123/MAX(1,$C$83-R$5+1)</f>
        <v>5.94670456109404</v>
      </c>
      <c r="S127" s="37">
        <f>S123/MAX(1,$C$83-S$5+1)</f>
        <v>6.487314066648043</v>
      </c>
      <c r="T127" s="37">
        <f>T123/MAX(1,$C$83-T$5+1)</f>
        <v>7.136045473312848</v>
      </c>
      <c r="U127" s="37">
        <f>U123/MAX(1,$C$83-U$5+1)</f>
        <v>7.928939414792053</v>
      </c>
      <c r="V127" s="37">
        <f>V123/MAX(1,$C$83-V$5+1)</f>
        <v>8.92005684164106</v>
      </c>
      <c r="W127" s="37">
        <f>W123/MAX(1,$C$83-W$5+1)</f>
        <v>10.19435067616121</v>
      </c>
      <c r="X127" s="37">
        <f>X123/MAX(1,$C$83-X$5+1)</f>
        <v>11.89340912218808</v>
      </c>
      <c r="Y127" s="37">
        <f>Y123/MAX(1,$C$83-Y$5+1)</f>
        <v>14.272090946625696</v>
      </c>
      <c r="Z127" s="37">
        <f>Z123/MAX(1,$C$83-Z$5+1)</f>
        <v>17.84011368328212</v>
      </c>
      <c r="AA127" s="37">
        <f>AA123/MAX(1,$C$83-AA$5+1)</f>
        <v>23.78681824437616</v>
      </c>
      <c r="AB127" s="37">
        <f>AB123/MAX(1,$C$83-AB$5+1)</f>
        <v>35.68022736656424</v>
      </c>
      <c r="AC127" s="37">
        <f>AC123/MAX(1,$C$83-AC$5+1)</f>
        <v>71.36045473312848</v>
      </c>
    </row>
    <row r="128" spans="1:29" x14ac:dyDescent="0.25">
      <c r="A128" s="33" t="s">
        <v>200</v>
      </c>
      <c r="B128" s="26" t="s">
        <v>83</v>
      </c>
      <c r="C128" s="57">
        <f>SUM(E128:AC128)</f>
        <v>1712.650913595083</v>
      </c>
      <c r="E128" s="37">
        <f>E127</f>
        <v>0</v>
      </c>
      <c r="F128" s="37">
        <f>E128+F127</f>
        <v>2.97335228054702</v>
      </c>
      <c r="G128" s="37">
        <f>F128+G127</f>
        <v>6.075980747204779</v>
      </c>
      <c r="H128" s="37">
        <f>G128+H127</f>
        <v>9.3196377805288</v>
      </c>
      <c r="I128" s="37">
        <f>H128+I127</f>
        <v>12.717754672582538</v>
      </c>
      <c r="J128" s="37">
        <f>I128+J127</f>
        <v>16.28577740923896</v>
      </c>
      <c r="K128" s="37">
        <f>J128+K127</f>
        <v>20.041590816245723</v>
      </c>
      <c r="L128" s="37">
        <f>K128+L127</f>
        <v>24.00606052364175</v>
      </c>
      <c r="M128" s="37">
        <f>L128+M127</f>
        <v>28.203734331472837</v>
      </c>
      <c r="N128" s="37">
        <f>M128+N127</f>
        <v>32.663762752293366</v>
      </c>
      <c r="O128" s="37">
        <f>N128+O127</f>
        <v>37.4211264011686</v>
      </c>
      <c r="P128" s="37">
        <f>O128+P127</f>
        <v>42.5183017392492</v>
      </c>
      <c r="Q128" s="37">
        <f>P128+Q127</f>
        <v>48.00756748795139</v>
      </c>
      <c r="R128" s="37">
        <f>Q128+R127</f>
        <v>53.95427204904543</v>
      </c>
      <c r="S128" s="37">
        <f>R128+S127</f>
        <v>60.44158611569347</v>
      </c>
      <c r="T128" s="37">
        <f>S128+T127</f>
        <v>67.57763158900632</v>
      </c>
      <c r="U128" s="37">
        <f>T128+U127</f>
        <v>75.50657100379837</v>
      </c>
      <c r="V128" s="37">
        <f>U128+V127</f>
        <v>84.42662784543943</v>
      </c>
      <c r="W128" s="37">
        <f>V128+W127</f>
        <v>94.62097852160063</v>
      </c>
      <c r="X128" s="37">
        <f>W128+X127</f>
        <v>106.51438764378871</v>
      </c>
      <c r="Y128" s="37">
        <f>X128+Y127</f>
        <v>120.7864785904144</v>
      </c>
      <c r="Z128" s="37">
        <f>Y128+Z127</f>
        <v>138.62659227369653</v>
      </c>
      <c r="AA128" s="37">
        <f>Z128+AA127</f>
        <v>162.41341051807268</v>
      </c>
      <c r="AB128" s="37">
        <f>AA128+AB127</f>
        <v>198.0936378846369</v>
      </c>
      <c r="AC128" s="37">
        <f>AB128+AC127</f>
        <v>269.45409261776535</v>
      </c>
    </row>
    <row r="129" spans="1:29" x14ac:dyDescent="0.25">
      <c r="A129" s="61" t="s">
        <v>197</v>
      </c>
      <c r="B129" s="62" t="s">
        <v>83</v>
      </c>
      <c r="C129" s="63">
        <f>SUM(E129:AC129)</f>
        <v>8527.33564587962</v>
      </c>
      <c r="D129" s="64"/>
      <c r="E129" s="63">
        <f>E126+E128</f>
        <v>272.5873892913815</v>
      </c>
      <c r="F129" s="63">
        <f>F126+F128</f>
        <v>275.56074157192853</v>
      </c>
      <c r="G129" s="63">
        <f>G126+G128</f>
        <v>278.66337003858627</v>
      </c>
      <c r="H129" s="63">
        <f>H126+H128</f>
        <v>281.9070270719103</v>
      </c>
      <c r="I129" s="63">
        <f>I126+I128</f>
        <v>285.30514396396404</v>
      </c>
      <c r="J129" s="63">
        <f>J126+J128</f>
        <v>288.87316670062046</v>
      </c>
      <c r="K129" s="63">
        <f>K126+K128</f>
        <v>292.6289801076272</v>
      </c>
      <c r="L129" s="63">
        <f>L126+L128</f>
        <v>296.59344981502323</v>
      </c>
      <c r="M129" s="63">
        <f>M126+M128</f>
        <v>300.79112362285434</v>
      </c>
      <c r="N129" s="63">
        <f>N126+N128</f>
        <v>305.2511520436749</v>
      </c>
      <c r="O129" s="63">
        <f>O126+O128</f>
        <v>310.0085156925501</v>
      </c>
      <c r="P129" s="63">
        <f>P126+P128</f>
        <v>315.1056910306307</v>
      </c>
      <c r="Q129" s="63">
        <f>Q126+Q128</f>
        <v>320.5949567793329</v>
      </c>
      <c r="R129" s="63">
        <f>R126+R128</f>
        <v>326.5416613404269</v>
      </c>
      <c r="S129" s="63">
        <f>S126+S128</f>
        <v>333.028975407075</v>
      </c>
      <c r="T129" s="63">
        <f>T126+T128</f>
        <v>340.16502088038783</v>
      </c>
      <c r="U129" s="63">
        <f>U126+U128</f>
        <v>348.09396029517984</v>
      </c>
      <c r="V129" s="63">
        <f>V126+V128</f>
        <v>357.01401713682094</v>
      </c>
      <c r="W129" s="63">
        <f>W126+W128</f>
        <v>367.20836781298215</v>
      </c>
      <c r="X129" s="63">
        <f>X126+X128</f>
        <v>379.1017769351702</v>
      </c>
      <c r="Y129" s="63">
        <f>Y126+Y128</f>
        <v>393.3738678817959</v>
      </c>
      <c r="Z129" s="63">
        <f>Z126+Z128</f>
        <v>411.21398156507803</v>
      </c>
      <c r="AA129" s="63">
        <f>AA126+AA128</f>
        <v>435.0007998094542</v>
      </c>
      <c r="AB129" s="63">
        <f>AB126+AB128</f>
        <v>470.6810271760184</v>
      </c>
      <c r="AC129" s="63">
        <f>AC126+AC128</f>
        <v>542.0414819091468</v>
      </c>
    </row>
    <row r="131" ht="20" customHeight="1" spans="1:29" x14ac:dyDescent="0.25">
      <c r="A131" s="21" t="s">
        <v>91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x14ac:dyDescent="0.25">
      <c r="A132" s="33" t="s">
        <v>201</v>
      </c>
      <c r="B132" s="26" t="s">
        <v>83</v>
      </c>
      <c r="E132" s="37">
        <f>$C$81</f>
        <v>5300.310347332417</v>
      </c>
      <c r="F132" s="37">
        <f>E135</f>
        <v>4946.956324176923</v>
      </c>
      <c r="G132" s="37">
        <f>F135</f>
        <v>4593.6023010214285</v>
      </c>
      <c r="H132" s="37">
        <f>G135</f>
        <v>4240.248277865934</v>
      </c>
      <c r="I132" s="37">
        <f>H135</f>
        <v>3886.89425471044</v>
      </c>
      <c r="J132" s="37">
        <f>I135</f>
        <v>3533.5402315549454</v>
      </c>
      <c r="K132" s="37">
        <f>J135</f>
        <v>3180.186208399451</v>
      </c>
      <c r="L132" s="37">
        <f>K135</f>
        <v>2826.8321852439567</v>
      </c>
      <c r="M132" s="37">
        <f>L135</f>
        <v>2473.4781620884623</v>
      </c>
      <c r="N132" s="37">
        <f>M135</f>
        <v>2120.124138932968</v>
      </c>
      <c r="O132" s="37">
        <f>N135</f>
        <v>1766.7701157774736</v>
      </c>
      <c r="P132" s="37">
        <f>O135</f>
        <v>1413.4160926219793</v>
      </c>
      <c r="Q132" s="37">
        <f>P135</f>
        <v>1060.062069466485</v>
      </c>
      <c r="R132" s="37">
        <f>Q135</f>
        <v>706.7080463109904</v>
      </c>
      <c r="S132" s="37">
        <f>R135</f>
        <v>353.35402315549595</v>
      </c>
      <c r="T132" s="37">
        <f>S135</f>
        <v>1.4779288903810084e-12</v>
      </c>
      <c r="U132" s="37">
        <f>T135</f>
        <v>1.4779288903810084e-12</v>
      </c>
      <c r="V132" s="37">
        <f>U135</f>
        <v>1.4779288903810084e-12</v>
      </c>
      <c r="W132" s="37">
        <f>V135</f>
        <v>1.4779288903810084e-12</v>
      </c>
      <c r="X132" s="37">
        <f>W135</f>
        <v>1.4779288903810084e-12</v>
      </c>
      <c r="Y132" s="37">
        <f>X135</f>
        <v>1.4779288903810084e-12</v>
      </c>
      <c r="Z132" s="37">
        <f>Y135</f>
        <v>1.4779288903810084e-12</v>
      </c>
      <c r="AA132" s="37">
        <f>Z135</f>
        <v>1.4779288903810084e-12</v>
      </c>
      <c r="AB132" s="37">
        <f>AA135</f>
        <v>1.4779288903810084e-12</v>
      </c>
      <c r="AC132" s="37">
        <f>AB135</f>
        <v>1.4779288903810084e-12</v>
      </c>
    </row>
    <row r="133" spans="1:29" x14ac:dyDescent="0.25">
      <c r="A133" s="33" t="s">
        <v>202</v>
      </c>
      <c r="B133" s="26" t="s">
        <v>83</v>
      </c>
      <c r="C133" s="57">
        <f>SUM(E133:AC133)</f>
        <v>3816.2234500793415</v>
      </c>
      <c r="E133" s="37">
        <f>E132*$C$60</f>
        <v>477.0279312599175</v>
      </c>
      <c r="F133" s="37">
        <f>F132*$C$60</f>
        <v>445.22606917592304</v>
      </c>
      <c r="G133" s="37">
        <f>G132*$C$60</f>
        <v>413.42420709192857</v>
      </c>
      <c r="H133" s="37">
        <f>H132*$C$60</f>
        <v>381.6223450079341</v>
      </c>
      <c r="I133" s="37">
        <f>I132*$C$60</f>
        <v>349.82048292393955</v>
      </c>
      <c r="J133" s="37">
        <f>J132*$C$60</f>
        <v>318.0186208399451</v>
      </c>
      <c r="K133" s="37">
        <f>K132*$C$60</f>
        <v>286.2167587559506</v>
      </c>
      <c r="L133" s="37">
        <f>L132*$C$60</f>
        <v>254.4148966719561</v>
      </c>
      <c r="M133" s="37">
        <f>M132*$C$60</f>
        <v>222.6130345879616</v>
      </c>
      <c r="N133" s="37">
        <f>N132*$C$60</f>
        <v>190.8111725039671</v>
      </c>
      <c r="O133" s="37">
        <f>O132*$C$60</f>
        <v>159.00931041997262</v>
      </c>
      <c r="P133" s="37">
        <f>P132*$C$60</f>
        <v>127.20744833597813</v>
      </c>
      <c r="Q133" s="37">
        <f>Q132*$C$60</f>
        <v>95.40558625198364</v>
      </c>
      <c r="R133" s="37">
        <f>R132*$C$60</f>
        <v>63.603724167989135</v>
      </c>
      <c r="S133" s="37">
        <f>S132*$C$60</f>
        <v>31.801862083994635</v>
      </c>
      <c r="T133" s="37">
        <f>T132*$C$60</f>
        <v>1.3301360013429075e-13</v>
      </c>
      <c r="U133" s="37">
        <f>U132*$C$60</f>
        <v>1.3301360013429075e-13</v>
      </c>
      <c r="V133" s="37">
        <f>V132*$C$60</f>
        <v>1.3301360013429075e-13</v>
      </c>
      <c r="W133" s="37">
        <f>W132*$C$60</f>
        <v>1.3301360013429075e-13</v>
      </c>
      <c r="X133" s="37">
        <f>X132*$C$60</f>
        <v>1.3301360013429075e-13</v>
      </c>
      <c r="Y133" s="37">
        <f>Y132*$C$60</f>
        <v>1.3301360013429075e-13</v>
      </c>
      <c r="Z133" s="37">
        <f>Z132*$C$60</f>
        <v>1.3301360013429075e-13</v>
      </c>
      <c r="AA133" s="37">
        <f>AA132*$C$60</f>
        <v>1.3301360013429075e-13</v>
      </c>
      <c r="AB133" s="37">
        <f>AB132*$C$60</f>
        <v>1.3301360013429075e-13</v>
      </c>
      <c r="AC133" s="37">
        <f>AC132*$C$60</f>
        <v>1.3301360013429075e-13</v>
      </c>
    </row>
    <row r="134" spans="1:29" x14ac:dyDescent="0.25">
      <c r="A134" s="33" t="s">
        <v>203</v>
      </c>
      <c r="B134" s="26" t="s">
        <v>83</v>
      </c>
      <c r="C134" s="57">
        <f>SUM(E134:AC134)</f>
        <v>5300.310347332416</v>
      </c>
      <c r="E134" s="37">
        <f>IF(AND(E$5&lt;=$C$84,E132&gt;1E-9),IF($C$62="annuity",MIN(E132,$C$85-E133),MIN(E132,$C$86)),0)</f>
        <v>353.3540231554945</v>
      </c>
      <c r="F134" s="37">
        <f>IF(AND(F$5&lt;=$C$84,F132&gt;1E-9),IF($C$62="annuity",MIN(F132,$C$85-F133),MIN(F132,$C$86)),0)</f>
        <v>353.3540231554945</v>
      </c>
      <c r="G134" s="37">
        <f>IF(AND(G$5&lt;=$C$84,G132&gt;1E-9),IF($C$62="annuity",MIN(G132,$C$85-G133),MIN(G132,$C$86)),0)</f>
        <v>353.3540231554945</v>
      </c>
      <c r="H134" s="37">
        <f>IF(AND(H$5&lt;=$C$84,H132&gt;1E-9),IF($C$62="annuity",MIN(H132,$C$85-H133),MIN(H132,$C$86)),0)</f>
        <v>353.3540231554945</v>
      </c>
      <c r="I134" s="37">
        <f>IF(AND(I$5&lt;=$C$84,I132&gt;1E-9),IF($C$62="annuity",MIN(I132,$C$85-I133),MIN(I132,$C$86)),0)</f>
        <v>353.3540231554945</v>
      </c>
      <c r="J134" s="37">
        <f>IF(AND(J$5&lt;=$C$84,J132&gt;1E-9),IF($C$62="annuity",MIN(J132,$C$85-J133),MIN(J132,$C$86)),0)</f>
        <v>353.3540231554945</v>
      </c>
      <c r="K134" s="37">
        <f>IF(AND(K$5&lt;=$C$84,K132&gt;1E-9),IF($C$62="annuity",MIN(K132,$C$85-K133),MIN(K132,$C$86)),0)</f>
        <v>353.3540231554945</v>
      </c>
      <c r="L134" s="37">
        <f>IF(AND(L$5&lt;=$C$84,L132&gt;1E-9),IF($C$62="annuity",MIN(L132,$C$85-L133),MIN(L132,$C$86)),0)</f>
        <v>353.3540231554945</v>
      </c>
      <c r="M134" s="37">
        <f>IF(AND(M$5&lt;=$C$84,M132&gt;1E-9),IF($C$62="annuity",MIN(M132,$C$85-M133),MIN(M132,$C$86)),0)</f>
        <v>353.3540231554945</v>
      </c>
      <c r="N134" s="37">
        <f>IF(AND(N$5&lt;=$C$84,N132&gt;1E-9),IF($C$62="annuity",MIN(N132,$C$85-N133),MIN(N132,$C$86)),0)</f>
        <v>353.3540231554945</v>
      </c>
      <c r="O134" s="37">
        <f>IF(AND(O$5&lt;=$C$84,O132&gt;1E-9),IF($C$62="annuity",MIN(O132,$C$85-O133),MIN(O132,$C$86)),0)</f>
        <v>353.3540231554945</v>
      </c>
      <c r="P134" s="37">
        <f>IF(AND(P$5&lt;=$C$84,P132&gt;1E-9),IF($C$62="annuity",MIN(P132,$C$85-P133),MIN(P132,$C$86)),0)</f>
        <v>353.3540231554945</v>
      </c>
      <c r="Q134" s="37">
        <f>IF(AND(Q$5&lt;=$C$84,Q132&gt;1E-9),IF($C$62="annuity",MIN(Q132,$C$85-Q133),MIN(Q132,$C$86)),0)</f>
        <v>353.3540231554945</v>
      </c>
      <c r="R134" s="37">
        <f>IF(AND(R$5&lt;=$C$84,R132&gt;1E-9),IF($C$62="annuity",MIN(R132,$C$85-R133),MIN(R132,$C$86)),0)</f>
        <v>353.3540231554945</v>
      </c>
      <c r="S134" s="37">
        <f>IF(AND(S$5&lt;=$C$84,S132&gt;1E-9),IF($C$62="annuity",MIN(S132,$C$85-S133),MIN(S132,$C$86)),0)</f>
        <v>353.3540231554945</v>
      </c>
      <c r="T134" s="37">
        <f>IF(AND(T$5&lt;=$C$84,T132&gt;1E-9),IF($C$62="annuity",MIN(T132,$C$85-T133),MIN(T132,$C$86)),0)</f>
        <v>0</v>
      </c>
      <c r="U134" s="37">
        <f>IF(AND(U$5&lt;=$C$84,U132&gt;1E-9),IF($C$62="annuity",MIN(U132,$C$85-U133),MIN(U132,$C$86)),0)</f>
        <v>0</v>
      </c>
      <c r="V134" s="37">
        <f>IF(AND(V$5&lt;=$C$84,V132&gt;1E-9),IF($C$62="annuity",MIN(V132,$C$85-V133),MIN(V132,$C$86)),0)</f>
        <v>0</v>
      </c>
      <c r="W134" s="37">
        <f>IF(AND(W$5&lt;=$C$84,W132&gt;1E-9),IF($C$62="annuity",MIN(W132,$C$85-W133),MIN(W132,$C$86)),0)</f>
        <v>0</v>
      </c>
      <c r="X134" s="37">
        <f>IF(AND(X$5&lt;=$C$84,X132&gt;1E-9),IF($C$62="annuity",MIN(X132,$C$85-X133),MIN(X132,$C$86)),0)</f>
        <v>0</v>
      </c>
      <c r="Y134" s="37">
        <f>IF(AND(Y$5&lt;=$C$84,Y132&gt;1E-9),IF($C$62="annuity",MIN(Y132,$C$85-Y133),MIN(Y132,$C$86)),0)</f>
        <v>0</v>
      </c>
      <c r="Z134" s="37">
        <f>IF(AND(Z$5&lt;=$C$84,Z132&gt;1E-9),IF($C$62="annuity",MIN(Z132,$C$85-Z133),MIN(Z132,$C$86)),0)</f>
        <v>0</v>
      </c>
      <c r="AA134" s="37">
        <f>IF(AND(AA$5&lt;=$C$84,AA132&gt;1E-9),IF($C$62="annuity",MIN(AA132,$C$85-AA133),MIN(AA132,$C$86)),0)</f>
        <v>0</v>
      </c>
      <c r="AB134" s="37">
        <f>IF(AND(AB$5&lt;=$C$84,AB132&gt;1E-9),IF($C$62="annuity",MIN(AB132,$C$85-AB133),MIN(AB132,$C$86)),0)</f>
        <v>0</v>
      </c>
      <c r="AC134" s="37">
        <f>IF(AND(AC$5&lt;=$C$84,AC132&gt;1E-9),IF($C$62="annuity",MIN(AC132,$C$85-AC133),MIN(AC132,$C$86)),0)</f>
        <v>0</v>
      </c>
    </row>
    <row r="135" spans="1:29" x14ac:dyDescent="0.25">
      <c r="A135" s="33" t="s">
        <v>204</v>
      </c>
      <c r="B135" s="26" t="s">
        <v>83</v>
      </c>
      <c r="E135" s="37">
        <f>E132-E134</f>
        <v>4946.956324176923</v>
      </c>
      <c r="F135" s="37">
        <f>F132-F134</f>
        <v>4593.6023010214285</v>
      </c>
      <c r="G135" s="37">
        <f>G132-G134</f>
        <v>4240.248277865934</v>
      </c>
      <c r="H135" s="37">
        <f>H132-H134</f>
        <v>3886.89425471044</v>
      </c>
      <c r="I135" s="37">
        <f>I132-I134</f>
        <v>3533.5402315549454</v>
      </c>
      <c r="J135" s="37">
        <f>J132-J134</f>
        <v>3180.186208399451</v>
      </c>
      <c r="K135" s="37">
        <f>K132-K134</f>
        <v>2826.8321852439567</v>
      </c>
      <c r="L135" s="37">
        <f>L132-L134</f>
        <v>2473.4781620884623</v>
      </c>
      <c r="M135" s="37">
        <f>M132-M134</f>
        <v>2120.124138932968</v>
      </c>
      <c r="N135" s="37">
        <f>N132-N134</f>
        <v>1766.7701157774736</v>
      </c>
      <c r="O135" s="37">
        <f>O132-O134</f>
        <v>1413.4160926219793</v>
      </c>
      <c r="P135" s="37">
        <f>P132-P134</f>
        <v>1060.062069466485</v>
      </c>
      <c r="Q135" s="37">
        <f>Q132-Q134</f>
        <v>706.7080463109904</v>
      </c>
      <c r="R135" s="37">
        <f>R132-R134</f>
        <v>353.35402315549595</v>
      </c>
      <c r="S135" s="37">
        <f>S132-S134</f>
        <v>1.4779288903810084e-12</v>
      </c>
      <c r="T135" s="37">
        <f>T132-T134</f>
        <v>1.4779288903810084e-12</v>
      </c>
      <c r="U135" s="37">
        <f>U132-U134</f>
        <v>1.4779288903810084e-12</v>
      </c>
      <c r="V135" s="37">
        <f>V132-V134</f>
        <v>1.4779288903810084e-12</v>
      </c>
      <c r="W135" s="37">
        <f>W132-W134</f>
        <v>1.4779288903810084e-12</v>
      </c>
      <c r="X135" s="37">
        <f>X132-X134</f>
        <v>1.4779288903810084e-12</v>
      </c>
      <c r="Y135" s="37">
        <f>Y132-Y134</f>
        <v>1.4779288903810084e-12</v>
      </c>
      <c r="Z135" s="37">
        <f>Z132-Z134</f>
        <v>1.4779288903810084e-12</v>
      </c>
      <c r="AA135" s="37">
        <f>AA132-AA134</f>
        <v>1.4779288903810084e-12</v>
      </c>
      <c r="AB135" s="37">
        <f>AB132-AB134</f>
        <v>1.4779288903810084e-12</v>
      </c>
      <c r="AC135" s="37">
        <f>AC132-AC134</f>
        <v>1.4779288903810084e-12</v>
      </c>
    </row>
    <row r="136" spans="1:29" x14ac:dyDescent="0.25">
      <c r="A136" s="61" t="s">
        <v>205</v>
      </c>
      <c r="B136" s="62" t="s">
        <v>83</v>
      </c>
      <c r="C136" s="63">
        <f>SUM(E136:AC136)</f>
        <v>9116.53379741176</v>
      </c>
      <c r="D136" s="64"/>
      <c r="E136" s="63">
        <f>E133+E134</f>
        <v>830.381954415412</v>
      </c>
      <c r="F136" s="63">
        <f>F133+F134</f>
        <v>798.5800923314175</v>
      </c>
      <c r="G136" s="63">
        <f>G133+G134</f>
        <v>766.778230247423</v>
      </c>
      <c r="H136" s="63">
        <f>H133+H134</f>
        <v>734.9763681634286</v>
      </c>
      <c r="I136" s="63">
        <f>I133+I134</f>
        <v>703.174506079434</v>
      </c>
      <c r="J136" s="63">
        <f>J133+J134</f>
        <v>671.3726439954396</v>
      </c>
      <c r="K136" s="63">
        <f>K133+K134</f>
        <v>639.570781911445</v>
      </c>
      <c r="L136" s="63">
        <f>L133+L134</f>
        <v>607.7689198274505</v>
      </c>
      <c r="M136" s="63">
        <f>M133+M134</f>
        <v>575.967057743456</v>
      </c>
      <c r="N136" s="63">
        <f>N133+N134</f>
        <v>544.1651956594616</v>
      </c>
      <c r="O136" s="63">
        <f>O133+O134</f>
        <v>512.3633335754671</v>
      </c>
      <c r="P136" s="63">
        <f>P133+P134</f>
        <v>480.5614714914726</v>
      </c>
      <c r="Q136" s="63">
        <f>Q133+Q134</f>
        <v>448.75960940747814</v>
      </c>
      <c r="R136" s="63">
        <f>R133+R134</f>
        <v>416.9577473234836</v>
      </c>
      <c r="S136" s="63">
        <f>S133+S134</f>
        <v>385.1558852394891</v>
      </c>
      <c r="T136" s="63">
        <f>T133+T134</f>
        <v>1.3301360013429075e-13</v>
      </c>
      <c r="U136" s="63">
        <f>U133+U134</f>
        <v>1.3301360013429075e-13</v>
      </c>
      <c r="V136" s="63">
        <f>V133+V134</f>
        <v>1.3301360013429075e-13</v>
      </c>
      <c r="W136" s="63">
        <f>W133+W134</f>
        <v>1.3301360013429075e-13</v>
      </c>
      <c r="X136" s="63">
        <f>X133+X134</f>
        <v>1.3301360013429075e-13</v>
      </c>
      <c r="Y136" s="63">
        <f>Y133+Y134</f>
        <v>1.3301360013429075e-13</v>
      </c>
      <c r="Z136" s="63">
        <f>Z133+Z134</f>
        <v>1.3301360013429075e-13</v>
      </c>
      <c r="AA136" s="63">
        <f>AA133+AA134</f>
        <v>1.3301360013429075e-13</v>
      </c>
      <c r="AB136" s="63">
        <f>AB133+AB134</f>
        <v>1.3301360013429075e-13</v>
      </c>
      <c r="AC136" s="63">
        <f>AC133+AC134</f>
        <v>1.3301360013429075e-13</v>
      </c>
    </row>
    <row r="138" ht="20" customHeight="1" spans="1:29" x14ac:dyDescent="0.25">
      <c r="A138" s="21" t="s">
        <v>159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x14ac:dyDescent="0.25">
      <c r="A139" s="33" t="s">
        <v>206</v>
      </c>
      <c r="B139" s="26" t="s">
        <v>83</v>
      </c>
      <c r="E139" s="37">
        <f>$C$80</f>
        <v>7571.871924760597</v>
      </c>
      <c r="F139" s="37">
        <f>E142</f>
        <v>4543.123154856357</v>
      </c>
      <c r="G139" s="37">
        <f>F142</f>
        <v>2768.690165753692</v>
      </c>
      <c r="H139" s="37">
        <f>G142</f>
        <v>1704.0303722920921</v>
      </c>
      <c r="I139" s="37">
        <f>H142</f>
        <v>1065.2344962151324</v>
      </c>
      <c r="J139" s="37">
        <f>I142</f>
        <v>681.9569705689565</v>
      </c>
      <c r="K139" s="37">
        <f>J142</f>
        <v>451.990455181251</v>
      </c>
      <c r="L139" s="37">
        <f>K142</f>
        <v>314.0105459486277</v>
      </c>
      <c r="M139" s="37">
        <f>L142</f>
        <v>231.2226004090537</v>
      </c>
      <c r="N139" s="37">
        <f>M142</f>
        <v>181.54983308530927</v>
      </c>
      <c r="O139" s="37">
        <f>N142</f>
        <v>151.74617269106264</v>
      </c>
      <c r="P139" s="37">
        <f>O142</f>
        <v>133.86397645451467</v>
      </c>
      <c r="Q139" s="37">
        <f>P142</f>
        <v>123.13465871258589</v>
      </c>
      <c r="R139" s="37">
        <f>Q142</f>
        <v>116.69706806742862</v>
      </c>
      <c r="S139" s="37">
        <f>R142</f>
        <v>112.83451368033424</v>
      </c>
      <c r="T139" s="37">
        <f>S142</f>
        <v>110.51698104807764</v>
      </c>
      <c r="U139" s="37">
        <f>T142</f>
        <v>109.12646146872366</v>
      </c>
      <c r="V139" s="37">
        <f>U142</f>
        <v>108.29214972111127</v>
      </c>
      <c r="W139" s="37">
        <f>V142</f>
        <v>107.79156267254383</v>
      </c>
      <c r="X139" s="37">
        <f>W142</f>
        <v>107.49121044340339</v>
      </c>
      <c r="Y139" s="37">
        <f>X142</f>
        <v>107.31099910591912</v>
      </c>
      <c r="Z139" s="37">
        <f>Y142</f>
        <v>107.20287230342856</v>
      </c>
      <c r="AA139" s="37">
        <f>Z142</f>
        <v>107.13799622193422</v>
      </c>
      <c r="AB139" s="37">
        <f>AA142</f>
        <v>107.09907057303762</v>
      </c>
      <c r="AC139" s="37">
        <f>AB142</f>
        <v>107.07571518369964</v>
      </c>
    </row>
    <row r="140" spans="1:29" x14ac:dyDescent="0.25">
      <c r="A140" s="33" t="s">
        <v>207</v>
      </c>
      <c r="B140" s="26" t="s">
        <v>83</v>
      </c>
      <c r="C140" s="57">
        <f>SUM(E140:AC140)</f>
        <v>1712.650913595084</v>
      </c>
      <c r="E140" s="37">
        <f>E123</f>
        <v>0</v>
      </c>
      <c r="F140" s="37">
        <f>F123</f>
        <v>71.36045473312848</v>
      </c>
      <c r="G140" s="37">
        <f>G123</f>
        <v>71.36045473312848</v>
      </c>
      <c r="H140" s="37">
        <f>H123</f>
        <v>71.36045473312848</v>
      </c>
      <c r="I140" s="37">
        <f>I123</f>
        <v>71.36045473312848</v>
      </c>
      <c r="J140" s="37">
        <f>J123</f>
        <v>71.36045473312848</v>
      </c>
      <c r="K140" s="37">
        <f>K123</f>
        <v>71.36045473312848</v>
      </c>
      <c r="L140" s="37">
        <f>L123</f>
        <v>71.36045473312848</v>
      </c>
      <c r="M140" s="37">
        <f>M123</f>
        <v>71.36045473312848</v>
      </c>
      <c r="N140" s="37">
        <f>N123</f>
        <v>71.36045473312848</v>
      </c>
      <c r="O140" s="37">
        <f>O123</f>
        <v>71.36045473312848</v>
      </c>
      <c r="P140" s="37">
        <f>P123</f>
        <v>71.36045473312848</v>
      </c>
      <c r="Q140" s="37">
        <f>Q123</f>
        <v>71.36045473312848</v>
      </c>
      <c r="R140" s="37">
        <f>R123</f>
        <v>71.36045473312848</v>
      </c>
      <c r="S140" s="37">
        <f>S123</f>
        <v>71.36045473312848</v>
      </c>
      <c r="T140" s="37">
        <f>T123</f>
        <v>71.36045473312848</v>
      </c>
      <c r="U140" s="37">
        <f>U123</f>
        <v>71.36045473312848</v>
      </c>
      <c r="V140" s="37">
        <f>V123</f>
        <v>71.36045473312848</v>
      </c>
      <c r="W140" s="37">
        <f>W123</f>
        <v>71.36045473312848</v>
      </c>
      <c r="X140" s="37">
        <f>X123</f>
        <v>71.36045473312848</v>
      </c>
      <c r="Y140" s="37">
        <f>Y123</f>
        <v>71.36045473312848</v>
      </c>
      <c r="Z140" s="37">
        <f>Z123</f>
        <v>71.36045473312848</v>
      </c>
      <c r="AA140" s="37">
        <f>AA123</f>
        <v>71.36045473312848</v>
      </c>
      <c r="AB140" s="37">
        <f>AB123</f>
        <v>71.36045473312848</v>
      </c>
      <c r="AC140" s="37">
        <f>AC123</f>
        <v>71.36045473312848</v>
      </c>
    </row>
    <row r="141" spans="1:29" x14ac:dyDescent="0.25">
      <c r="A141" s="61" t="s">
        <v>159</v>
      </c>
      <c r="B141" s="62" t="s">
        <v>83</v>
      </c>
      <c r="C141" s="63">
        <f>SUM(E141:AC141)</f>
        <v>9177.461136405584</v>
      </c>
      <c r="D141" s="64"/>
      <c r="E141" s="63">
        <f>IF($C$67="wdv",(E139+E140)*$C$68,E129)</f>
        <v>3028.748769904239</v>
      </c>
      <c r="F141" s="63">
        <f>IF($C$67="wdv",(F139+F140)*$C$68,F129)</f>
        <v>1845.7934438357945</v>
      </c>
      <c r="G141" s="63">
        <f>IF($C$67="wdv",(G139+G140)*$C$68,G129)</f>
        <v>1136.020248194728</v>
      </c>
      <c r="H141" s="63">
        <f>IF($C$67="wdv",(H139+H140)*$C$68,H129)</f>
        <v>710.1563308100883</v>
      </c>
      <c r="I141" s="63">
        <f>IF($C$67="wdv",(I139+I140)*$C$68,I129)</f>
        <v>454.6379803793044</v>
      </c>
      <c r="J141" s="63">
        <f>IF($C$67="wdv",(J139+J140)*$C$68,J129)</f>
        <v>301.326970120834</v>
      </c>
      <c r="K141" s="63">
        <f>IF($C$67="wdv",(K139+K140)*$C$68,K129)</f>
        <v>209.3403639657518</v>
      </c>
      <c r="L141" s="63">
        <f>IF($C$67="wdv",(L139+L140)*$C$68,L129)</f>
        <v>154.14840027270247</v>
      </c>
      <c r="M141" s="63">
        <f>IF($C$67="wdv",(M139+M140)*$C$68,M129)</f>
        <v>121.03322205687287</v>
      </c>
      <c r="N141" s="63">
        <f>IF($C$67="wdv",(N139+N140)*$C$68,N129)</f>
        <v>101.16411512737511</v>
      </c>
      <c r="O141" s="63">
        <f>IF($C$67="wdv",(O139+O140)*$C$68,O129)</f>
        <v>89.24265096967645</v>
      </c>
      <c r="P141" s="63">
        <f>IF($C$67="wdv",(P139+P140)*$C$68,P129)</f>
        <v>82.08977247505726</v>
      </c>
      <c r="Q141" s="63">
        <f>IF($C$67="wdv",(Q139+Q140)*$C$68,Q129)</f>
        <v>77.79804537828575</v>
      </c>
      <c r="R141" s="63">
        <f>IF($C$67="wdv",(R139+R140)*$C$68,R129)</f>
        <v>75.22300912022284</v>
      </c>
      <c r="S141" s="63">
        <f>IF($C$67="wdv",(S139+S140)*$C$68,S129)</f>
        <v>73.67798736538509</v>
      </c>
      <c r="T141" s="63">
        <f>IF($C$67="wdv",(T139+T140)*$C$68,T129)</f>
        <v>72.75097431248246</v>
      </c>
      <c r="U141" s="63">
        <f>IF($C$67="wdv",(U139+U140)*$C$68,U129)</f>
        <v>72.19476648074085</v>
      </c>
      <c r="V141" s="63">
        <f>IF($C$67="wdv",(V139+V140)*$C$68,V129)</f>
        <v>71.8610417816959</v>
      </c>
      <c r="W141" s="63">
        <f>IF($C$67="wdv",(W139+W140)*$C$68,W129)</f>
        <v>71.66080696226894</v>
      </c>
      <c r="X141" s="63">
        <f>IF($C$67="wdv",(X139+X140)*$C$68,X129)</f>
        <v>71.54066607061274</v>
      </c>
      <c r="Y141" s="63">
        <f>IF($C$67="wdv",(Y139+Y140)*$C$68,Y129)</f>
        <v>71.46858153561905</v>
      </c>
      <c r="Z141" s="63">
        <f>IF($C$67="wdv",(Z139+Z140)*$C$68,Z129)</f>
        <v>71.42533081462282</v>
      </c>
      <c r="AA141" s="63">
        <f>IF($C$67="wdv",(AA139+AA140)*$C$68,AA129)</f>
        <v>71.39938038202509</v>
      </c>
      <c r="AB141" s="63">
        <f>IF($C$67="wdv",(AB139+AB140)*$C$68,AB129)</f>
        <v>71.38381012246644</v>
      </c>
      <c r="AC141" s="63">
        <f>IF($C$67="wdv",(AC139+AC140)*$C$68,AC129)</f>
        <v>71.37446796673126</v>
      </c>
    </row>
    <row r="142" spans="1:29" x14ac:dyDescent="0.25">
      <c r="A142" s="33" t="s">
        <v>208</v>
      </c>
      <c r="B142" s="26" t="s">
        <v>83</v>
      </c>
      <c r="E142" s="37">
        <f>E139+E140-IF($C$67="wdv",E141,0)</f>
        <v>4543.123154856357</v>
      </c>
      <c r="F142" s="37">
        <f>F139+F140-IF($C$67="wdv",F141,0)</f>
        <v>2768.690165753692</v>
      </c>
      <c r="G142" s="37">
        <f>G139+G140-IF($C$67="wdv",G141,0)</f>
        <v>1704.0303722920921</v>
      </c>
      <c r="H142" s="37">
        <f>H139+H140-IF($C$67="wdv",H141,0)</f>
        <v>1065.2344962151324</v>
      </c>
      <c r="I142" s="37">
        <f>I139+I140-IF($C$67="wdv",I141,0)</f>
        <v>681.9569705689565</v>
      </c>
      <c r="J142" s="37">
        <f>J139+J140-IF($C$67="wdv",J141,0)</f>
        <v>451.990455181251</v>
      </c>
      <c r="K142" s="37">
        <f>K139+K140-IF($C$67="wdv",K141,0)</f>
        <v>314.0105459486277</v>
      </c>
      <c r="L142" s="37">
        <f>L139+L140-IF($C$67="wdv",L141,0)</f>
        <v>231.2226004090537</v>
      </c>
      <c r="M142" s="37">
        <f>M139+M140-IF($C$67="wdv",M141,0)</f>
        <v>181.54983308530927</v>
      </c>
      <c r="N142" s="37">
        <f>N139+N140-IF($C$67="wdv",N141,0)</f>
        <v>151.74617269106264</v>
      </c>
      <c r="O142" s="37">
        <f>O139+O140-IF($C$67="wdv",O141,0)</f>
        <v>133.86397645451467</v>
      </c>
      <c r="P142" s="37">
        <f>P139+P140-IF($C$67="wdv",P141,0)</f>
        <v>123.13465871258589</v>
      </c>
      <c r="Q142" s="37">
        <f>Q139+Q140-IF($C$67="wdv",Q141,0)</f>
        <v>116.69706806742862</v>
      </c>
      <c r="R142" s="37">
        <f>R139+R140-IF($C$67="wdv",R141,0)</f>
        <v>112.83451368033424</v>
      </c>
      <c r="S142" s="37">
        <f>S139+S140-IF($C$67="wdv",S141,0)</f>
        <v>110.51698104807764</v>
      </c>
      <c r="T142" s="37">
        <f>T139+T140-IF($C$67="wdv",T141,0)</f>
        <v>109.12646146872366</v>
      </c>
      <c r="U142" s="37">
        <f>U139+U140-IF($C$67="wdv",U141,0)</f>
        <v>108.29214972111127</v>
      </c>
      <c r="V142" s="37">
        <f>V139+V140-IF($C$67="wdv",V141,0)</f>
        <v>107.79156267254383</v>
      </c>
      <c r="W142" s="37">
        <f>W139+W140-IF($C$67="wdv",W141,0)</f>
        <v>107.49121044340339</v>
      </c>
      <c r="X142" s="37">
        <f>X139+X140-IF($C$67="wdv",X141,0)</f>
        <v>107.31099910591912</v>
      </c>
      <c r="Y142" s="37">
        <f>Y139+Y140-IF($C$67="wdv",Y141,0)</f>
        <v>107.20287230342856</v>
      </c>
      <c r="Z142" s="37">
        <f>Z139+Z140-IF($C$67="wdv",Z141,0)</f>
        <v>107.13799622193422</v>
      </c>
      <c r="AA142" s="37">
        <f>AA139+AA140-IF($C$67="wdv",AA141,0)</f>
        <v>107.09907057303762</v>
      </c>
      <c r="AB142" s="37">
        <f>AB139+AB140-IF($C$67="wdv",AB141,0)</f>
        <v>107.07571518369964</v>
      </c>
      <c r="AC142" s="37">
        <f>AC139+AC140-IF($C$67="wdv",AC141,0)</f>
        <v>107.06170195009688</v>
      </c>
    </row>
    <row r="144" ht="20" customHeight="1" spans="1:29" x14ac:dyDescent="0.25">
      <c r="A144" s="21" t="s">
        <v>209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x14ac:dyDescent="0.25">
      <c r="A145" s="33" t="s">
        <v>194</v>
      </c>
      <c r="B145" s="26" t="s">
        <v>83</v>
      </c>
      <c r="C145" s="57">
        <f>SUM(E145:AC145)</f>
        <v>25190.292788569055</v>
      </c>
      <c r="E145" s="37">
        <f>E119</f>
        <v>1109.318975384476</v>
      </c>
      <c r="F145" s="37">
        <f>F119</f>
        <v>1102.7007860198814</v>
      </c>
      <c r="G145" s="37">
        <f>G119</f>
        <v>1095.902313990412</v>
      </c>
      <c r="H145" s="37">
        <f>H119</f>
        <v>1088.914545162823</v>
      </c>
      <c r="I145" s="37">
        <f>I119</f>
        <v>1081.7280146972093</v>
      </c>
      <c r="J145" s="37">
        <f>J119</f>
        <v>1074.3327845116692</v>
      </c>
      <c r="K145" s="37">
        <f>K119</f>
        <v>1066.7184196202068</v>
      </c>
      <c r="L145" s="37">
        <f>L119</f>
        <v>1058.8739632875258</v>
      </c>
      <c r="M145" s="37">
        <f>M119</f>
        <v>1050.787910941565</v>
      </c>
      <c r="N145" s="37">
        <f>N119</f>
        <v>1042.4481827816608</v>
      </c>
      <c r="O145" s="37">
        <f>O119</f>
        <v>1033.8420950171155</v>
      </c>
      <c r="P145" s="37">
        <f>P119</f>
        <v>1024.956329667698</v>
      </c>
      <c r="Q145" s="37">
        <f>Q119</f>
        <v>1015.7769028541638</v>
      </c>
      <c r="R145" s="37">
        <f>R119</f>
        <v>1006.2891315033073</v>
      </c>
      <c r="S145" s="37">
        <f>S119</f>
        <v>996.4775983882628</v>
      </c>
      <c r="T145" s="37">
        <f>T119</f>
        <v>986.3261154208199</v>
      </c>
      <c r="U145" s="37">
        <f>U119</f>
        <v>975.8176851083596</v>
      </c>
      <c r="V145" s="37">
        <f>V119</f>
        <v>964.9344600836309</v>
      </c>
      <c r="W145" s="37">
        <f>W119</f>
        <v>953.6577006110201</v>
      </c>
      <c r="X145" s="37">
        <f>X119</f>
        <v>941.9677299681339</v>
      </c>
      <c r="Y145" s="37">
        <f>Y119</f>
        <v>929.8438875964569</v>
      </c>
      <c r="Z145" s="37">
        <f>Z119</f>
        <v>917.2644799095508</v>
      </c>
      <c r="AA145" s="37">
        <f>AA119</f>
        <v>904.2067286416541</v>
      </c>
      <c r="AB145" s="37">
        <f>AB119</f>
        <v>890.6467166137163</v>
      </c>
      <c r="AC145" s="37">
        <f>AC119</f>
        <v>876.5593307877374</v>
      </c>
    </row>
    <row r="146" spans="1:29" x14ac:dyDescent="0.25">
      <c r="A146" s="33" t="s">
        <v>210</v>
      </c>
      <c r="B146" s="26" t="s">
        <v>83</v>
      </c>
      <c r="C146" s="57">
        <f>SUM(E146:AC146)</f>
        <v>8527.33564587962</v>
      </c>
      <c r="E146" s="37">
        <f>E129</f>
        <v>272.5873892913815</v>
      </c>
      <c r="F146" s="37">
        <f>F129</f>
        <v>275.56074157192853</v>
      </c>
      <c r="G146" s="37">
        <f>G129</f>
        <v>278.66337003858627</v>
      </c>
      <c r="H146" s="37">
        <f>H129</f>
        <v>281.9070270719103</v>
      </c>
      <c r="I146" s="37">
        <f>I129</f>
        <v>285.30514396396404</v>
      </c>
      <c r="J146" s="37">
        <f>J129</f>
        <v>288.87316670062046</v>
      </c>
      <c r="K146" s="37">
        <f>K129</f>
        <v>292.6289801076272</v>
      </c>
      <c r="L146" s="37">
        <f>L129</f>
        <v>296.59344981502323</v>
      </c>
      <c r="M146" s="37">
        <f>M129</f>
        <v>300.79112362285434</v>
      </c>
      <c r="N146" s="37">
        <f>N129</f>
        <v>305.2511520436749</v>
      </c>
      <c r="O146" s="37">
        <f>O129</f>
        <v>310.0085156925501</v>
      </c>
      <c r="P146" s="37">
        <f>P129</f>
        <v>315.1056910306307</v>
      </c>
      <c r="Q146" s="37">
        <f>Q129</f>
        <v>320.5949567793329</v>
      </c>
      <c r="R146" s="37">
        <f>R129</f>
        <v>326.5416613404269</v>
      </c>
      <c r="S146" s="37">
        <f>S129</f>
        <v>333.028975407075</v>
      </c>
      <c r="T146" s="37">
        <f>T129</f>
        <v>340.16502088038783</v>
      </c>
      <c r="U146" s="37">
        <f>U129</f>
        <v>348.09396029517984</v>
      </c>
      <c r="V146" s="37">
        <f>V129</f>
        <v>357.01401713682094</v>
      </c>
      <c r="W146" s="37">
        <f>W129</f>
        <v>367.20836781298215</v>
      </c>
      <c r="X146" s="37">
        <f>X129</f>
        <v>379.1017769351702</v>
      </c>
      <c r="Y146" s="37">
        <f>Y129</f>
        <v>393.3738678817959</v>
      </c>
      <c r="Z146" s="37">
        <f>Z129</f>
        <v>411.21398156507803</v>
      </c>
      <c r="AA146" s="37">
        <f>AA129</f>
        <v>435.0007998094542</v>
      </c>
      <c r="AB146" s="37">
        <f>AB129</f>
        <v>470.6810271760184</v>
      </c>
      <c r="AC146" s="37">
        <f>AC129</f>
        <v>542.0414819091468</v>
      </c>
    </row>
    <row r="147" spans="1:29" x14ac:dyDescent="0.25">
      <c r="A147" s="33" t="s">
        <v>211</v>
      </c>
      <c r="B147" s="26" t="s">
        <v>83</v>
      </c>
      <c r="C147" s="57">
        <f>SUM(E147:AC147)</f>
        <v>3816.2234500793415</v>
      </c>
      <c r="E147" s="37">
        <f>E133</f>
        <v>477.0279312599175</v>
      </c>
      <c r="F147" s="37">
        <f>F133</f>
        <v>445.22606917592304</v>
      </c>
      <c r="G147" s="37">
        <f>G133</f>
        <v>413.42420709192857</v>
      </c>
      <c r="H147" s="37">
        <f>H133</f>
        <v>381.6223450079341</v>
      </c>
      <c r="I147" s="37">
        <f>I133</f>
        <v>349.82048292393955</v>
      </c>
      <c r="J147" s="37">
        <f>J133</f>
        <v>318.0186208399451</v>
      </c>
      <c r="K147" s="37">
        <f>K133</f>
        <v>286.2167587559506</v>
      </c>
      <c r="L147" s="37">
        <f>L133</f>
        <v>254.4148966719561</v>
      </c>
      <c r="M147" s="37">
        <f>M133</f>
        <v>222.6130345879616</v>
      </c>
      <c r="N147" s="37">
        <f>N133</f>
        <v>190.8111725039671</v>
      </c>
      <c r="O147" s="37">
        <f>O133</f>
        <v>159.00931041997262</v>
      </c>
      <c r="P147" s="37">
        <f>P133</f>
        <v>127.20744833597813</v>
      </c>
      <c r="Q147" s="37">
        <f>Q133</f>
        <v>95.40558625198364</v>
      </c>
      <c r="R147" s="37">
        <f>R133</f>
        <v>63.603724167989135</v>
      </c>
      <c r="S147" s="37">
        <f>S133</f>
        <v>31.801862083994635</v>
      </c>
      <c r="T147" s="37">
        <f>T133</f>
        <v>1.3301360013429075e-13</v>
      </c>
      <c r="U147" s="37">
        <f>U133</f>
        <v>1.3301360013429075e-13</v>
      </c>
      <c r="V147" s="37">
        <f>V133</f>
        <v>1.3301360013429075e-13</v>
      </c>
      <c r="W147" s="37">
        <f>W133</f>
        <v>1.3301360013429075e-13</v>
      </c>
      <c r="X147" s="37">
        <f>X133</f>
        <v>1.3301360013429075e-13</v>
      </c>
      <c r="Y147" s="37">
        <f>Y133</f>
        <v>1.3301360013429075e-13</v>
      </c>
      <c r="Z147" s="37">
        <f>Z133</f>
        <v>1.3301360013429075e-13</v>
      </c>
      <c r="AA147" s="37">
        <f>AA133</f>
        <v>1.3301360013429075e-13</v>
      </c>
      <c r="AB147" s="37">
        <f>AB133</f>
        <v>1.3301360013429075e-13</v>
      </c>
      <c r="AC147" s="37">
        <f>AC133</f>
        <v>1.3301360013429075e-13</v>
      </c>
    </row>
    <row r="148" spans="1:29" x14ac:dyDescent="0.25">
      <c r="A148" s="61" t="s">
        <v>212</v>
      </c>
      <c r="B148" s="62" t="s">
        <v>83</v>
      </c>
      <c r="C148" s="63">
        <f>SUM(E148:AC148)</f>
        <v>12846.733692610098</v>
      </c>
      <c r="D148" s="64"/>
      <c r="E148" s="63">
        <f>E145-E146-E147</f>
        <v>359.7036548331771</v>
      </c>
      <c r="F148" s="63">
        <f>F145-F146-F147</f>
        <v>381.9139752720299</v>
      </c>
      <c r="G148" s="63">
        <f>G145-G146-G147</f>
        <v>403.81473685989727</v>
      </c>
      <c r="H148" s="63">
        <f>H145-H146-H147</f>
        <v>425.38517308297867</v>
      </c>
      <c r="I148" s="63">
        <f>I145-I146-I147</f>
        <v>446.60238780930575</v>
      </c>
      <c r="J148" s="63">
        <f>J145-J146-J147</f>
        <v>467.44099697110363</v>
      </c>
      <c r="K148" s="63">
        <f>K145-K146-K147</f>
        <v>487.8726807566289</v>
      </c>
      <c r="L148" s="63">
        <f>L145-L146-L147</f>
        <v>507.8656168005466</v>
      </c>
      <c r="M148" s="63">
        <f>M145-M146-M147</f>
        <v>527.3837527307492</v>
      </c>
      <c r="N148" s="63">
        <f>N145-N146-N147</f>
        <v>546.3858582340188</v>
      </c>
      <c r="O148" s="63">
        <f>O145-O146-O147</f>
        <v>564.8242689045928</v>
      </c>
      <c r="P148" s="63">
        <f>P145-P146-P147</f>
        <v>582.6431903010891</v>
      </c>
      <c r="Q148" s="63">
        <f>Q145-Q146-Q147</f>
        <v>599.7763598228472</v>
      </c>
      <c r="R148" s="63">
        <f>R145-R146-R147</f>
        <v>616.1437459948912</v>
      </c>
      <c r="S148" s="63">
        <f>S145-S146-S147</f>
        <v>631.6467608971932</v>
      </c>
      <c r="T148" s="63">
        <f>T145-T146-T147</f>
        <v>646.1610945404319</v>
      </c>
      <c r="U148" s="63">
        <f>U145-U146-U147</f>
        <v>627.7237248131796</v>
      </c>
      <c r="V148" s="63">
        <f>V145-V146-V147</f>
        <v>607.9204429468099</v>
      </c>
      <c r="W148" s="63">
        <f>W145-W146-W147</f>
        <v>586.4493327980379</v>
      </c>
      <c r="X148" s="63">
        <f>X145-X146-X147</f>
        <v>562.8659530329636</v>
      </c>
      <c r="Y148" s="63">
        <f>Y145-Y146-Y147</f>
        <v>536.4700197146609</v>
      </c>
      <c r="Z148" s="63">
        <f>Z145-Z146-Z147</f>
        <v>506.05049834447266</v>
      </c>
      <c r="AA148" s="63">
        <f>AA145-AA146-AA147</f>
        <v>469.2059288321998</v>
      </c>
      <c r="AB148" s="63">
        <f>AB145-AB146-AB147</f>
        <v>419.9656894376978</v>
      </c>
      <c r="AC148" s="63">
        <f>AC145-AC146-AC147</f>
        <v>334.5178488785905</v>
      </c>
    </row>
    <row r="149" spans="1:29" x14ac:dyDescent="0.25">
      <c r="A149" s="33" t="s">
        <v>213</v>
      </c>
      <c r="B149" s="26" t="s">
        <v>83</v>
      </c>
      <c r="E149" s="37">
        <f>E119-E133-E141</f>
        <v>-2396.4577257796805</v>
      </c>
      <c r="F149" s="37">
        <f>F119-F133-F141</f>
        <v>-1188.3187269918362</v>
      </c>
      <c r="G149" s="37">
        <f>G119-G133-G141</f>
        <v>-453.5421412962446</v>
      </c>
      <c r="H149" s="37">
        <f>H119-H133-H141</f>
        <v>-2.8641306551993466</v>
      </c>
      <c r="I149" s="37">
        <f>I119-I133-I141</f>
        <v>277.26955139396534</v>
      </c>
      <c r="J149" s="37">
        <f>J119-J133-J141</f>
        <v>454.98719355089014</v>
      </c>
      <c r="K149" s="37">
        <f>K119-K133-K141</f>
        <v>571.1612968985044</v>
      </c>
      <c r="L149" s="37">
        <f>L119-L133-L141</f>
        <v>650.3106663428673</v>
      </c>
      <c r="M149" s="37">
        <f>M119-M133-M141</f>
        <v>707.1416542967306</v>
      </c>
      <c r="N149" s="37">
        <f>N119-N133-N141</f>
        <v>750.4728951503185</v>
      </c>
      <c r="O149" s="37">
        <f>O119-O133-O141</f>
        <v>785.5901336274665</v>
      </c>
      <c r="P149" s="37">
        <f>P119-P133-P141</f>
        <v>815.6591088566624</v>
      </c>
      <c r="Q149" s="37">
        <f>Q119-Q133-Q141</f>
        <v>842.5732712238944</v>
      </c>
      <c r="R149" s="37">
        <f>R119-R133-R141</f>
        <v>867.4623982150953</v>
      </c>
      <c r="S149" s="37">
        <f>S119-S133-S141</f>
        <v>890.9977489388831</v>
      </c>
      <c r="T149" s="37">
        <f>T119-T133-T141</f>
        <v>913.5751411083373</v>
      </c>
      <c r="U149" s="37">
        <f>U119-U133-U141</f>
        <v>903.6229186276186</v>
      </c>
      <c r="V149" s="37">
        <f>V119-V133-V141</f>
        <v>893.0734183019349</v>
      </c>
      <c r="W149" s="37">
        <f>W119-W133-W141</f>
        <v>881.9968936487511</v>
      </c>
      <c r="X149" s="37">
        <f>X119-X133-X141</f>
        <v>870.4270638975211</v>
      </c>
      <c r="Y149" s="37">
        <f>Y119-Y133-Y141</f>
        <v>858.3753060608377</v>
      </c>
      <c r="Z149" s="37">
        <f>Z119-Z133-Z141</f>
        <v>845.8391490949278</v>
      </c>
      <c r="AA149" s="37">
        <f>AA119-AA133-AA141</f>
        <v>832.8073482596288</v>
      </c>
      <c r="AB149" s="37">
        <f>AB119-AB133-AB141</f>
        <v>819.2629064912497</v>
      </c>
      <c r="AC149" s="37">
        <f>AC119-AC133-AC141</f>
        <v>805.184862821006</v>
      </c>
    </row>
    <row r="150" spans="1:29" x14ac:dyDescent="0.25">
      <c r="A150" s="33" t="s">
        <v>214</v>
      </c>
      <c r="B150" s="26" t="s">
        <v>83</v>
      </c>
      <c r="E150" s="37">
        <f>0</f>
        <v>0</v>
      </c>
      <c r="F150" s="37">
        <f>E153</f>
        <v>2396.4577257796805</v>
      </c>
      <c r="G150" s="37">
        <f>F153</f>
        <v>3584.7764527715167</v>
      </c>
      <c r="H150" s="37">
        <f>G153</f>
        <v>4038.3185940677613</v>
      </c>
      <c r="I150" s="37">
        <f>H153</f>
        <v>4041.1827247229608</v>
      </c>
      <c r="J150" s="37">
        <f>I153</f>
        <v>3763.9131733289955</v>
      </c>
      <c r="K150" s="37">
        <f>J153</f>
        <v>3308.9259797781056</v>
      </c>
      <c r="L150" s="37">
        <f>K153</f>
        <v>2737.7646828796014</v>
      </c>
      <c r="M150" s="37">
        <f>L153</f>
        <v>2087.4540165367343</v>
      </c>
      <c r="N150" s="37">
        <f>M153</f>
        <v>1380.3123622400037</v>
      </c>
      <c r="O150" s="37">
        <f>N153</f>
        <v>629.8394670896852</v>
      </c>
      <c r="P150" s="37">
        <f>O153</f>
        <v>0</v>
      </c>
      <c r="Q150" s="37">
        <f>P153</f>
        <v>0</v>
      </c>
      <c r="R150" s="37">
        <f>Q153</f>
        <v>0</v>
      </c>
      <c r="S150" s="37">
        <f>R153</f>
        <v>0</v>
      </c>
      <c r="T150" s="37">
        <f>S153</f>
        <v>0</v>
      </c>
      <c r="U150" s="37">
        <f>T153</f>
        <v>0</v>
      </c>
      <c r="V150" s="37">
        <f>U153</f>
        <v>0</v>
      </c>
      <c r="W150" s="37">
        <f>V153</f>
        <v>0</v>
      </c>
      <c r="X150" s="37">
        <f>W153</f>
        <v>0</v>
      </c>
      <c r="Y150" s="37">
        <f>X153</f>
        <v>0</v>
      </c>
      <c r="Z150" s="37">
        <f>Y153</f>
        <v>0</v>
      </c>
      <c r="AA150" s="37">
        <f>Z153</f>
        <v>0</v>
      </c>
      <c r="AB150" s="37">
        <f>AA153</f>
        <v>0</v>
      </c>
      <c r="AC150" s="37">
        <f>AB153</f>
        <v>0</v>
      </c>
    </row>
    <row r="151" spans="1:29" x14ac:dyDescent="0.25">
      <c r="A151" s="33" t="s">
        <v>215</v>
      </c>
      <c r="B151" s="26" t="s">
        <v>83</v>
      </c>
      <c r="C151" s="57">
        <f>SUM(E151:AC151)</f>
        <v>4041.182724722961</v>
      </c>
      <c r="E151" s="37">
        <f>IF(E149&gt;0,MIN(E150,E149),0)</f>
        <v>0</v>
      </c>
      <c r="F151" s="37">
        <f>IF(F149&gt;0,MIN(F150,F149),0)</f>
        <v>0</v>
      </c>
      <c r="G151" s="37">
        <f>IF(G149&gt;0,MIN(G150,G149),0)</f>
        <v>0</v>
      </c>
      <c r="H151" s="37">
        <f>IF(H149&gt;0,MIN(H150,H149),0)</f>
        <v>0</v>
      </c>
      <c r="I151" s="37">
        <f>IF(I149&gt;0,MIN(I150,I149),0)</f>
        <v>277.26955139396534</v>
      </c>
      <c r="J151" s="37">
        <f>IF(J149&gt;0,MIN(J150,J149),0)</f>
        <v>454.98719355089014</v>
      </c>
      <c r="K151" s="37">
        <f>IF(K149&gt;0,MIN(K150,K149),0)</f>
        <v>571.1612968985044</v>
      </c>
      <c r="L151" s="37">
        <f>IF(L149&gt;0,MIN(L150,L149),0)</f>
        <v>650.3106663428673</v>
      </c>
      <c r="M151" s="37">
        <f>IF(M149&gt;0,MIN(M150,M149),0)</f>
        <v>707.1416542967306</v>
      </c>
      <c r="N151" s="37">
        <f>IF(N149&gt;0,MIN(N150,N149),0)</f>
        <v>750.4728951503185</v>
      </c>
      <c r="O151" s="37">
        <f>IF(O149&gt;0,MIN(O150,O149),0)</f>
        <v>629.8394670896852</v>
      </c>
      <c r="P151" s="37">
        <f>IF(P149&gt;0,MIN(P150,P149),0)</f>
        <v>0</v>
      </c>
      <c r="Q151" s="37">
        <f>IF(Q149&gt;0,MIN(Q150,Q149),0)</f>
        <v>0</v>
      </c>
      <c r="R151" s="37">
        <f>IF(R149&gt;0,MIN(R150,R149),0)</f>
        <v>0</v>
      </c>
      <c r="S151" s="37">
        <f>IF(S149&gt;0,MIN(S150,S149),0)</f>
        <v>0</v>
      </c>
      <c r="T151" s="37">
        <f>IF(T149&gt;0,MIN(T150,T149),0)</f>
        <v>0</v>
      </c>
      <c r="U151" s="37">
        <f>IF(U149&gt;0,MIN(U150,U149),0)</f>
        <v>0</v>
      </c>
      <c r="V151" s="37">
        <f>IF(V149&gt;0,MIN(V150,V149),0)</f>
        <v>0</v>
      </c>
      <c r="W151" s="37">
        <f>IF(W149&gt;0,MIN(W150,W149),0)</f>
        <v>0</v>
      </c>
      <c r="X151" s="37">
        <f>IF(X149&gt;0,MIN(X150,X149),0)</f>
        <v>0</v>
      </c>
      <c r="Y151" s="37">
        <f>IF(Y149&gt;0,MIN(Y150,Y149),0)</f>
        <v>0</v>
      </c>
      <c r="Z151" s="37">
        <f>IF(Z149&gt;0,MIN(Z150,Z149),0)</f>
        <v>0</v>
      </c>
      <c r="AA151" s="37">
        <f>IF(AA149&gt;0,MIN(AA150,AA149),0)</f>
        <v>0</v>
      </c>
      <c r="AB151" s="37">
        <f>IF(AB149&gt;0,MIN(AB150,AB149),0)</f>
        <v>0</v>
      </c>
      <c r="AC151" s="37">
        <f>IF(AC149&gt;0,MIN(AC150,AC149),0)</f>
        <v>0</v>
      </c>
    </row>
    <row r="152" spans="1:29" x14ac:dyDescent="0.25">
      <c r="A152" s="33" t="s">
        <v>216</v>
      </c>
      <c r="B152" s="26" t="s">
        <v>83</v>
      </c>
      <c r="C152" s="57">
        <f>SUM(E152:AC152)</f>
        <v>12196.608202084128</v>
      </c>
      <c r="E152" s="37">
        <f>MAX(0,E149-E151)</f>
        <v>0</v>
      </c>
      <c r="F152" s="37">
        <f>MAX(0,F149-F151)</f>
        <v>0</v>
      </c>
      <c r="G152" s="37">
        <f>MAX(0,G149-G151)</f>
        <v>0</v>
      </c>
      <c r="H152" s="37">
        <f>MAX(0,H149-H151)</f>
        <v>0</v>
      </c>
      <c r="I152" s="37">
        <f>MAX(0,I149-I151)</f>
        <v>0</v>
      </c>
      <c r="J152" s="37">
        <f>MAX(0,J149-J151)</f>
        <v>0</v>
      </c>
      <c r="K152" s="37">
        <f>MAX(0,K149-K151)</f>
        <v>0</v>
      </c>
      <c r="L152" s="37">
        <f>MAX(0,L149-L151)</f>
        <v>0</v>
      </c>
      <c r="M152" s="37">
        <f>MAX(0,M149-M151)</f>
        <v>0</v>
      </c>
      <c r="N152" s="37">
        <f>MAX(0,N149-N151)</f>
        <v>0</v>
      </c>
      <c r="O152" s="37">
        <f>MAX(0,O149-O151)</f>
        <v>155.75066653778129</v>
      </c>
      <c r="P152" s="37">
        <f>MAX(0,P149-P151)</f>
        <v>815.6591088566624</v>
      </c>
      <c r="Q152" s="37">
        <f>MAX(0,Q149-Q151)</f>
        <v>842.5732712238944</v>
      </c>
      <c r="R152" s="37">
        <f>MAX(0,R149-R151)</f>
        <v>867.4623982150953</v>
      </c>
      <c r="S152" s="37">
        <f>MAX(0,S149-S151)</f>
        <v>890.9977489388831</v>
      </c>
      <c r="T152" s="37">
        <f>MAX(0,T149-T151)</f>
        <v>913.5751411083373</v>
      </c>
      <c r="U152" s="37">
        <f>MAX(0,U149-U151)</f>
        <v>903.6229186276186</v>
      </c>
      <c r="V152" s="37">
        <f>MAX(0,V149-V151)</f>
        <v>893.0734183019349</v>
      </c>
      <c r="W152" s="37">
        <f>MAX(0,W149-W151)</f>
        <v>881.9968936487511</v>
      </c>
      <c r="X152" s="37">
        <f>MAX(0,X149-X151)</f>
        <v>870.4270638975211</v>
      </c>
      <c r="Y152" s="37">
        <f>MAX(0,Y149-Y151)</f>
        <v>858.3753060608377</v>
      </c>
      <c r="Z152" s="37">
        <f>MAX(0,Z149-Z151)</f>
        <v>845.8391490949278</v>
      </c>
      <c r="AA152" s="37">
        <f>MAX(0,AA149-AA151)</f>
        <v>832.8073482596288</v>
      </c>
      <c r="AB152" s="37">
        <f>MAX(0,AB149-AB151)</f>
        <v>819.2629064912497</v>
      </c>
      <c r="AC152" s="37">
        <f>MAX(0,AC149-AC151)</f>
        <v>805.184862821006</v>
      </c>
    </row>
    <row r="153" spans="1:29" x14ac:dyDescent="0.25">
      <c r="A153" s="33" t="s">
        <v>217</v>
      </c>
      <c r="B153" s="26" t="s">
        <v>83</v>
      </c>
      <c r="E153" s="37">
        <f>E150-E151+MAX(0,-E149)</f>
        <v>2396.4577257796805</v>
      </c>
      <c r="F153" s="37">
        <f>F150-F151+MAX(0,-F149)</f>
        <v>3584.7764527715167</v>
      </c>
      <c r="G153" s="37">
        <f>G150-G151+MAX(0,-G149)</f>
        <v>4038.3185940677613</v>
      </c>
      <c r="H153" s="37">
        <f>H150-H151+MAX(0,-H149)</f>
        <v>4041.1827247229608</v>
      </c>
      <c r="I153" s="37">
        <f>I150-I151+MAX(0,-I149)</f>
        <v>3763.9131733289955</v>
      </c>
      <c r="J153" s="37">
        <f>J150-J151+MAX(0,-J149)</f>
        <v>3308.9259797781056</v>
      </c>
      <c r="K153" s="37">
        <f>K150-K151+MAX(0,-K149)</f>
        <v>2737.7646828796014</v>
      </c>
      <c r="L153" s="37">
        <f>L150-L151+MAX(0,-L149)</f>
        <v>2087.4540165367343</v>
      </c>
      <c r="M153" s="37">
        <f>M150-M151+MAX(0,-M149)</f>
        <v>1380.3123622400037</v>
      </c>
      <c r="N153" s="37">
        <f>N150-N151+MAX(0,-N149)</f>
        <v>629.8394670896852</v>
      </c>
      <c r="O153" s="37">
        <f>O150-O151+MAX(0,-O149)</f>
        <v>0</v>
      </c>
      <c r="P153" s="37">
        <f>P150-P151+MAX(0,-P149)</f>
        <v>0</v>
      </c>
      <c r="Q153" s="37">
        <f>Q150-Q151+MAX(0,-Q149)</f>
        <v>0</v>
      </c>
      <c r="R153" s="37">
        <f>R150-R151+MAX(0,-R149)</f>
        <v>0</v>
      </c>
      <c r="S153" s="37">
        <f>S150-S151+MAX(0,-S149)</f>
        <v>0</v>
      </c>
      <c r="T153" s="37">
        <f>T150-T151+MAX(0,-T149)</f>
        <v>0</v>
      </c>
      <c r="U153" s="37">
        <f>U150-U151+MAX(0,-U149)</f>
        <v>0</v>
      </c>
      <c r="V153" s="37">
        <f>V150-V151+MAX(0,-V149)</f>
        <v>0</v>
      </c>
      <c r="W153" s="37">
        <f>W150-W151+MAX(0,-W149)</f>
        <v>0</v>
      </c>
      <c r="X153" s="37">
        <f>X150-X151+MAX(0,-X149)</f>
        <v>0</v>
      </c>
      <c r="Y153" s="37">
        <f>Y150-Y151+MAX(0,-Y149)</f>
        <v>0</v>
      </c>
      <c r="Z153" s="37">
        <f>Z150-Z151+MAX(0,-Z149)</f>
        <v>0</v>
      </c>
      <c r="AA153" s="37">
        <f>AA150-AA151+MAX(0,-AA149)</f>
        <v>0</v>
      </c>
      <c r="AB153" s="37">
        <f>AB150-AB151+MAX(0,-AB149)</f>
        <v>0</v>
      </c>
      <c r="AC153" s="37">
        <f>AC150-AC151+MAX(0,-AC149)</f>
        <v>0</v>
      </c>
    </row>
    <row r="154" spans="1:29" x14ac:dyDescent="0.25">
      <c r="A154" s="33" t="s">
        <v>218</v>
      </c>
      <c r="B154" s="26" t="s">
        <v>83</v>
      </c>
      <c r="C154" s="57">
        <f>SUM(E154:AC154)</f>
        <v>3069.8862844645755</v>
      </c>
      <c r="E154" s="37">
        <f>E152*$C$66</f>
        <v>0</v>
      </c>
      <c r="F154" s="37">
        <f>F152*$C$66</f>
        <v>0</v>
      </c>
      <c r="G154" s="37">
        <f>G152*$C$66</f>
        <v>0</v>
      </c>
      <c r="H154" s="37">
        <f>H152*$C$66</f>
        <v>0</v>
      </c>
      <c r="I154" s="37">
        <f>I152*$C$66</f>
        <v>0</v>
      </c>
      <c r="J154" s="37">
        <f>J152*$C$66</f>
        <v>0</v>
      </c>
      <c r="K154" s="37">
        <f>K152*$C$66</f>
        <v>0</v>
      </c>
      <c r="L154" s="37">
        <f>L152*$C$66</f>
        <v>0</v>
      </c>
      <c r="M154" s="37">
        <f>M152*$C$66</f>
        <v>0</v>
      </c>
      <c r="N154" s="37">
        <f>N152*$C$66</f>
        <v>0</v>
      </c>
      <c r="O154" s="37">
        <f>O152*$C$66</f>
        <v>39.202442767559546</v>
      </c>
      <c r="P154" s="37">
        <f>P152*$C$66</f>
        <v>205.30139769922192</v>
      </c>
      <c r="Q154" s="37">
        <f>Q152*$C$66</f>
        <v>212.0756923670542</v>
      </c>
      <c r="R154" s="37">
        <f>R152*$C$66</f>
        <v>218.34028563073946</v>
      </c>
      <c r="S154" s="37">
        <f>S152*$C$66</f>
        <v>224.26413340791686</v>
      </c>
      <c r="T154" s="37">
        <f>T152*$C$66</f>
        <v>229.94686301696848</v>
      </c>
      <c r="U154" s="37">
        <f>U152*$C$66</f>
        <v>227.44188861857157</v>
      </c>
      <c r="V154" s="37">
        <f>V152*$C$66</f>
        <v>224.786579386597</v>
      </c>
      <c r="W154" s="37">
        <f>W152*$C$66</f>
        <v>221.99861813139063</v>
      </c>
      <c r="X154" s="37">
        <f>X152*$C$66</f>
        <v>219.08649198300603</v>
      </c>
      <c r="Y154" s="37">
        <f>Y152*$C$66</f>
        <v>216.05306453551285</v>
      </c>
      <c r="Z154" s="37">
        <f>Z152*$C$66</f>
        <v>212.89771382719331</v>
      </c>
      <c r="AA154" s="37">
        <f>AA152*$C$66</f>
        <v>209.61760955694857</v>
      </c>
      <c r="AB154" s="37">
        <f>AB152*$C$66</f>
        <v>206.20847356384755</v>
      </c>
      <c r="AC154" s="37">
        <f>AC152*$C$66</f>
        <v>202.6650299720472</v>
      </c>
    </row>
    <row r="155" spans="1:29" x14ac:dyDescent="0.25">
      <c r="A155" s="61" t="s">
        <v>219</v>
      </c>
      <c r="B155" s="62" t="s">
        <v>83</v>
      </c>
      <c r="C155" s="63">
        <f>SUM(E155:AC155)</f>
        <v>9776.847408145517</v>
      </c>
      <c r="D155" s="64"/>
      <c r="E155" s="63">
        <f>E148-E154</f>
        <v>359.7036548331771</v>
      </c>
      <c r="F155" s="63">
        <f>F148-F154</f>
        <v>381.9139752720299</v>
      </c>
      <c r="G155" s="63">
        <f>G148-G154</f>
        <v>403.81473685989727</v>
      </c>
      <c r="H155" s="63">
        <f>H148-H154</f>
        <v>425.38517308297867</v>
      </c>
      <c r="I155" s="63">
        <f>I148-I154</f>
        <v>446.60238780930575</v>
      </c>
      <c r="J155" s="63">
        <f>J148-J154</f>
        <v>467.44099697110363</v>
      </c>
      <c r="K155" s="63">
        <f>K148-K154</f>
        <v>487.8726807566289</v>
      </c>
      <c r="L155" s="63">
        <f>L148-L154</f>
        <v>507.8656168005466</v>
      </c>
      <c r="M155" s="63">
        <f>M148-M154</f>
        <v>527.3837527307492</v>
      </c>
      <c r="N155" s="63">
        <f>N148-N154</f>
        <v>546.3858582340188</v>
      </c>
      <c r="O155" s="63">
        <f>O148-O154</f>
        <v>525.6218261370333</v>
      </c>
      <c r="P155" s="63">
        <f>P148-P154</f>
        <v>377.3417926018672</v>
      </c>
      <c r="Q155" s="63">
        <f>Q148-Q154</f>
        <v>387.700667455793</v>
      </c>
      <c r="R155" s="63">
        <f>R148-R154</f>
        <v>397.80346036415176</v>
      </c>
      <c r="S155" s="63">
        <f>S148-S154</f>
        <v>407.38262748927633</v>
      </c>
      <c r="T155" s="63">
        <f>T148-T154</f>
        <v>416.21423152346347</v>
      </c>
      <c r="U155" s="63">
        <f>U148-U154</f>
        <v>400.28183619460805</v>
      </c>
      <c r="V155" s="63">
        <f>V148-V154</f>
        <v>383.1338635602129</v>
      </c>
      <c r="W155" s="63">
        <f>W148-W154</f>
        <v>364.45071466664723</v>
      </c>
      <c r="X155" s="63">
        <f>X148-X154</f>
        <v>343.7794610499576</v>
      </c>
      <c r="Y155" s="63">
        <f>Y148-Y154</f>
        <v>320.4169551791481</v>
      </c>
      <c r="Z155" s="63">
        <f>Z148-Z154</f>
        <v>293.1527845172793</v>
      </c>
      <c r="AA155" s="63">
        <f>AA148-AA154</f>
        <v>259.58831927525125</v>
      </c>
      <c r="AB155" s="63">
        <f>AB148-AB154</f>
        <v>213.75721587385024</v>
      </c>
      <c r="AC155" s="63">
        <f>AC148-AC154</f>
        <v>131.8528189065433</v>
      </c>
    </row>
    <row r="157" ht="20" customHeight="1" spans="1:29" x14ac:dyDescent="0.25">
      <c r="A157" s="21" t="s">
        <v>220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x14ac:dyDescent="0.25">
      <c r="A158" s="33" t="s">
        <v>221</v>
      </c>
      <c r="B158" s="26" t="s">
        <v>83</v>
      </c>
      <c r="E158" s="37">
        <f>E111*$C$71/365</f>
        <v>148.32320068597897</v>
      </c>
      <c r="F158" s="37">
        <f>F111*$C$71/365</f>
        <v>147.95179212976245</v>
      </c>
      <c r="G158" s="37">
        <f>G111*$C$71/365</f>
        <v>147.580383573546</v>
      </c>
      <c r="H158" s="37">
        <f>H111*$C$71/365</f>
        <v>147.20897501732946</v>
      </c>
      <c r="I158" s="37">
        <f>I111*$C$71/365</f>
        <v>146.83756646111294</v>
      </c>
      <c r="J158" s="37">
        <f>J111*$C$71/365</f>
        <v>146.46615790489642</v>
      </c>
      <c r="K158" s="37">
        <f>K111*$C$71/365</f>
        <v>146.0947493486799</v>
      </c>
      <c r="L158" s="37">
        <f>L111*$C$71/365</f>
        <v>145.72334079246343</v>
      </c>
      <c r="M158" s="37">
        <f>M111*$C$71/365</f>
        <v>145.35193223624694</v>
      </c>
      <c r="N158" s="37">
        <f>N111*$C$71/365</f>
        <v>144.98052368003042</v>
      </c>
      <c r="O158" s="37">
        <f>O111*$C$71/365</f>
        <v>144.60911512381387</v>
      </c>
      <c r="P158" s="37">
        <f>P111*$C$71/365</f>
        <v>144.23770656759737</v>
      </c>
      <c r="Q158" s="37">
        <f>Q111*$C$71/365</f>
        <v>143.8662980113809</v>
      </c>
      <c r="R158" s="37">
        <f>R111*$C$71/365</f>
        <v>143.49488945516438</v>
      </c>
      <c r="S158" s="37">
        <f>S111*$C$71/365</f>
        <v>143.1234808989479</v>
      </c>
      <c r="T158" s="37">
        <f>T111*$C$71/365</f>
        <v>142.75207234273137</v>
      </c>
      <c r="U158" s="37">
        <f>U111*$C$71/365</f>
        <v>142.38066378651484</v>
      </c>
      <c r="V158" s="37">
        <f>V111*$C$71/365</f>
        <v>142.00925523029835</v>
      </c>
      <c r="W158" s="37">
        <f>W111*$C$71/365</f>
        <v>141.63784667408183</v>
      </c>
      <c r="X158" s="37">
        <f>X111*$C$71/365</f>
        <v>141.26643811786536</v>
      </c>
      <c r="Y158" s="37">
        <f>Y111*$C$71/365</f>
        <v>140.89502956164884</v>
      </c>
      <c r="Z158" s="37">
        <f>Z111*$C$71/365</f>
        <v>140.52362100543232</v>
      </c>
      <c r="AA158" s="37">
        <f>AA111*$C$71/365</f>
        <v>140.15221244921582</v>
      </c>
      <c r="AB158" s="37">
        <f>AB111*$C$71/365</f>
        <v>139.78080389299927</v>
      </c>
      <c r="AC158" s="37">
        <f>AC111*$C$71/365</f>
        <v>139.4093953367828</v>
      </c>
    </row>
    <row r="159" spans="1:29" x14ac:dyDescent="0.25">
      <c r="A159" s="33" t="s">
        <v>222</v>
      </c>
      <c r="B159" s="26" t="s">
        <v>83</v>
      </c>
      <c r="C159" s="57">
        <f>SUM(E159:AC159)</f>
        <v>139.4093953367828</v>
      </c>
      <c r="E159" s="37">
        <f>E158</f>
        <v>148.32320068597897</v>
      </c>
      <c r="F159" s="37">
        <f>F158-E158</f>
        <v>-0.37140855621652236</v>
      </c>
      <c r="G159" s="37">
        <f>G158-F158</f>
        <v>-0.3714085562164655</v>
      </c>
      <c r="H159" s="37">
        <f>H158-G158</f>
        <v>-0.37140855621652236</v>
      </c>
      <c r="I159" s="37">
        <f>I158-H158</f>
        <v>-0.37140855621652236</v>
      </c>
      <c r="J159" s="37">
        <f>J158-I158</f>
        <v>-0.37140855621652236</v>
      </c>
      <c r="K159" s="37">
        <f>K158-J158</f>
        <v>-0.37140855621652236</v>
      </c>
      <c r="L159" s="37">
        <f>L158-K158</f>
        <v>-0.3714085562164655</v>
      </c>
      <c r="M159" s="37">
        <f>M158-L158</f>
        <v>-0.37140855621649393</v>
      </c>
      <c r="N159" s="37">
        <f>N158-M158</f>
        <v>-0.37140855621652236</v>
      </c>
      <c r="O159" s="37">
        <f>O158-N158</f>
        <v>-0.3714085562165508</v>
      </c>
      <c r="P159" s="37">
        <f>P158-O158</f>
        <v>-0.37140855621649393</v>
      </c>
      <c r="Q159" s="37">
        <f>Q158-P158</f>
        <v>-0.3714085562164655</v>
      </c>
      <c r="R159" s="37">
        <f>R158-Q158</f>
        <v>-0.37140855621652236</v>
      </c>
      <c r="S159" s="37">
        <f>S158-R158</f>
        <v>-0.37140855621649393</v>
      </c>
      <c r="T159" s="37">
        <f>T158-S158</f>
        <v>-0.37140855621652236</v>
      </c>
      <c r="U159" s="37">
        <f>U158-T158</f>
        <v>-0.37140855621652236</v>
      </c>
      <c r="V159" s="37">
        <f>V158-U158</f>
        <v>-0.37140855621649393</v>
      </c>
      <c r="W159" s="37">
        <f>W158-V158</f>
        <v>-0.37140855621652236</v>
      </c>
      <c r="X159" s="37">
        <f>X158-W158</f>
        <v>-0.3714085562164655</v>
      </c>
      <c r="Y159" s="37">
        <f>Y158-X158</f>
        <v>-0.37140855621652236</v>
      </c>
      <c r="Z159" s="37">
        <f>Z158-Y158</f>
        <v>-0.37140855621652236</v>
      </c>
      <c r="AA159" s="37">
        <f>AA158-Z158</f>
        <v>-0.37140855621649393</v>
      </c>
      <c r="AB159" s="37">
        <f>AB158-AA158</f>
        <v>-0.3714085562165508</v>
      </c>
      <c r="AC159" s="37">
        <f>AC158-AB158</f>
        <v>-0.3714085562164655</v>
      </c>
    </row>
    <row r="160" spans="1:29" x14ac:dyDescent="0.25">
      <c r="A160" s="61" t="s">
        <v>223</v>
      </c>
      <c r="B160" s="62" t="s">
        <v>83</v>
      </c>
      <c r="C160" s="63">
        <f>SUM(E160:AC160)</f>
        <v>20268.346195172617</v>
      </c>
      <c r="D160" s="64"/>
      <c r="E160" s="63">
        <f>E119-E154-E159-E123</f>
        <v>960.9957746984971</v>
      </c>
      <c r="F160" s="63">
        <f>F119-F154-F159-F123</f>
        <v>1031.7117398429693</v>
      </c>
      <c r="G160" s="63">
        <f>G119-G154-G159-G123</f>
        <v>1024.9132678135</v>
      </c>
      <c r="H160" s="63">
        <f>H119-H154-H159-H123</f>
        <v>1017.9254989859111</v>
      </c>
      <c r="I160" s="63">
        <f>I119-I154-I159-I123</f>
        <v>1010.7389685202974</v>
      </c>
      <c r="J160" s="63">
        <f>J119-J154-J159-J123</f>
        <v>1003.3437383347572</v>
      </c>
      <c r="K160" s="63">
        <f>K119-K154-K159-K123</f>
        <v>995.7293734432948</v>
      </c>
      <c r="L160" s="63">
        <f>L119-L154-L159-L123</f>
        <v>987.8849171106139</v>
      </c>
      <c r="M160" s="63">
        <f>M119-M154-M159-M123</f>
        <v>979.7988647646531</v>
      </c>
      <c r="N160" s="63">
        <f>N119-N154-N159-N123</f>
        <v>971.4591366047488</v>
      </c>
      <c r="O160" s="63">
        <f>O119-O154-O159-O123</f>
        <v>923.6506060726441</v>
      </c>
      <c r="P160" s="63">
        <f>P119-P154-P159-P123</f>
        <v>748.6658857915639</v>
      </c>
      <c r="Q160" s="63">
        <f>Q119-Q154-Q159-Q123</f>
        <v>732.7121643101976</v>
      </c>
      <c r="R160" s="63">
        <f>R119-R154-R159-R123</f>
        <v>716.959799695656</v>
      </c>
      <c r="S160" s="63">
        <f>S119-S154-S159-S123</f>
        <v>701.2244188034339</v>
      </c>
      <c r="T160" s="63">
        <f>T119-T154-T159-T123</f>
        <v>685.3902062269395</v>
      </c>
      <c r="U160" s="63">
        <f>U119-U154-U159-U123</f>
        <v>677.386750312876</v>
      </c>
      <c r="V160" s="63">
        <f>V119-V154-V159-V123</f>
        <v>669.158834520122</v>
      </c>
      <c r="W160" s="63">
        <f>W119-W154-W159-W123</f>
        <v>660.6700363027174</v>
      </c>
      <c r="X160" s="63">
        <f>X119-X154-X159-X123</f>
        <v>651.8921918082159</v>
      </c>
      <c r="Y160" s="63">
        <f>Y119-Y154-Y159-Y123</f>
        <v>642.8017768840322</v>
      </c>
      <c r="Z160" s="63">
        <f>Z119-Z154-Z159-Z123</f>
        <v>633.3777199054456</v>
      </c>
      <c r="AA160" s="63">
        <f>AA119-AA154-AA159-AA123</f>
        <v>623.6000729077936</v>
      </c>
      <c r="AB160" s="63">
        <f>AB119-AB154-AB159-AB123</f>
        <v>613.4491968729569</v>
      </c>
      <c r="AC160" s="63">
        <f>AC119-AC154-AC159-AC123</f>
        <v>602.9052546387783</v>
      </c>
    </row>
    <row r="161" spans="1:29" x14ac:dyDescent="0.25">
      <c r="A161" s="33" t="s">
        <v>224</v>
      </c>
      <c r="B161" s="26" t="s">
        <v>83</v>
      </c>
      <c r="C161" s="57">
        <f>SUM(E161:AC161)</f>
        <v>9116.53379741176</v>
      </c>
      <c r="E161" s="37">
        <f>E136</f>
        <v>830.381954415412</v>
      </c>
      <c r="F161" s="37">
        <f>F136</f>
        <v>798.5800923314175</v>
      </c>
      <c r="G161" s="37">
        <f>G136</f>
        <v>766.778230247423</v>
      </c>
      <c r="H161" s="37">
        <f>H136</f>
        <v>734.9763681634286</v>
      </c>
      <c r="I161" s="37">
        <f>I136</f>
        <v>703.174506079434</v>
      </c>
      <c r="J161" s="37">
        <f>J136</f>
        <v>671.3726439954396</v>
      </c>
      <c r="K161" s="37">
        <f>K136</f>
        <v>639.570781911445</v>
      </c>
      <c r="L161" s="37">
        <f>L136</f>
        <v>607.7689198274505</v>
      </c>
      <c r="M161" s="37">
        <f>M136</f>
        <v>575.967057743456</v>
      </c>
      <c r="N161" s="37">
        <f>N136</f>
        <v>544.1651956594616</v>
      </c>
      <c r="O161" s="37">
        <f>O136</f>
        <v>512.3633335754671</v>
      </c>
      <c r="P161" s="37">
        <f>P136</f>
        <v>480.5614714914726</v>
      </c>
      <c r="Q161" s="37">
        <f>Q136</f>
        <v>448.75960940747814</v>
      </c>
      <c r="R161" s="37">
        <f>R136</f>
        <v>416.9577473234836</v>
      </c>
      <c r="S161" s="37">
        <f>S136</f>
        <v>385.1558852394891</v>
      </c>
      <c r="T161" s="37">
        <f>T136</f>
        <v>1.3301360013429075e-13</v>
      </c>
      <c r="U161" s="37">
        <f>U136</f>
        <v>1.3301360013429075e-13</v>
      </c>
      <c r="V161" s="37">
        <f>V136</f>
        <v>1.3301360013429075e-13</v>
      </c>
      <c r="W161" s="37">
        <f>W136</f>
        <v>1.3301360013429075e-13</v>
      </c>
      <c r="X161" s="37">
        <f>X136</f>
        <v>1.3301360013429075e-13</v>
      </c>
      <c r="Y161" s="37">
        <f>Y136</f>
        <v>1.3301360013429075e-13</v>
      </c>
      <c r="Z161" s="37">
        <f>Z136</f>
        <v>1.3301360013429075e-13</v>
      </c>
      <c r="AA161" s="37">
        <f>AA136</f>
        <v>1.3301360013429075e-13</v>
      </c>
      <c r="AB161" s="37">
        <f>AB136</f>
        <v>1.3301360013429075e-13</v>
      </c>
      <c r="AC161" s="37">
        <f>AC136</f>
        <v>1.3301360013429075e-13</v>
      </c>
    </row>
    <row r="162" spans="1:29" x14ac:dyDescent="0.25">
      <c r="A162" s="33" t="s">
        <v>225</v>
      </c>
      <c r="B162" s="26" t="s">
        <v>85</v>
      </c>
      <c r="E162" s="40">
        <f>IF(E136&gt;1E-9,E160/E136,"")</f>
        <v>1.15729366418498</v>
      </c>
      <c r="F162" s="40">
        <f>IF(F136&gt;1E-9,F160/F136,"")</f>
        <v>1.2919327062498325</v>
      </c>
      <c r="G162" s="40">
        <f>IF(G136&gt;1E-9,G160/G136,"")</f>
        <v>1.3366488867097626</v>
      </c>
      <c r="H162" s="40">
        <f>IF(H136&gt;1E-9,H160/H136,"")</f>
        <v>1.3849771816875156</v>
      </c>
      <c r="I162" s="40">
        <f>IF(I136&gt;1E-9,I160/I136,"")</f>
        <v>1.4373942169145129</v>
      </c>
      <c r="J162" s="40">
        <f>IF(J136&gt;1E-9,J160/J136,"")</f>
        <v>1.4944662212682776</v>
      </c>
      <c r="K162" s="40">
        <f>IF(K136&gt;1E-9,K160/K136,"")</f>
        <v>1.5568712668008706</v>
      </c>
      <c r="L162" s="40">
        <f>IF(L136&gt;1E-9,L160/L136,"")</f>
        <v>1.6254284891551887</v>
      </c>
      <c r="M162" s="40">
        <f>IF(M136&gt;1E-9,M160/M136,"")</f>
        <v>1.701136986207759</v>
      </c>
      <c r="N162" s="40">
        <f>IF(N136&gt;1E-9,N160/N136,"")</f>
        <v>1.785228354098353</v>
      </c>
      <c r="O162" s="40">
        <f>IF(O136&gt;1E-9,O160/O136,"")</f>
        <v>1.8027258110510316</v>
      </c>
      <c r="P162" s="40">
        <f>IF(P136&gt;1E-9,P160/P136,"")</f>
        <v>1.5578982715114496</v>
      </c>
      <c r="Q162" s="40">
        <f>IF(Q136&gt;1E-9,Q160/Q136,"")</f>
        <v>1.6327498040156456</v>
      </c>
      <c r="R162" s="40">
        <f>IF(R136&gt;1E-9,R160/R136,"")</f>
        <v>1.7195022860180247</v>
      </c>
      <c r="S162" s="40">
        <f>IF(S136&gt;1E-9,S160/S136,"")</f>
        <v>1.8206249616760082</v>
      </c>
      <c r="T162" s="40" t="str">
        <f>IF(T136&gt;1E-9,T160/T136,"")</f>
        <v/>
      </c>
      <c r="U162" s="40" t="str">
        <f>IF(U136&gt;1E-9,U160/U136,"")</f>
        <v/>
      </c>
      <c r="V162" s="40" t="str">
        <f>IF(V136&gt;1E-9,V160/V136,"")</f>
        <v/>
      </c>
      <c r="W162" s="40" t="str">
        <f>IF(W136&gt;1E-9,W160/W136,"")</f>
        <v/>
      </c>
      <c r="X162" s="40" t="str">
        <f>IF(X136&gt;1E-9,X160/X136,"")</f>
        <v/>
      </c>
      <c r="Y162" s="40" t="str">
        <f>IF(Y136&gt;1E-9,Y160/Y136,"")</f>
        <v/>
      </c>
      <c r="Z162" s="40" t="str">
        <f>IF(Z136&gt;1E-9,Z160/Z136,"")</f>
        <v/>
      </c>
      <c r="AA162" s="40" t="str">
        <f>IF(AA136&gt;1E-9,AA160/AA136,"")</f>
        <v/>
      </c>
      <c r="AB162" s="40" t="str">
        <f>IF(AB136&gt;1E-9,AB160/AB136,"")</f>
        <v/>
      </c>
      <c r="AC162" s="40" t="str">
        <f>IF(AC136&gt;1E-9,AC160/AC136,"")</f>
        <v/>
      </c>
    </row>
    <row r="163" spans="1:29" x14ac:dyDescent="0.25">
      <c r="A163" s="33" t="s">
        <v>226</v>
      </c>
      <c r="B163" s="26" t="s">
        <v>83</v>
      </c>
      <c r="C163" s="57">
        <f>SUM(E163:AC163)</f>
        <v>896.5965878128426</v>
      </c>
      <c r="E163" s="37">
        <f>IF(E$5=$C$83,$C$80*$C$70+E158,0)</f>
        <v>0</v>
      </c>
      <c r="F163" s="37">
        <f>IF(F$5=$C$83,$C$80*$C$70+F158,0)</f>
        <v>0</v>
      </c>
      <c r="G163" s="37">
        <f>IF(G$5=$C$83,$C$80*$C$70+G158,0)</f>
        <v>0</v>
      </c>
      <c r="H163" s="37">
        <f>IF(H$5=$C$83,$C$80*$C$70+H158,0)</f>
        <v>0</v>
      </c>
      <c r="I163" s="37">
        <f>IF(I$5=$C$83,$C$80*$C$70+I158,0)</f>
        <v>0</v>
      </c>
      <c r="J163" s="37">
        <f>IF(J$5=$C$83,$C$80*$C$70+J158,0)</f>
        <v>0</v>
      </c>
      <c r="K163" s="37">
        <f>IF(K$5=$C$83,$C$80*$C$70+K158,0)</f>
        <v>0</v>
      </c>
      <c r="L163" s="37">
        <f>IF(L$5=$C$83,$C$80*$C$70+L158,0)</f>
        <v>0</v>
      </c>
      <c r="M163" s="37">
        <f>IF(M$5=$C$83,$C$80*$C$70+M158,0)</f>
        <v>0</v>
      </c>
      <c r="N163" s="37">
        <f>IF(N$5=$C$83,$C$80*$C$70+N158,0)</f>
        <v>0</v>
      </c>
      <c r="O163" s="37">
        <f>IF(O$5=$C$83,$C$80*$C$70+O158,0)</f>
        <v>0</v>
      </c>
      <c r="P163" s="37">
        <f>IF(P$5=$C$83,$C$80*$C$70+P158,0)</f>
        <v>0</v>
      </c>
      <c r="Q163" s="37">
        <f>IF(Q$5=$C$83,$C$80*$C$70+Q158,0)</f>
        <v>0</v>
      </c>
      <c r="R163" s="37">
        <f>IF(R$5=$C$83,$C$80*$C$70+R158,0)</f>
        <v>0</v>
      </c>
      <c r="S163" s="37">
        <f>IF(S$5=$C$83,$C$80*$C$70+S158,0)</f>
        <v>0</v>
      </c>
      <c r="T163" s="37">
        <f>IF(T$5=$C$83,$C$80*$C$70+T158,0)</f>
        <v>0</v>
      </c>
      <c r="U163" s="37">
        <f>IF(U$5=$C$83,$C$80*$C$70+U158,0)</f>
        <v>0</v>
      </c>
      <c r="V163" s="37">
        <f>IF(V$5=$C$83,$C$80*$C$70+V158,0)</f>
        <v>0</v>
      </c>
      <c r="W163" s="37">
        <f>IF(W$5=$C$83,$C$80*$C$70+W158,0)</f>
        <v>0</v>
      </c>
      <c r="X163" s="37">
        <f>IF(X$5=$C$83,$C$80*$C$70+X158,0)</f>
        <v>0</v>
      </c>
      <c r="Y163" s="37">
        <f>IF(Y$5=$C$83,$C$80*$C$70+Y158,0)</f>
        <v>0</v>
      </c>
      <c r="Z163" s="37">
        <f>IF(Z$5=$C$83,$C$80*$C$70+Z158,0)</f>
        <v>0</v>
      </c>
      <c r="AA163" s="37">
        <f>IF(AA$5=$C$83,$C$80*$C$70+AA158,0)</f>
        <v>0</v>
      </c>
      <c r="AB163" s="37">
        <f>IF(AB$5=$C$83,$C$80*$C$70+AB158,0)</f>
        <v>0</v>
      </c>
      <c r="AC163" s="37">
        <f>IF(AC$5=$C$83,$C$80*$C$70+AC158,0)</f>
        <v>896.5965878128426</v>
      </c>
    </row>
    <row r="164" spans="1:29" x14ac:dyDescent="0.25">
      <c r="A164" s="33" t="s">
        <v>227</v>
      </c>
      <c r="B164" s="26" t="s">
        <v>83</v>
      </c>
      <c r="C164" s="57">
        <f>SUM(E164:AC164)</f>
        <v>1.4779288903810084e-12</v>
      </c>
      <c r="E164" s="37">
        <f>IF(E$5=$C$83,E135,0)</f>
        <v>0</v>
      </c>
      <c r="F164" s="37">
        <f>IF(F$5=$C$83,F135,0)</f>
        <v>0</v>
      </c>
      <c r="G164" s="37">
        <f>IF(G$5=$C$83,G135,0)</f>
        <v>0</v>
      </c>
      <c r="H164" s="37">
        <f>IF(H$5=$C$83,H135,0)</f>
        <v>0</v>
      </c>
      <c r="I164" s="37">
        <f>IF(I$5=$C$83,I135,0)</f>
        <v>0</v>
      </c>
      <c r="J164" s="37">
        <f>IF(J$5=$C$83,J135,0)</f>
        <v>0</v>
      </c>
      <c r="K164" s="37">
        <f>IF(K$5=$C$83,K135,0)</f>
        <v>0</v>
      </c>
      <c r="L164" s="37">
        <f>IF(L$5=$C$83,L135,0)</f>
        <v>0</v>
      </c>
      <c r="M164" s="37">
        <f>IF(M$5=$C$83,M135,0)</f>
        <v>0</v>
      </c>
      <c r="N164" s="37">
        <f>IF(N$5=$C$83,N135,0)</f>
        <v>0</v>
      </c>
      <c r="O164" s="37">
        <f>IF(O$5=$C$83,O135,0)</f>
        <v>0</v>
      </c>
      <c r="P164" s="37">
        <f>IF(P$5=$C$83,P135,0)</f>
        <v>0</v>
      </c>
      <c r="Q164" s="37">
        <f>IF(Q$5=$C$83,Q135,0)</f>
        <v>0</v>
      </c>
      <c r="R164" s="37">
        <f>IF(R$5=$C$83,R135,0)</f>
        <v>0</v>
      </c>
      <c r="S164" s="37">
        <f>IF(S$5=$C$83,S135,0)</f>
        <v>0</v>
      </c>
      <c r="T164" s="37">
        <f>IF(T$5=$C$83,T135,0)</f>
        <v>0</v>
      </c>
      <c r="U164" s="37">
        <f>IF(U$5=$C$83,U135,0)</f>
        <v>0</v>
      </c>
      <c r="V164" s="37">
        <f>IF(V$5=$C$83,V135,0)</f>
        <v>0</v>
      </c>
      <c r="W164" s="37">
        <f>IF(W$5=$C$83,W135,0)</f>
        <v>0</v>
      </c>
      <c r="X164" s="37">
        <f>IF(X$5=$C$83,X135,0)</f>
        <v>0</v>
      </c>
      <c r="Y164" s="37">
        <f>IF(Y$5=$C$83,Y135,0)</f>
        <v>0</v>
      </c>
      <c r="Z164" s="37">
        <f>IF(Z$5=$C$83,Z135,0)</f>
        <v>0</v>
      </c>
      <c r="AA164" s="37">
        <f>IF(AA$5=$C$83,AA135,0)</f>
        <v>0</v>
      </c>
      <c r="AB164" s="37">
        <f>IF(AB$5=$C$83,AB135,0)</f>
        <v>0</v>
      </c>
      <c r="AC164" s="37">
        <f>IF(AC$5=$C$83,AC135,0)</f>
        <v>1.4779288903810084e-12</v>
      </c>
    </row>
    <row r="165" spans="1:29" x14ac:dyDescent="0.25">
      <c r="A165" s="61" t="s">
        <v>228</v>
      </c>
      <c r="B165" s="62" t="s">
        <v>83</v>
      </c>
      <c r="C165" s="63">
        <f>SUM(E165:AC165)</f>
        <v>12048.408985573697</v>
      </c>
      <c r="D165" s="63">
        <f>-$C$82</f>
        <v>-2271.5615774281796</v>
      </c>
      <c r="E165" s="63">
        <f>E160-E136+E163-E164</f>
        <v>130.61382028308515</v>
      </c>
      <c r="F165" s="63">
        <f>F160-F136+F163-F164</f>
        <v>233.13164751155182</v>
      </c>
      <c r="G165" s="63">
        <f>G160-G136+G163-G164</f>
        <v>258.1350375660769</v>
      </c>
      <c r="H165" s="63">
        <f>H160-H136+H163-H164</f>
        <v>282.9491308224825</v>
      </c>
      <c r="I165" s="63">
        <f>I160-I136+I163-I164</f>
        <v>307.5644624408634</v>
      </c>
      <c r="J165" s="63">
        <f>J160-J136+J163-J164</f>
        <v>331.9710943393176</v>
      </c>
      <c r="K165" s="63">
        <f>K160-K136+K163-K164</f>
        <v>356.15859153184977</v>
      </c>
      <c r="L165" s="63">
        <f>L160-L136+L163-L164</f>
        <v>380.1159972831633</v>
      </c>
      <c r="M165" s="63">
        <f>M160-M136+M163-M164</f>
        <v>403.83180702119705</v>
      </c>
      <c r="N165" s="63">
        <f>N160-N136+N163-N164</f>
        <v>427.2939409452872</v>
      </c>
      <c r="O165" s="63">
        <f>O160-O136+O163-O164</f>
        <v>411.287272497177</v>
      </c>
      <c r="P165" s="63">
        <f>P160-P136+P163-P164</f>
        <v>268.1044143000913</v>
      </c>
      <c r="Q165" s="63">
        <f>Q160-Q136+Q163-Q164</f>
        <v>283.9525549027195</v>
      </c>
      <c r="R165" s="63">
        <f>R160-R136+R163-R164</f>
        <v>300.0020523721724</v>
      </c>
      <c r="S165" s="63">
        <f>S160-S136+S163-S164</f>
        <v>316.06853356394475</v>
      </c>
      <c r="T165" s="63">
        <f>T160-T136+T163-T164</f>
        <v>685.3902062269394</v>
      </c>
      <c r="U165" s="63">
        <f>U160-U136+U163-U164</f>
        <v>677.3867503128758</v>
      </c>
      <c r="V165" s="63">
        <f>V160-V136+V163-V164</f>
        <v>669.1588345201219</v>
      </c>
      <c r="W165" s="63">
        <f>W160-W136+W163-W164</f>
        <v>660.6700363027173</v>
      </c>
      <c r="X165" s="63">
        <f>X160-X136+X163-X164</f>
        <v>651.8921918082158</v>
      </c>
      <c r="Y165" s="63">
        <f>Y160-Y136+Y163-Y164</f>
        <v>642.801776884032</v>
      </c>
      <c r="Z165" s="63">
        <f>Z160-Z136+Z163-Z164</f>
        <v>633.3777199054455</v>
      </c>
      <c r="AA165" s="63">
        <f>AA160-AA136+AA163-AA164</f>
        <v>623.6000729077934</v>
      </c>
      <c r="AB165" s="63">
        <f>AB160-AB136+AB163-AB164</f>
        <v>613.4491968729568</v>
      </c>
      <c r="AC165" s="63">
        <f>AC160-AC136+AC163-AC164</f>
        <v>1499.5018424516193</v>
      </c>
    </row>
    <row r="166" spans="1:29" x14ac:dyDescent="0.25">
      <c r="A166" s="33" t="s">
        <v>229</v>
      </c>
      <c r="B166" s="26" t="s">
        <v>83</v>
      </c>
      <c r="D166" s="37">
        <f>D165</f>
        <v>-2271.5615774281796</v>
      </c>
      <c r="E166" s="37">
        <f>D166+E165</f>
        <v>-2140.9477571450943</v>
      </c>
      <c r="F166" s="37">
        <f>E166+F165</f>
        <v>-1907.8161096335425</v>
      </c>
      <c r="G166" s="37">
        <f>F166+G165</f>
        <v>-1649.6810720674657</v>
      </c>
      <c r="H166" s="37">
        <f>G166+H165</f>
        <v>-1366.7319412449833</v>
      </c>
      <c r="I166" s="37">
        <f>H166+I165</f>
        <v>-1059.16747880412</v>
      </c>
      <c r="J166" s="37">
        <f>I166+J165</f>
        <v>-727.1963844648025</v>
      </c>
      <c r="K166" s="37">
        <f>J166+K165</f>
        <v>-371.0377929329527</v>
      </c>
      <c r="L166" s="37">
        <f>K166+L165</f>
        <v>9.078204350210626</v>
      </c>
      <c r="M166" s="37">
        <f>L166+M165</f>
        <v>412.9100113714077</v>
      </c>
      <c r="N166" s="37">
        <f>M166+N165</f>
        <v>840.2039523166949</v>
      </c>
      <c r="O166" s="37">
        <f>N166+O165</f>
        <v>1251.491224813872</v>
      </c>
      <c r="P166" s="37">
        <f>O166+P165</f>
        <v>1519.5956391139632</v>
      </c>
      <c r="Q166" s="37">
        <f>P166+Q165</f>
        <v>1803.5481940166828</v>
      </c>
      <c r="R166" s="37">
        <f>Q166+R165</f>
        <v>2103.550246388855</v>
      </c>
      <c r="S166" s="37">
        <f>R166+S165</f>
        <v>2419.6187799527997</v>
      </c>
      <c r="T166" s="37">
        <f>S166+T165</f>
        <v>3105.008986179739</v>
      </c>
      <c r="U166" s="37">
        <f>T166+U165</f>
        <v>3782.395736492615</v>
      </c>
      <c r="V166" s="37">
        <f>U166+V165</f>
        <v>4451.554571012737</v>
      </c>
      <c r="W166" s="37">
        <f>V166+W165</f>
        <v>5112.224607315455</v>
      </c>
      <c r="X166" s="37">
        <f>W166+X165</f>
        <v>5764.116799123671</v>
      </c>
      <c r="Y166" s="37">
        <f>X166+Y165</f>
        <v>6406.9185760077025</v>
      </c>
      <c r="Z166" s="37">
        <f>Y166+Z165</f>
        <v>7040.296295913148</v>
      </c>
      <c r="AA166" s="37">
        <f>Z166+AA165</f>
        <v>7663.8963688209415</v>
      </c>
      <c r="AB166" s="37">
        <f>AA166+AB165</f>
        <v>8277.345565693899</v>
      </c>
      <c r="AC166" s="37">
        <f>AB166+AC165</f>
        <v>9776.847408145517</v>
      </c>
    </row>
    <row r="167" spans="1:29" x14ac:dyDescent="0.25">
      <c r="A167" s="33" t="s">
        <v>230</v>
      </c>
      <c r="B167" s="26" t="s">
        <v>89</v>
      </c>
      <c r="E167" s="44" t="str">
        <f>IF(E166&gt;=0,E$5,"")</f>
        <v/>
      </c>
      <c r="F167" s="44" t="str">
        <f>IF(F166&gt;=0,F$5,"")</f>
        <v/>
      </c>
      <c r="G167" s="44" t="str">
        <f>IF(G166&gt;=0,G$5,"")</f>
        <v/>
      </c>
      <c r="H167" s="44" t="str">
        <f>IF(H166&gt;=0,H$5,"")</f>
        <v/>
      </c>
      <c r="I167" s="44" t="str">
        <f>IF(I166&gt;=0,I$5,"")</f>
        <v/>
      </c>
      <c r="J167" s="44" t="str">
        <f>IF(J166&gt;=0,J$5,"")</f>
        <v/>
      </c>
      <c r="K167" s="44" t="str">
        <f>IF(K166&gt;=0,K$5,"")</f>
        <v/>
      </c>
      <c r="L167" s="44">
        <f>IF(L166&gt;=0,L$5,"")</f>
        <v>8</v>
      </c>
      <c r="M167" s="44">
        <f>IF(M166&gt;=0,M$5,"")</f>
        <v>9</v>
      </c>
      <c r="N167" s="44">
        <f>IF(N166&gt;=0,N$5,"")</f>
        <v>10</v>
      </c>
      <c r="O167" s="44">
        <f>IF(O166&gt;=0,O$5,"")</f>
        <v>11</v>
      </c>
      <c r="P167" s="44">
        <f>IF(P166&gt;=0,P$5,"")</f>
        <v>12</v>
      </c>
      <c r="Q167" s="44">
        <f>IF(Q166&gt;=0,Q$5,"")</f>
        <v>13</v>
      </c>
      <c r="R167" s="44">
        <f>IF(R166&gt;=0,R$5,"")</f>
        <v>14</v>
      </c>
      <c r="S167" s="44">
        <f>IF(S166&gt;=0,S$5,"")</f>
        <v>15</v>
      </c>
      <c r="T167" s="44">
        <f>IF(T166&gt;=0,T$5,"")</f>
        <v>16</v>
      </c>
      <c r="U167" s="44">
        <f>IF(U166&gt;=0,U$5,"")</f>
        <v>17</v>
      </c>
      <c r="V167" s="44">
        <f>IF(V166&gt;=0,V$5,"")</f>
        <v>18</v>
      </c>
      <c r="W167" s="44">
        <f>IF(W166&gt;=0,W$5,"")</f>
        <v>19</v>
      </c>
      <c r="X167" s="44">
        <f>IF(X166&gt;=0,X$5,"")</f>
        <v>20</v>
      </c>
      <c r="Y167" s="44">
        <f>IF(Y166&gt;=0,Y$5,"")</f>
        <v>21</v>
      </c>
      <c r="Z167" s="44">
        <f>IF(Z166&gt;=0,Z$5,"")</f>
        <v>22</v>
      </c>
      <c r="AA167" s="44">
        <f>IF(AA166&gt;=0,AA$5,"")</f>
        <v>23</v>
      </c>
      <c r="AB167" s="44">
        <f>IF(AB166&gt;=0,AB$5,"")</f>
        <v>24</v>
      </c>
      <c r="AC167" s="44">
        <f>IF(AC166&gt;=0,AC$5,"")</f>
        <v>25</v>
      </c>
    </row>
    <row r="168" spans="1:29" x14ac:dyDescent="0.25">
      <c r="A168" s="33" t="s">
        <v>231</v>
      </c>
      <c r="B168" s="26" t="s">
        <v>83</v>
      </c>
      <c r="C168" s="57">
        <f>SUM(E168:AC168)</f>
        <v>4710.684312141662</v>
      </c>
      <c r="E168" s="37">
        <f>MAX(0,(E119-E141)*$C$66)</f>
        <v>0</v>
      </c>
      <c r="F168" s="37">
        <f>MAX(0,(F119-F141)*$C$66)</f>
        <v>0</v>
      </c>
      <c r="G168" s="37">
        <f>MAX(0,(G119-G141)*$C$66)</f>
        <v>0</v>
      </c>
      <c r="H168" s="37">
        <f>MAX(0,(H119-H141)*$C$66)</f>
        <v>95.33344255258332</v>
      </c>
      <c r="I168" s="37">
        <f>MAX(0,(I119-I141)*$C$66)</f>
        <v>157.83856163781667</v>
      </c>
      <c r="J168" s="37">
        <f>MAX(0,(J119-J141)*$C$66)</f>
        <v>194.56556348217322</v>
      </c>
      <c r="K168" s="37">
        <f>MAX(0,(K119-K141)*$C$66)</f>
        <v>215.8020566082263</v>
      </c>
      <c r="L168" s="37">
        <f>MAX(0,(L119-L141)*$C$66)</f>
        <v>227.71942421083102</v>
      </c>
      <c r="M168" s="37">
        <f>MAX(0,(M119-M141)*$C$66)</f>
        <v>234.019255192277</v>
      </c>
      <c r="N168" s="37">
        <f>MAX(0,(N119-N141)*$C$66)</f>
        <v>236.92119982858367</v>
      </c>
      <c r="O168" s="37">
        <f>MAX(0,(O119-O141)*$C$66)</f>
        <v>237.7556800667404</v>
      </c>
      <c r="P168" s="37">
        <f>MAX(0,(P119-P141)*$C$66)</f>
        <v>237.3195124453876</v>
      </c>
      <c r="Q168" s="37">
        <f>MAX(0,(Q119-Q141)*$C$66)</f>
        <v>236.08927842667848</v>
      </c>
      <c r="R168" s="37">
        <f>MAX(0,(R119-R141)*$C$66)</f>
        <v>234.34934300382233</v>
      </c>
      <c r="S168" s="37">
        <f>MAX(0,(S119-S141)*$C$66)</f>
        <v>232.2686620944583</v>
      </c>
      <c r="T168" s="37">
        <f>MAX(0,(T119-T141)*$C$66)</f>
        <v>229.9468630169685</v>
      </c>
      <c r="U168" s="37">
        <f>MAX(0,(U119-U141)*$C$66)</f>
        <v>227.4418886185716</v>
      </c>
      <c r="V168" s="37">
        <f>MAX(0,(V119-V141)*$C$66)</f>
        <v>224.78657938659703</v>
      </c>
      <c r="W168" s="37">
        <f>MAX(0,(W119-W141)*$C$66)</f>
        <v>221.99861813139066</v>
      </c>
      <c r="X168" s="37">
        <f>MAX(0,(X119-X141)*$C$66)</f>
        <v>219.08649198300606</v>
      </c>
      <c r="Y168" s="37">
        <f>MAX(0,(Y119-Y141)*$C$66)</f>
        <v>216.05306453551287</v>
      </c>
      <c r="Z168" s="37">
        <f>MAX(0,(Z119-Z141)*$C$66)</f>
        <v>212.89771382719334</v>
      </c>
      <c r="AA168" s="37">
        <f>MAX(0,(AA119-AA141)*$C$66)</f>
        <v>209.6176095569486</v>
      </c>
      <c r="AB168" s="37">
        <f>MAX(0,(AB119-AB141)*$C$66)</f>
        <v>206.20847356384758</v>
      </c>
      <c r="AC168" s="37">
        <f>MAX(0,(AC119-AC141)*$C$66)</f>
        <v>202.66502997204722</v>
      </c>
    </row>
    <row r="169" spans="1:29" x14ac:dyDescent="0.25">
      <c r="A169" s="61" t="s">
        <v>232</v>
      </c>
      <c r="B169" s="62" t="s">
        <v>83</v>
      </c>
      <c r="C169" s="63">
        <f>SUM(E169:AC169)</f>
        <v>19524.14475530837</v>
      </c>
      <c r="D169" s="63">
        <f>-$C$80</f>
        <v>-7571.871924760597</v>
      </c>
      <c r="E169" s="63">
        <f>E119-E168-E159-E123+E163</f>
        <v>960.9957746984971</v>
      </c>
      <c r="F169" s="63">
        <f>F119-F168-F159-F123+F163</f>
        <v>1031.7117398429693</v>
      </c>
      <c r="G169" s="63">
        <f>G119-G168-G159-G123+G163</f>
        <v>1024.9132678135</v>
      </c>
      <c r="H169" s="63">
        <f>H119-H168-H159-H123+H163</f>
        <v>922.5920564333279</v>
      </c>
      <c r="I169" s="63">
        <f>I119-I168-I159-I123+I163</f>
        <v>852.9004068824808</v>
      </c>
      <c r="J169" s="63">
        <f>J119-J168-J159-J123+J163</f>
        <v>808.7781748525839</v>
      </c>
      <c r="K169" s="63">
        <f>K119-K168-K159-K123+K163</f>
        <v>779.9273168350686</v>
      </c>
      <c r="L169" s="63">
        <f>L119-L168-L159-L123+L163</f>
        <v>760.1654928997829</v>
      </c>
      <c r="M169" s="63">
        <f>M119-M168-M159-M123+M163</f>
        <v>745.7796095723761</v>
      </c>
      <c r="N169" s="63">
        <f>N119-N168-N159-N123+N163</f>
        <v>734.5379367761651</v>
      </c>
      <c r="O169" s="63">
        <f>O119-O168-O159-O123+O163</f>
        <v>725.0973687734632</v>
      </c>
      <c r="P169" s="63">
        <f>P119-P168-P159-P123+P163</f>
        <v>716.6477710453984</v>
      </c>
      <c r="Q169" s="63">
        <f>Q119-Q168-Q159-Q123+Q163</f>
        <v>708.6985782505734</v>
      </c>
      <c r="R169" s="63">
        <f>R119-R168-R159-R123+R163</f>
        <v>700.9507423225731</v>
      </c>
      <c r="S169" s="63">
        <f>S119-S168-S159-S123+S163</f>
        <v>693.2198901168925</v>
      </c>
      <c r="T169" s="63">
        <f>T119-T168-T159-T123+T163</f>
        <v>685.3902062269393</v>
      </c>
      <c r="U169" s="63">
        <f>U119-U168-U159-U123+U163</f>
        <v>677.386750312876</v>
      </c>
      <c r="V169" s="63">
        <f>V119-V168-V159-V123+V163</f>
        <v>669.1588345201219</v>
      </c>
      <c r="W169" s="63">
        <f>W119-W168-W159-W123+W163</f>
        <v>660.6700363027174</v>
      </c>
      <c r="X169" s="63">
        <f>X119-X168-X159-X123+X163</f>
        <v>651.8921918082159</v>
      </c>
      <c r="Y169" s="63">
        <f>Y119-Y168-Y159-Y123+Y163</f>
        <v>642.8017768840319</v>
      </c>
      <c r="Z169" s="63">
        <f>Z119-Z168-Z159-Z123+Z163</f>
        <v>633.3777199054456</v>
      </c>
      <c r="AA169" s="63">
        <f>AA119-AA168-AA159-AA123+AA163</f>
        <v>623.6000729077936</v>
      </c>
      <c r="AB169" s="63">
        <f>AB119-AB168-AB159-AB123+AB163</f>
        <v>613.4491968729569</v>
      </c>
      <c r="AC169" s="63">
        <f>AC119-AC168-AC159-AC123+AC163</f>
        <v>1499.5018424516206</v>
      </c>
    </row>
    <row r="171" ht="20" customHeight="1" spans="1:29" x14ac:dyDescent="0.25">
      <c r="A171" s="21" t="s">
        <v>233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x14ac:dyDescent="0.25">
      <c r="A172" s="33" t="s">
        <v>234</v>
      </c>
      <c r="B172" s="26" t="s">
        <v>83</v>
      </c>
      <c r="C172" s="57">
        <f>SUM(E172:AC172)</f>
        <v>5695.246332889374</v>
      </c>
      <c r="E172" s="37">
        <f>E118+E123</f>
        <v>93.74698573513119</v>
      </c>
      <c r="F172" s="37">
        <f>F118+F123</f>
        <v>168.7130937657647</v>
      </c>
      <c r="G172" s="37">
        <f>G118+G123</f>
        <v>172.499029728145</v>
      </c>
      <c r="H172" s="37">
        <f>H118+H123</f>
        <v>176.47426248864434</v>
      </c>
      <c r="I172" s="37">
        <f>I118+I123</f>
        <v>180.6482568871686</v>
      </c>
      <c r="J172" s="37">
        <f>J118+J123</f>
        <v>185.0309510056191</v>
      </c>
      <c r="K172" s="37">
        <f>K118+K123</f>
        <v>189.63277982999216</v>
      </c>
      <c r="L172" s="37">
        <f>L118+L123</f>
        <v>194.4647000955838</v>
      </c>
      <c r="M172" s="37">
        <f>M118+M123</f>
        <v>199.5382163744551</v>
      </c>
      <c r="N172" s="37">
        <f>N118+N123</f>
        <v>204.8654084672699</v>
      </c>
      <c r="O172" s="37">
        <f>O118+O123</f>
        <v>210.45896016472548</v>
      </c>
      <c r="P172" s="37">
        <f>P118+P123</f>
        <v>216.3321894470538</v>
      </c>
      <c r="Q172" s="37">
        <f>Q118+Q123</f>
        <v>222.49908019349857</v>
      </c>
      <c r="R172" s="37">
        <f>R118+R123</f>
        <v>228.97431547726555</v>
      </c>
      <c r="S172" s="37">
        <f>S118+S123</f>
        <v>235.77331252522092</v>
      </c>
      <c r="T172" s="37">
        <f>T118+T123</f>
        <v>242.91225942557404</v>
      </c>
      <c r="U172" s="37">
        <f>U118+U123</f>
        <v>250.40815367094478</v>
      </c>
      <c r="V172" s="37">
        <f>V118+V123</f>
        <v>258.27884262858413</v>
      </c>
      <c r="W172" s="37">
        <f>W118+W123</f>
        <v>266.54306603410544</v>
      </c>
      <c r="X172" s="37">
        <f>X118+X123</f>
        <v>275.22050060990273</v>
      </c>
      <c r="Y172" s="37">
        <f>Y118+Y123</f>
        <v>284.3318069144899</v>
      </c>
      <c r="Z172" s="37">
        <f>Z118+Z123</f>
        <v>293.89867853430644</v>
      </c>
      <c r="AA172" s="37">
        <f>AA118+AA123</f>
        <v>303.9438937351139</v>
      </c>
      <c r="AB172" s="37">
        <f>AB118+AB123</f>
        <v>314.4913696959617</v>
      </c>
      <c r="AC172" s="37">
        <f>AC118+AC123</f>
        <v>325.56621945485176</v>
      </c>
    </row>
    <row r="173" spans="1:29" x14ac:dyDescent="0.25">
      <c r="A173" s="33" t="s">
        <v>235</v>
      </c>
      <c r="B173" s="26" t="s">
        <v>83</v>
      </c>
      <c r="C173" s="57">
        <f>SUM(E173:AC173)</f>
        <v>1770.7273752044898</v>
      </c>
      <c r="E173" s="37">
        <f>E172*E103</f>
        <v>85.2245324864829</v>
      </c>
      <c r="F173" s="37">
        <f>F172*F103</f>
        <v>139.43230889732618</v>
      </c>
      <c r="G173" s="37">
        <f>G172*G103</f>
        <v>129.60107417591655</v>
      </c>
      <c r="H173" s="37">
        <f>H172*H103</f>
        <v>120.5342958053714</v>
      </c>
      <c r="I173" s="37">
        <f>I172*I103</f>
        <v>112.16835467471083</v>
      </c>
      <c r="J173" s="37">
        <f>J172*J103</f>
        <v>104.44514809572972</v>
      </c>
      <c r="K173" s="37">
        <f>K172*K103</f>
        <v>97.31160045241664</v>
      </c>
      <c r="L173" s="37">
        <f>L172*L103</f>
        <v>90.71921778486222</v>
      </c>
      <c r="M173" s="37">
        <f>M172*M103</f>
        <v>84.62368233869991</v>
      </c>
      <c r="N173" s="37">
        <f>N172*N103</f>
        <v>78.98448347079582</v>
      </c>
      <c r="O173" s="37">
        <f>O172*O103</f>
        <v>73.76458162893361</v>
      </c>
      <c r="P173" s="37">
        <f>P172*P103</f>
        <v>68.93010242058651</v>
      </c>
      <c r="Q173" s="37">
        <f>Q172*Q103</f>
        <v>64.45005805623329</v>
      </c>
      <c r="R173" s="37">
        <f>R172*R103</f>
        <v>60.29609369850434</v>
      </c>
      <c r="S173" s="37">
        <f>S172*S103</f>
        <v>56.44225647196886</v>
      </c>
      <c r="T173" s="37">
        <f>T172*T103</f>
        <v>52.864785091620035</v>
      </c>
      <c r="U173" s="37">
        <f>U172*U103</f>
        <v>49.54191825292219</v>
      </c>
      <c r="V173" s="37">
        <f>V172*V103</f>
        <v>46.45372009432935</v>
      </c>
      <c r="W173" s="37">
        <f>W172*W103</f>
        <v>43.58192119598711</v>
      </c>
      <c r="X173" s="37">
        <f>X172*X103</f>
        <v>40.90977371727692</v>
      </c>
      <c r="Y173" s="37">
        <f>Y172*Y103</f>
        <v>38.4219194022091</v>
      </c>
      <c r="Z173" s="37">
        <f>Z172*Z103</f>
        <v>36.104269296562606</v>
      </c>
      <c r="AA173" s="37">
        <f>AA172*AA103</f>
        <v>33.943894125148034</v>
      </c>
      <c r="AB173" s="37">
        <f>AB172*AB103</f>
        <v>31.928924372576937</v>
      </c>
      <c r="AC173" s="37">
        <f>AC172*AC103</f>
        <v>30.04845919731863</v>
      </c>
    </row>
    <row r="174" spans="1:29" x14ac:dyDescent="0.25">
      <c r="A174" s="33" t="s">
        <v>236</v>
      </c>
      <c r="B174" s="26" t="s">
        <v>178</v>
      </c>
      <c r="C174" s="58">
        <f>SUM(E174:AC174)</f>
        <v>14203.85942420541</v>
      </c>
      <c r="E174" s="59">
        <f>E92*E103</f>
        <v>1437.7486538094947</v>
      </c>
      <c r="F174" s="59">
        <f>F92*F103</f>
        <v>1305.1923451121474</v>
      </c>
      <c r="G174" s="59">
        <f>G92*G103</f>
        <v>1184.8549631712644</v>
      </c>
      <c r="H174" s="59">
        <f>H92*H103</f>
        <v>1075.6103916236646</v>
      </c>
      <c r="I174" s="59">
        <f>I92*I103</f>
        <v>976.4362796700809</v>
      </c>
      <c r="J174" s="59">
        <f>J92*J103</f>
        <v>886.4044823557961</v>
      </c>
      <c r="K174" s="59">
        <f>K92*K103</f>
        <v>804.67238141543</v>
      </c>
      <c r="L174" s="59">
        <f>L92*L103</f>
        <v>730.4750055852479</v>
      </c>
      <c r="M174" s="59">
        <f>M92*M103</f>
        <v>663.1178767538146</v>
      </c>
      <c r="N174" s="59">
        <f>N92*N103</f>
        <v>601.970515101772</v>
      </c>
      <c r="O174" s="59">
        <f>O92*O103</f>
        <v>546.4605425372591</v>
      </c>
      <c r="P174" s="59">
        <f>P92*P103</f>
        <v>496.06832932247806</v>
      </c>
      <c r="Q174" s="59">
        <f>Q92*Q103</f>
        <v>450.322133861316</v>
      </c>
      <c r="R174" s="59">
        <f>R92*R103</f>
        <v>408.7936902251383</v>
      </c>
      <c r="S174" s="59">
        <f>S92*S103</f>
        <v>371.0942021768496</v>
      </c>
      <c r="T174" s="59">
        <f>T92*T103</f>
        <v>336.8707062511826</v>
      </c>
      <c r="U174" s="59">
        <f>U92*U103</f>
        <v>305.8027698973158</v>
      </c>
      <c r="V174" s="59">
        <f>V92*V103</f>
        <v>277.5994938205885</v>
      </c>
      <c r="W174" s="59">
        <f>W92*W103</f>
        <v>251.996790502462</v>
      </c>
      <c r="X174" s="59">
        <f>X92*X103</f>
        <v>228.7549134585354</v>
      </c>
      <c r="Y174" s="59">
        <f>Y92*Y103</f>
        <v>207.65621413745114</v>
      </c>
      <c r="Z174" s="59">
        <f>Z92*Z103</f>
        <v>188.50310549079097</v>
      </c>
      <c r="AA174" s="59">
        <f>AA92*AA103</f>
        <v>171.11621317544552</v>
      </c>
      <c r="AB174" s="59">
        <f>AB92*AB103</f>
        <v>155.33269710346207</v>
      </c>
      <c r="AC174" s="59">
        <f>AC92*AC103</f>
        <v>141.0047276464224</v>
      </c>
    </row>
    <row r="175" spans="1:29" x14ac:dyDescent="0.25">
      <c r="A175" s="33" t="s">
        <v>237</v>
      </c>
      <c r="B175" s="26" t="s">
        <v>83</v>
      </c>
      <c r="C175" s="57">
        <f>SUM(E175:AC175)</f>
        <v>11364.609812300661</v>
      </c>
      <c r="E175" s="37">
        <f>E107*E103</f>
        <v>1150.3530111584098</v>
      </c>
      <c r="F175" s="37">
        <f>F107*F103</f>
        <v>1044.2937577179669</v>
      </c>
      <c r="G175" s="37">
        <f>G107*G103</f>
        <v>948.0109552240639</v>
      </c>
      <c r="H175" s="37">
        <f>H107*H103</f>
        <v>860.6035898966722</v>
      </c>
      <c r="I175" s="37">
        <f>I107*I103</f>
        <v>781.2536715277812</v>
      </c>
      <c r="J175" s="37">
        <f>J107*J103</f>
        <v>709.2185846813608</v>
      </c>
      <c r="K175" s="37">
        <f>K107*K103</f>
        <v>643.8241444390184</v>
      </c>
      <c r="L175" s="37">
        <f>L107*L103</f>
        <v>584.4582918053552</v>
      </c>
      <c r="M175" s="37">
        <f>M107*M103</f>
        <v>530.5653698617878</v>
      </c>
      <c r="N175" s="37">
        <f>N107*N103</f>
        <v>481.6409271822956</v>
      </c>
      <c r="O175" s="37">
        <f>O107*O103</f>
        <v>437.2269999498038</v>
      </c>
      <c r="P175" s="37">
        <f>P107*P103</f>
        <v>396.90782868369655</v>
      </c>
      <c r="Q175" s="37">
        <f>Q107*Q103</f>
        <v>360.3059695490319</v>
      </c>
      <c r="R175" s="37">
        <f>R107*R103</f>
        <v>327.0787639042758</v>
      </c>
      <c r="S175" s="37">
        <f>S107*S103</f>
        <v>296.91513309121876</v>
      </c>
      <c r="T175" s="37">
        <f>T107*T103</f>
        <v>269.53266850942606</v>
      </c>
      <c r="U175" s="37">
        <f>U107*U103</f>
        <v>244.67498977646156</v>
      </c>
      <c r="V175" s="37">
        <f>V107*V103</f>
        <v>222.10934627999129</v>
      </c>
      <c r="W175" s="37">
        <f>W107*W103</f>
        <v>201.62443970208207</v>
      </c>
      <c r="X175" s="37">
        <f>X107*X103</f>
        <v>183.02844716081756</v>
      </c>
      <c r="Y175" s="37">
        <f>Y107*Y103</f>
        <v>166.14722648902193</v>
      </c>
      <c r="Z175" s="37">
        <f>Z107*Z103</f>
        <v>150.82268687192618</v>
      </c>
      <c r="AA175" s="37">
        <f>AA107*AA103</f>
        <v>136.91130961092205</v>
      </c>
      <c r="AB175" s="37">
        <f>AB107*AB103</f>
        <v>124.28280518355562</v>
      </c>
      <c r="AC175" s="37">
        <f>AC107*AC103</f>
        <v>112.81889404371934</v>
      </c>
    </row>
    <row r="177" ht="20" customHeight="1" spans="1:29" x14ac:dyDescent="0.25">
      <c r="A177" s="21" t="s">
        <v>238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3" x14ac:dyDescent="0.25">
      <c r="A178" s="25" t="s">
        <v>7</v>
      </c>
      <c r="B178" s="26" t="s">
        <v>80</v>
      </c>
      <c r="C178" s="65">
        <f>IFERROR(IRR(D165:AC165),"n/a")</f>
        <v>0.1400000000002308</v>
      </c>
    </row>
    <row r="179" spans="1:3" x14ac:dyDescent="0.25">
      <c r="A179" s="33" t="s">
        <v>9</v>
      </c>
      <c r="B179" s="26" t="s">
        <v>80</v>
      </c>
      <c r="C179" s="32">
        <f>IFERROR(IRR(D169:AC169),"n/a")</f>
        <v>0.09956334969890693</v>
      </c>
    </row>
    <row r="180" spans="1:3" x14ac:dyDescent="0.25">
      <c r="A180" s="33" t="s">
        <v>82</v>
      </c>
      <c r="B180" s="26" t="s">
        <v>83</v>
      </c>
      <c r="C180" s="37">
        <f>D165+NPV($C$63,E165:AC165)</f>
        <v>-6.394884621840902e-14</v>
      </c>
    </row>
    <row r="181" spans="1:3" x14ac:dyDescent="0.25">
      <c r="A181" s="33" t="s">
        <v>84</v>
      </c>
      <c r="B181" s="26" t="s">
        <v>83</v>
      </c>
      <c r="C181" s="37">
        <f>D169+NPV($C$64,E169:AC169)</f>
        <v>-23.208402778295465</v>
      </c>
    </row>
    <row r="182" spans="1:3" x14ac:dyDescent="0.25">
      <c r="A182" s="33" t="s">
        <v>11</v>
      </c>
      <c r="B182" s="26" t="s">
        <v>85</v>
      </c>
      <c r="C182" s="40">
        <f>IF(COUNT(E162:AC162)=0,"",MIN(E162:AC162))</f>
        <v>1.15729366418498</v>
      </c>
    </row>
    <row r="183" spans="1:3" x14ac:dyDescent="0.25">
      <c r="A183" s="33" t="s">
        <v>12</v>
      </c>
      <c r="B183" s="26" t="s">
        <v>85</v>
      </c>
      <c r="C183" s="40">
        <f>IF(COUNT(E162:AC162)=0,"",AVERAGE(E162:AC162))</f>
        <v>1.5536586071699474</v>
      </c>
    </row>
    <row r="184" spans="1:3" x14ac:dyDescent="0.25">
      <c r="A184" s="33" t="s">
        <v>239</v>
      </c>
      <c r="B184" s="26" t="s">
        <v>79</v>
      </c>
      <c r="C184" s="29">
        <f>IF(C174&gt;0,($C$80+C173)*10/C174,"")</f>
        <v>6.577507578006552</v>
      </c>
    </row>
    <row r="185" spans="1:3" x14ac:dyDescent="0.25">
      <c r="A185" s="33" t="s">
        <v>87</v>
      </c>
      <c r="B185" s="26" t="s">
        <v>79</v>
      </c>
      <c r="C185" s="29">
        <f>IF(C174&gt;0,C175*10/C174,"")</f>
        <v>8.001071731908118</v>
      </c>
    </row>
    <row r="186" spans="1:3" x14ac:dyDescent="0.25">
      <c r="A186" s="33" t="s">
        <v>88</v>
      </c>
      <c r="B186" s="26" t="s">
        <v>89</v>
      </c>
      <c r="C186" s="44">
        <f>IF(COUNT(E167:AC167)=0,"beyond the term",MIN(E167:AC167))</f>
        <v>8</v>
      </c>
    </row>
    <row r="188" ht="20" customHeight="1" spans="1:29" x14ac:dyDescent="0.25">
      <c r="A188" s="21" t="s">
        <v>240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3" x14ac:dyDescent="0.25">
      <c r="A189" s="33" t="s">
        <v>241</v>
      </c>
      <c r="C189" s="66" t="str">
        <f>IF(ABS($C$81+$C$82-$C$80)&lt;0.001,"OK","CHECK")</f>
        <v>OK</v>
      </c>
    </row>
    <row r="190" spans="1:3" x14ac:dyDescent="0.25">
      <c r="A190" s="33" t="s">
        <v>242</v>
      </c>
      <c r="C190" s="66" t="str">
        <f>IF(ABS(INDEX(E135:AC135,1,$C$84))&lt;0.01,"OK","CHECK")</f>
        <v>OK</v>
      </c>
    </row>
    <row r="191" spans="1:3" x14ac:dyDescent="0.25">
      <c r="A191" s="33" t="s">
        <v>243</v>
      </c>
      <c r="C191" s="66" t="str">
        <f>IF(ABS(C111-C118-C119)&lt;0.01,"OK","CHECK")</f>
        <v>OK</v>
      </c>
    </row>
    <row r="192" spans="1:3" x14ac:dyDescent="0.25">
      <c r="A192" s="33" t="s">
        <v>244</v>
      </c>
      <c r="C192" s="66" t="str">
        <f>IF(MIN(E153:AC153)&gt;=-1E-9,"OK","CHECK")</f>
        <v>OK</v>
      </c>
    </row>
    <row r="193" spans="1:3" x14ac:dyDescent="0.25">
      <c r="A193" s="33" t="s">
        <v>245</v>
      </c>
      <c r="C193" s="66" t="str">
        <f>IF(ISNUMBER($C$10),IF($C$10&gt;=$C$63-1E-5,"OK","Below target"),"No IRR")</f>
        <v>OK</v>
      </c>
    </row>
    <row r="194" spans="1:3" x14ac:dyDescent="0.25">
      <c r="A194" s="33" t="s">
        <v>246</v>
      </c>
      <c r="C194" s="66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89:C194">
    <cfRule type="expression" dxfId="2" priority="3">
      <formula>C189="OK"</formula>
    </cfRule>
    <cfRule type="expression" dxfId="3" priority="4">
      <formula>C189&lt;&gt;"OK"</formula>
    </cfRule>
  </conditionalFormatting>
  <dataValidations count="4">
    <dataValidation type="list" showErrorMessage="1" errorTitle="Choose from the list" error="One of: Yes, No" sqref="C48">
      <formula1>"Yes,No"</formula1>
    </dataValidation>
    <dataValidation type="list" showErrorMessage="1" errorTitle="Choose from the list" error="One of: annual, oneTime, none" sqref="C54">
      <formula1>"annual,oneTime,none"</formula1>
    </dataValidation>
    <dataValidation type="list" showErrorMessage="1" errorTitle="Choose from the list" error="One of: annuity, equal" sqref="C62">
      <formula1>"annuity,equal"</formula1>
    </dataValidation>
    <dataValidation type="list" showErrorMessage="1" errorTitle="Choose from the list" error="One of: wdv, slm" sqref="C67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" customWidth="1"/>
    <col min="4" max="4" width="60" customWidth="1"/>
    <col min="5" max="5" width="44" customWidth="1"/>
    <col min="6" max="6" width="12" customWidth="1"/>
  </cols>
  <sheetData>
    <row r="1" spans="1:6" s="67" customFormat="1" x14ac:dyDescent="0.25">
      <c r="A1" s="67" t="s">
        <v>247</v>
      </c>
      <c r="B1" s="67" t="s">
        <v>248</v>
      </c>
      <c r="C1" s="67" t="s">
        <v>249</v>
      </c>
      <c r="D1" s="67" t="s">
        <v>250</v>
      </c>
      <c r="E1" s="67" t="s">
        <v>251</v>
      </c>
      <c r="F1" s="67" t="s">
        <v>252</v>
      </c>
    </row>
    <row r="2" spans="1:6" s="68" customFormat="1" x14ac:dyDescent="0.25">
      <c r="A2" s="68" t="s">
        <v>253</v>
      </c>
      <c r="B2" s="68" t="s">
        <v>254</v>
      </c>
      <c r="C2" s="68">
        <v>1</v>
      </c>
      <c r="D2" s="68" t="s">
        <v>255</v>
      </c>
      <c r="E2" s="68" t="s">
        <v>256</v>
      </c>
      <c r="F2" s="69" t="s">
        <v>257</v>
      </c>
    </row>
    <row r="3" spans="1:6" s="68" customFormat="1" x14ac:dyDescent="0.25">
      <c r="A3" s="68" t="s">
        <v>258</v>
      </c>
      <c r="B3" s="68" t="s">
        <v>259</v>
      </c>
      <c r="C3" s="68">
        <v>2</v>
      </c>
      <c r="D3" s="68" t="s">
        <v>260</v>
      </c>
      <c r="E3" s="68" t="s">
        <v>261</v>
      </c>
      <c r="F3" s="70" t="s">
        <v>262</v>
      </c>
    </row>
    <row r="4" spans="1:6" s="68" customFormat="1" x14ac:dyDescent="0.25">
      <c r="A4" s="68" t="s">
        <v>263</v>
      </c>
      <c r="B4" s="68" t="s">
        <v>264</v>
      </c>
      <c r="C4" s="68">
        <v>2</v>
      </c>
      <c r="D4" s="68" t="s">
        <v>265</v>
      </c>
      <c r="E4" s="68" t="s">
        <v>266</v>
      </c>
      <c r="F4" s="70" t="s">
        <v>262</v>
      </c>
    </row>
    <row r="5" spans="1:6" s="68" customFormat="1" x14ac:dyDescent="0.25">
      <c r="A5" s="68" t="s">
        <v>267</v>
      </c>
      <c r="B5" s="68" t="s">
        <v>268</v>
      </c>
      <c r="C5" s="68">
        <v>2</v>
      </c>
      <c r="D5" s="68" t="s">
        <v>269</v>
      </c>
      <c r="E5" s="68" t="s">
        <v>270</v>
      </c>
      <c r="F5" s="69" t="s">
        <v>257</v>
      </c>
    </row>
    <row r="6" spans="1:6" s="68" customFormat="1" x14ac:dyDescent="0.25">
      <c r="A6" s="68" t="s">
        <v>271</v>
      </c>
      <c r="B6" s="68" t="s">
        <v>272</v>
      </c>
      <c r="C6" s="68">
        <v>2</v>
      </c>
      <c r="D6" s="68" t="s">
        <v>273</v>
      </c>
      <c r="E6" s="68" t="s">
        <v>274</v>
      </c>
      <c r="F6" s="69" t="s">
        <v>257</v>
      </c>
    </row>
    <row r="7" spans="1:6" s="68" customFormat="1" x14ac:dyDescent="0.25">
      <c r="A7" s="68" t="s">
        <v>275</v>
      </c>
      <c r="B7" s="68" t="s">
        <v>276</v>
      </c>
      <c r="C7" s="68">
        <v>19</v>
      </c>
      <c r="D7" s="68" t="s">
        <v>277</v>
      </c>
      <c r="E7" s="68" t="s">
        <v>278</v>
      </c>
      <c r="F7" s="69" t="s">
        <v>257</v>
      </c>
    </row>
    <row r="8" spans="1:6" s="68" customFormat="1" x14ac:dyDescent="0.25">
      <c r="A8" s="68" t="s">
        <v>57</v>
      </c>
      <c r="B8" s="68" t="s">
        <v>58</v>
      </c>
      <c r="C8" s="68">
        <v>34</v>
      </c>
      <c r="D8" s="68" t="s">
        <v>279</v>
      </c>
      <c r="E8" s="68" t="s">
        <v>280</v>
      </c>
      <c r="F8" s="69" t="s">
        <v>257</v>
      </c>
    </row>
    <row r="9" spans="1:6" s="68" customFormat="1" x14ac:dyDescent="0.25">
      <c r="A9" s="68" t="s">
        <v>61</v>
      </c>
      <c r="B9" s="68" t="s">
        <v>55</v>
      </c>
      <c r="C9" s="68">
        <v>60</v>
      </c>
      <c r="D9" s="68" t="s">
        <v>281</v>
      </c>
      <c r="E9" s="68" t="s">
        <v>282</v>
      </c>
      <c r="F9" s="70" t="s">
        <v>283</v>
      </c>
    </row>
    <row r="10" spans="1:6" s="68" customFormat="1" x14ac:dyDescent="0.25">
      <c r="A10" s="68" t="s">
        <v>59</v>
      </c>
      <c r="B10" s="68" t="s">
        <v>60</v>
      </c>
      <c r="C10" s="68">
        <v>2</v>
      </c>
      <c r="D10" s="68" t="s">
        <v>284</v>
      </c>
      <c r="E10" s="68" t="s">
        <v>285</v>
      </c>
      <c r="F10" s="70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7" customFormat="1" x14ac:dyDescent="0.25">
      <c r="A1" s="67" t="s">
        <v>286</v>
      </c>
      <c r="B1" s="67" t="s">
        <v>66</v>
      </c>
      <c r="C1" s="67" t="s">
        <v>287</v>
      </c>
      <c r="D1" s="67" t="s">
        <v>71</v>
      </c>
      <c r="E1" s="67" t="s">
        <v>288</v>
      </c>
    </row>
    <row r="2" spans="1:5" x14ac:dyDescent="0.25">
      <c r="A2" t="s">
        <v>289</v>
      </c>
      <c r="B2" t="s">
        <v>253</v>
      </c>
      <c r="C2" s="71">
        <v>200</v>
      </c>
      <c r="D2" t="s">
        <v>103</v>
      </c>
      <c r="E2" t="s">
        <v>290</v>
      </c>
    </row>
    <row r="3" spans="1:5" x14ac:dyDescent="0.25">
      <c r="A3" t="s">
        <v>289</v>
      </c>
      <c r="B3" t="s">
        <v>291</v>
      </c>
      <c r="C3" t="s">
        <v>130</v>
      </c>
      <c r="D3" t="s">
        <v>8</v>
      </c>
      <c r="E3" t="s">
        <v>290</v>
      </c>
    </row>
    <row r="4" spans="1:5" x14ac:dyDescent="0.25">
      <c r="A4" t="s">
        <v>37</v>
      </c>
      <c r="B4" t="s">
        <v>50</v>
      </c>
      <c r="C4" t="s">
        <v>292</v>
      </c>
      <c r="D4" t="s">
        <v>103</v>
      </c>
      <c r="E4" t="s">
        <v>293</v>
      </c>
    </row>
    <row r="5" spans="1:5" x14ac:dyDescent="0.25">
      <c r="A5" t="s">
        <v>37</v>
      </c>
      <c r="B5" t="s">
        <v>294</v>
      </c>
      <c r="C5" s="72">
        <v>0.25</v>
      </c>
      <c r="D5" t="s">
        <v>80</v>
      </c>
      <c r="E5" s="73" t="s">
        <v>101</v>
      </c>
    </row>
    <row r="6" spans="1:5" x14ac:dyDescent="0.25">
      <c r="A6" t="s">
        <v>37</v>
      </c>
      <c r="B6" t="s">
        <v>295</v>
      </c>
      <c r="C6" s="71">
        <v>1.4</v>
      </c>
      <c r="D6" t="s">
        <v>85</v>
      </c>
      <c r="E6" s="73" t="s">
        <v>101</v>
      </c>
    </row>
    <row r="7" spans="1:5" x14ac:dyDescent="0.25">
      <c r="A7" t="s">
        <v>37</v>
      </c>
      <c r="B7" t="s">
        <v>296</v>
      </c>
      <c r="C7" s="72">
        <v>0.005</v>
      </c>
      <c r="D7" t="s">
        <v>80</v>
      </c>
      <c r="E7" s="73" t="s">
        <v>101</v>
      </c>
    </row>
    <row r="8" spans="1:5" x14ac:dyDescent="0.25">
      <c r="A8" t="s">
        <v>37</v>
      </c>
      <c r="B8" t="s">
        <v>297</v>
      </c>
      <c r="C8" s="71">
        <v>4</v>
      </c>
      <c r="D8" t="s">
        <v>109</v>
      </c>
      <c r="E8" s="73" t="s">
        <v>101</v>
      </c>
    </row>
    <row r="9" spans="1:5" x14ac:dyDescent="0.25">
      <c r="A9" t="s">
        <v>37</v>
      </c>
      <c r="B9" t="s">
        <v>298</v>
      </c>
      <c r="C9" s="71">
        <v>4</v>
      </c>
      <c r="D9" t="s">
        <v>118</v>
      </c>
      <c r="E9" s="73" t="s">
        <v>101</v>
      </c>
    </row>
    <row r="10" spans="1:5" x14ac:dyDescent="0.25">
      <c r="A10" t="s">
        <v>39</v>
      </c>
      <c r="B10" t="s">
        <v>50</v>
      </c>
      <c r="C10" t="s">
        <v>292</v>
      </c>
      <c r="D10" t="s">
        <v>103</v>
      </c>
      <c r="E10" t="s">
        <v>293</v>
      </c>
    </row>
    <row r="11" spans="1:5" x14ac:dyDescent="0.25">
      <c r="A11" t="s">
        <v>39</v>
      </c>
      <c r="B11" t="s">
        <v>299</v>
      </c>
      <c r="C11" t="s">
        <v>300</v>
      </c>
      <c r="D11" t="s">
        <v>8</v>
      </c>
      <c r="E11" s="73" t="s">
        <v>101</v>
      </c>
    </row>
    <row r="12" spans="1:5" x14ac:dyDescent="0.25">
      <c r="A12" t="s">
        <v>39</v>
      </c>
      <c r="B12" t="s">
        <v>301</v>
      </c>
      <c r="C12" s="72">
        <v>0.87</v>
      </c>
      <c r="D12" t="s">
        <v>80</v>
      </c>
      <c r="E12" s="73" t="s">
        <v>101</v>
      </c>
    </row>
    <row r="13" spans="1:5" x14ac:dyDescent="0.25">
      <c r="A13" t="s">
        <v>39</v>
      </c>
      <c r="B13" t="s">
        <v>302</v>
      </c>
      <c r="C13" s="72">
        <v>0.05</v>
      </c>
      <c r="D13" t="s">
        <v>80</v>
      </c>
      <c r="E13" s="73" t="s">
        <v>101</v>
      </c>
    </row>
    <row r="14" spans="1:5" x14ac:dyDescent="0.25">
      <c r="A14" t="s">
        <v>39</v>
      </c>
      <c r="B14" t="s">
        <v>303</v>
      </c>
      <c r="C14" s="72">
        <v>0.95</v>
      </c>
      <c r="D14" t="s">
        <v>80</v>
      </c>
      <c r="E14" s="73" t="s">
        <v>101</v>
      </c>
    </row>
    <row r="15" spans="1:5" x14ac:dyDescent="0.25">
      <c r="A15" t="s">
        <v>39</v>
      </c>
      <c r="B15" t="s">
        <v>304</v>
      </c>
      <c r="C15" s="72">
        <v>0.02</v>
      </c>
      <c r="D15" t="s">
        <v>80</v>
      </c>
      <c r="E15" s="73" t="s">
        <v>101</v>
      </c>
    </row>
    <row r="16" spans="1:5" x14ac:dyDescent="0.25">
      <c r="A16" t="s">
        <v>39</v>
      </c>
      <c r="B16" t="s">
        <v>140</v>
      </c>
      <c r="C16" t="s">
        <v>305</v>
      </c>
      <c r="D16" t="s">
        <v>8</v>
      </c>
      <c r="E16" s="73" t="s">
        <v>101</v>
      </c>
    </row>
    <row r="17" spans="1:5" x14ac:dyDescent="0.25">
      <c r="A17" t="s">
        <v>39</v>
      </c>
      <c r="B17" t="s">
        <v>297</v>
      </c>
      <c r="C17" s="71">
        <v>1.2</v>
      </c>
      <c r="D17" t="s">
        <v>110</v>
      </c>
      <c r="E17" s="73" t="s">
        <v>101</v>
      </c>
    </row>
    <row r="18" spans="1:5" x14ac:dyDescent="0.25">
      <c r="A18" t="s">
        <v>39</v>
      </c>
      <c r="B18" t="s">
        <v>298</v>
      </c>
      <c r="C18" s="71">
        <v>1.2</v>
      </c>
      <c r="D18" t="s">
        <v>120</v>
      </c>
      <c r="E18" s="73" t="s">
        <v>101</v>
      </c>
    </row>
    <row r="19" spans="1:5" x14ac:dyDescent="0.25">
      <c r="A19" t="s">
        <v>41</v>
      </c>
      <c r="B19" t="s">
        <v>155</v>
      </c>
      <c r="C19" s="72">
        <v>0.14</v>
      </c>
      <c r="D19" t="s">
        <v>80</v>
      </c>
      <c r="E19" s="73" t="s">
        <v>101</v>
      </c>
    </row>
    <row r="20" spans="1:5" x14ac:dyDescent="0.25">
      <c r="A20" t="s">
        <v>41</v>
      </c>
      <c r="B20" t="s">
        <v>147</v>
      </c>
      <c r="C20" s="72">
        <v>0.7</v>
      </c>
      <c r="D20" t="s">
        <v>80</v>
      </c>
      <c r="E20" s="73" t="s">
        <v>101</v>
      </c>
    </row>
    <row r="21" spans="1:5" x14ac:dyDescent="0.25">
      <c r="A21" t="s">
        <v>41</v>
      </c>
      <c r="B21" t="s">
        <v>149</v>
      </c>
      <c r="C21" s="72">
        <v>0.09</v>
      </c>
      <c r="D21" t="s">
        <v>80</v>
      </c>
      <c r="E21" s="73" t="s">
        <v>101</v>
      </c>
    </row>
    <row r="22" spans="1:5" x14ac:dyDescent="0.25">
      <c r="A22" t="s">
        <v>41</v>
      </c>
      <c r="B22" t="s">
        <v>150</v>
      </c>
      <c r="C22" s="71">
        <v>15</v>
      </c>
      <c r="D22" t="s">
        <v>151</v>
      </c>
      <c r="E22" s="73" t="s">
        <v>101</v>
      </c>
    </row>
    <row r="23" spans="1:5" x14ac:dyDescent="0.25">
      <c r="A23" t="s">
        <v>41</v>
      </c>
      <c r="B23" t="s">
        <v>158</v>
      </c>
      <c r="C23" s="72">
        <v>0.2517</v>
      </c>
      <c r="D23" t="s">
        <v>80</v>
      </c>
      <c r="E23" s="73" t="s">
        <v>101</v>
      </c>
    </row>
    <row r="24" spans="1:5" x14ac:dyDescent="0.25">
      <c r="A24" t="s">
        <v>41</v>
      </c>
      <c r="B24" t="s">
        <v>121</v>
      </c>
      <c r="C24" s="72">
        <v>0.05</v>
      </c>
      <c r="D24" t="s">
        <v>80</v>
      </c>
      <c r="E24" s="73" t="s">
        <v>101</v>
      </c>
    </row>
    <row r="25" spans="1:5" x14ac:dyDescent="0.25">
      <c r="A25" t="s">
        <v>41</v>
      </c>
      <c r="B25" t="s">
        <v>122</v>
      </c>
      <c r="C25" s="72">
        <v>0.003</v>
      </c>
      <c r="D25" t="s">
        <v>80</v>
      </c>
      <c r="E25" s="73" t="s">
        <v>101</v>
      </c>
    </row>
    <row r="26" spans="1:5" x14ac:dyDescent="0.25">
      <c r="A26" t="s">
        <v>41</v>
      </c>
      <c r="B26" t="s">
        <v>99</v>
      </c>
      <c r="C26" s="72">
        <v>0</v>
      </c>
      <c r="D26" t="s">
        <v>80</v>
      </c>
      <c r="E26" s="73" t="s">
        <v>101</v>
      </c>
    </row>
    <row r="27" spans="1:5" x14ac:dyDescent="0.25">
      <c r="A27" t="s">
        <v>41</v>
      </c>
      <c r="B27" t="s">
        <v>306</v>
      </c>
      <c r="C27" s="72">
        <v>0.05</v>
      </c>
      <c r="D27" t="s">
        <v>80</v>
      </c>
      <c r="E27" s="73" t="s">
        <v>101</v>
      </c>
    </row>
    <row r="28" spans="1:5" x14ac:dyDescent="0.25">
      <c r="A28" t="s">
        <v>41</v>
      </c>
      <c r="B28" t="s">
        <v>113</v>
      </c>
      <c r="C28" s="71">
        <v>0</v>
      </c>
      <c r="D28" t="s">
        <v>83</v>
      </c>
      <c r="E28" s="73" t="s">
        <v>101</v>
      </c>
    </row>
    <row r="29" spans="1:5" x14ac:dyDescent="0.25">
      <c r="A29" t="s">
        <v>41</v>
      </c>
      <c r="B29" t="s">
        <v>152</v>
      </c>
      <c r="C29" t="s">
        <v>154</v>
      </c>
      <c r="D29" t="s">
        <v>8</v>
      </c>
      <c r="E29" t="s">
        <v>307</v>
      </c>
    </row>
    <row r="30" spans="1:5" x14ac:dyDescent="0.25">
      <c r="A30" t="s">
        <v>41</v>
      </c>
      <c r="B30" t="s">
        <v>159</v>
      </c>
      <c r="C30" t="s">
        <v>161</v>
      </c>
      <c r="D30" t="s">
        <v>8</v>
      </c>
      <c r="E30" t="s">
        <v>307</v>
      </c>
    </row>
    <row r="31" spans="1:5" x14ac:dyDescent="0.25">
      <c r="A31" t="s">
        <v>41</v>
      </c>
      <c r="B31" t="s">
        <v>162</v>
      </c>
      <c r="C31" s="72">
        <v>0.4</v>
      </c>
      <c r="D31" t="s">
        <v>80</v>
      </c>
      <c r="E31" t="s">
        <v>307</v>
      </c>
    </row>
    <row r="32" spans="1:5" x14ac:dyDescent="0.25">
      <c r="A32" t="s">
        <v>41</v>
      </c>
      <c r="B32" t="s">
        <v>163</v>
      </c>
      <c r="C32" s="71">
        <v>25</v>
      </c>
      <c r="D32" t="s">
        <v>151</v>
      </c>
      <c r="E32" t="s">
        <v>307</v>
      </c>
    </row>
    <row r="33" spans="1:5" x14ac:dyDescent="0.25">
      <c r="A33" t="s">
        <v>41</v>
      </c>
      <c r="B33" t="s">
        <v>164</v>
      </c>
      <c r="C33" s="72">
        <v>0.1</v>
      </c>
      <c r="D33" t="s">
        <v>80</v>
      </c>
      <c r="E33" t="s">
        <v>307</v>
      </c>
    </row>
    <row r="34" spans="1:5" x14ac:dyDescent="0.25">
      <c r="A34" t="s">
        <v>41</v>
      </c>
      <c r="B34" t="s">
        <v>165</v>
      </c>
      <c r="C34" s="71">
        <v>45</v>
      </c>
      <c r="D34" t="s">
        <v>166</v>
      </c>
      <c r="E34" t="s">
        <v>307</v>
      </c>
    </row>
    <row r="35" spans="1:5" x14ac:dyDescent="0.25">
      <c r="A35" t="s">
        <v>41</v>
      </c>
      <c r="B35" t="s">
        <v>308</v>
      </c>
      <c r="C35" s="72">
        <v>0.1</v>
      </c>
      <c r="D35" t="s">
        <v>80</v>
      </c>
      <c r="E35" t="s">
        <v>307</v>
      </c>
    </row>
    <row r="36" spans="1:5" x14ac:dyDescent="0.25">
      <c r="A36" t="s">
        <v>309</v>
      </c>
      <c r="B36" t="s">
        <v>310</v>
      </c>
      <c r="C36" t="s">
        <v>130</v>
      </c>
      <c r="D36" t="s">
        <v>8</v>
      </c>
      <c r="E36" s="7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7" customFormat="1" x14ac:dyDescent="0.25">
      <c r="A1" s="67" t="s">
        <v>311</v>
      </c>
      <c r="B1" s="67" t="s">
        <v>287</v>
      </c>
      <c r="C1" s="67" t="s">
        <v>312</v>
      </c>
    </row>
    <row r="2" spans="1:3" x14ac:dyDescent="0.25">
      <c r="A2" t="s">
        <v>29</v>
      </c>
      <c r="B2" s="11">
        <v>200</v>
      </c>
      <c r="C2" t="s">
        <v>30</v>
      </c>
    </row>
    <row r="3" spans="1:3" x14ac:dyDescent="0.25">
      <c r="A3" t="s">
        <v>31</v>
      </c>
      <c r="B3" s="11">
        <v>910.820964588417</v>
      </c>
      <c r="C3" t="s">
        <v>32</v>
      </c>
    </row>
    <row r="4" spans="1:3" x14ac:dyDescent="0.25">
      <c r="A4" t="s">
        <v>33</v>
      </c>
      <c r="B4" s="11">
        <v>743.338070136755</v>
      </c>
      <c r="C4" t="s">
        <v>8</v>
      </c>
    </row>
    <row r="5" spans="1:3" x14ac:dyDescent="0.25">
      <c r="A5" t="s">
        <v>34</v>
      </c>
      <c r="B5" s="11">
        <v>2973.35228054702</v>
      </c>
      <c r="C5" t="s">
        <v>8</v>
      </c>
    </row>
    <row r="7" spans="1:3" s="67" customFormat="1" x14ac:dyDescent="0.25">
      <c r="A7" s="67" t="s">
        <v>297</v>
      </c>
      <c r="B7" s="67" t="s">
        <v>313</v>
      </c>
      <c r="C7" s="67" t="s">
        <v>312</v>
      </c>
    </row>
    <row r="8" spans="1:3" x14ac:dyDescent="0.25">
      <c r="A8" t="s">
        <v>37</v>
      </c>
      <c r="B8" s="8">
        <v>3825.4480512713517</v>
      </c>
      <c r="C8" t="s">
        <v>8</v>
      </c>
    </row>
    <row r="9" spans="1:3" x14ac:dyDescent="0.25">
      <c r="A9" t="s">
        <v>39</v>
      </c>
      <c r="B9" s="8">
        <v>3746.4238734892456</v>
      </c>
      <c r="C9" t="s">
        <v>8</v>
      </c>
    </row>
    <row r="10" spans="1:3" x14ac:dyDescent="0.25">
      <c r="A10" t="s">
        <v>113</v>
      </c>
      <c r="B10" s="8">
        <v>0</v>
      </c>
      <c r="C10" t="s">
        <v>8</v>
      </c>
    </row>
    <row r="11" spans="1:3" x14ac:dyDescent="0.25">
      <c r="A11" t="s">
        <v>314</v>
      </c>
      <c r="B11" s="8">
        <v>7571.871924760597</v>
      </c>
      <c r="C11" t="s">
        <v>315</v>
      </c>
    </row>
    <row r="12" spans="1:3" x14ac:dyDescent="0.25">
      <c r="A12" t="s">
        <v>91</v>
      </c>
      <c r="B12" s="8">
        <v>5300.310347332417</v>
      </c>
      <c r="C12" t="s">
        <v>316</v>
      </c>
    </row>
    <row r="13" spans="1:3" x14ac:dyDescent="0.25">
      <c r="A13" t="s">
        <v>92</v>
      </c>
      <c r="B13" s="8">
        <v>2271.5615774281796</v>
      </c>
      <c r="C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70</v>
      </c>
      <c r="B1" s="67" t="s">
        <v>71</v>
      </c>
      <c r="C1" s="67" t="s">
        <v>317</v>
      </c>
      <c r="D1" s="67" t="s">
        <v>318</v>
      </c>
      <c r="E1" s="67" t="s">
        <v>319</v>
      </c>
      <c r="F1" s="67" t="s">
        <v>320</v>
      </c>
      <c r="G1" s="67" t="s">
        <v>321</v>
      </c>
      <c r="H1" s="67" t="s">
        <v>322</v>
      </c>
      <c r="I1" s="67" t="s">
        <v>323</v>
      </c>
      <c r="J1" s="67" t="s">
        <v>324</v>
      </c>
      <c r="K1" s="67" t="s">
        <v>325</v>
      </c>
      <c r="L1" s="67" t="s">
        <v>326</v>
      </c>
      <c r="M1" s="67" t="s">
        <v>327</v>
      </c>
      <c r="N1" s="67" t="s">
        <v>328</v>
      </c>
      <c r="O1" s="67" t="s">
        <v>329</v>
      </c>
      <c r="P1" s="67" t="s">
        <v>330</v>
      </c>
      <c r="Q1" s="67" t="s">
        <v>331</v>
      </c>
      <c r="R1" s="67" t="s">
        <v>332</v>
      </c>
      <c r="S1" s="67" t="s">
        <v>333</v>
      </c>
      <c r="T1" s="67" t="s">
        <v>334</v>
      </c>
      <c r="U1" s="67" t="s">
        <v>335</v>
      </c>
      <c r="V1" s="67" t="s">
        <v>336</v>
      </c>
      <c r="W1" s="67" t="s">
        <v>337</v>
      </c>
      <c r="X1" s="67" t="s">
        <v>338</v>
      </c>
      <c r="Y1" s="67" t="s">
        <v>339</v>
      </c>
      <c r="Z1" s="67" t="s">
        <v>340</v>
      </c>
      <c r="AA1" s="67" t="s">
        <v>341</v>
      </c>
      <c r="AB1" s="67" t="s">
        <v>342</v>
      </c>
    </row>
    <row r="2" spans="1:1" s="5" customFormat="1" x14ac:dyDescent="0.25">
      <c r="A2" s="5" t="s">
        <v>343</v>
      </c>
    </row>
    <row r="3" spans="1:28" x14ac:dyDescent="0.25">
      <c r="A3" t="s">
        <v>177</v>
      </c>
      <c r="B3" t="s">
        <v>178</v>
      </c>
      <c r="C3" s="74">
        <v>43800</v>
      </c>
      <c r="D3" s="74">
        <v>1752</v>
      </c>
      <c r="E3" s="74">
        <v>1752</v>
      </c>
      <c r="F3" s="74">
        <v>1752</v>
      </c>
      <c r="G3" s="74">
        <v>1752</v>
      </c>
      <c r="H3" s="74">
        <v>1752</v>
      </c>
      <c r="I3" s="74">
        <v>1752</v>
      </c>
      <c r="J3" s="74">
        <v>1752</v>
      </c>
      <c r="K3" s="74">
        <v>1752</v>
      </c>
      <c r="L3" s="74">
        <v>1752</v>
      </c>
      <c r="M3" s="74">
        <v>1752</v>
      </c>
      <c r="N3" s="74">
        <v>1752</v>
      </c>
      <c r="O3" s="74">
        <v>1752</v>
      </c>
      <c r="P3" s="74">
        <v>1752</v>
      </c>
      <c r="Q3" s="74">
        <v>1752</v>
      </c>
      <c r="R3" s="74">
        <v>1752</v>
      </c>
      <c r="S3" s="74">
        <v>1752</v>
      </c>
      <c r="T3" s="74">
        <v>1752</v>
      </c>
      <c r="U3" s="74">
        <v>1752</v>
      </c>
      <c r="V3" s="74">
        <v>1752</v>
      </c>
      <c r="W3" s="74">
        <v>1752</v>
      </c>
      <c r="X3" s="74">
        <v>1752</v>
      </c>
      <c r="Y3" s="74">
        <v>1752</v>
      </c>
      <c r="Z3" s="74">
        <v>1752</v>
      </c>
      <c r="AA3" s="74">
        <v>1752</v>
      </c>
      <c r="AB3" s="74">
        <v>1752</v>
      </c>
    </row>
    <row r="4" spans="1:28" x14ac:dyDescent="0.25">
      <c r="A4" t="s">
        <v>179</v>
      </c>
      <c r="B4" t="s">
        <v>178</v>
      </c>
      <c r="C4" s="74">
        <v>38865.85349833749</v>
      </c>
      <c r="D4" s="74">
        <v>1581.5235191904442</v>
      </c>
      <c r="E4" s="74">
        <v>1579.2827375856987</v>
      </c>
      <c r="F4" s="74">
        <v>1577.0419559809534</v>
      </c>
      <c r="G4" s="74">
        <v>1574.8011743762079</v>
      </c>
      <c r="H4" s="74">
        <v>1572.5603927714626</v>
      </c>
      <c r="I4" s="74">
        <v>1570.319611166717</v>
      </c>
      <c r="J4" s="74">
        <v>1568.0788295619716</v>
      </c>
      <c r="K4" s="74">
        <v>1565.838047957226</v>
      </c>
      <c r="L4" s="74">
        <v>1563.597266352481</v>
      </c>
      <c r="M4" s="74">
        <v>1561.3564847477355</v>
      </c>
      <c r="N4" s="74">
        <v>1559.1157031429898</v>
      </c>
      <c r="O4" s="74">
        <v>1556.8749215382447</v>
      </c>
      <c r="P4" s="74">
        <v>1554.6341399334992</v>
      </c>
      <c r="Q4" s="74">
        <v>1552.393358328754</v>
      </c>
      <c r="R4" s="74">
        <v>1550.1525767240084</v>
      </c>
      <c r="S4" s="74">
        <v>1547.911795119263</v>
      </c>
      <c r="T4" s="74">
        <v>1545.6710135145177</v>
      </c>
      <c r="U4" s="74">
        <v>1543.4302319097721</v>
      </c>
      <c r="V4" s="74">
        <v>1541.1894503050269</v>
      </c>
      <c r="W4" s="74">
        <v>1538.9486687002816</v>
      </c>
      <c r="X4" s="74">
        <v>1536.707887095536</v>
      </c>
      <c r="Y4" s="74">
        <v>1534.4671054907903</v>
      </c>
      <c r="Z4" s="74">
        <v>1532.2263238860453</v>
      </c>
      <c r="AA4" s="74">
        <v>1529.9855422812996</v>
      </c>
      <c r="AB4" s="74">
        <v>1527.7447606765545</v>
      </c>
    </row>
    <row r="5" spans="1:28" x14ac:dyDescent="0.25">
      <c r="A5" t="s">
        <v>180</v>
      </c>
      <c r="B5" t="s">
        <v>8</v>
      </c>
      <c r="D5" s="72">
        <v>0.9026960725972855</v>
      </c>
      <c r="E5" s="72">
        <v>0.90141708766307</v>
      </c>
      <c r="F5" s="72">
        <v>0.9001381027288546</v>
      </c>
      <c r="G5" s="72">
        <v>0.8988591177946392</v>
      </c>
      <c r="H5" s="72">
        <v>0.8975801328604239</v>
      </c>
      <c r="I5" s="72">
        <v>0.8963011479262083</v>
      </c>
      <c r="J5" s="72">
        <v>0.8950221629919929</v>
      </c>
      <c r="K5" s="72">
        <v>0.8937431780577775</v>
      </c>
      <c r="L5" s="72">
        <v>0.8924641931235622</v>
      </c>
      <c r="M5" s="72">
        <v>0.8911852081893468</v>
      </c>
      <c r="N5" s="72">
        <v>0.8899062232551312</v>
      </c>
      <c r="O5" s="72">
        <v>0.888627238320916</v>
      </c>
      <c r="P5" s="72">
        <v>0.8873482533867005</v>
      </c>
      <c r="Q5" s="72">
        <v>0.8860692684524851</v>
      </c>
      <c r="R5" s="72">
        <v>0.8847902835182696</v>
      </c>
      <c r="S5" s="72">
        <v>0.8835112985840542</v>
      </c>
      <c r="T5" s="72">
        <v>0.8822323136498388</v>
      </c>
      <c r="U5" s="72">
        <v>0.8809533287156234</v>
      </c>
      <c r="V5" s="72">
        <v>0.8796743437814081</v>
      </c>
      <c r="W5" s="72">
        <v>0.8783953588471927</v>
      </c>
      <c r="X5" s="72">
        <v>0.8771163739129773</v>
      </c>
      <c r="Y5" s="72">
        <v>0.8758373889787616</v>
      </c>
      <c r="Z5" s="72">
        <v>0.8745584040445464</v>
      </c>
      <c r="AA5" s="72">
        <v>0.8732794191103308</v>
      </c>
      <c r="AB5" s="72">
        <v>0.8720004341761155</v>
      </c>
    </row>
    <row r="6" spans="1:28" x14ac:dyDescent="0.25">
      <c r="A6" t="s">
        <v>183</v>
      </c>
      <c r="B6" t="s">
        <v>178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97</v>
      </c>
      <c r="B7" t="s">
        <v>79</v>
      </c>
      <c r="D7" s="75">
        <v>8.001071731908118</v>
      </c>
      <c r="E7" s="75">
        <v>8.001071731908118</v>
      </c>
      <c r="F7" s="75">
        <v>8.001071731908118</v>
      </c>
      <c r="G7" s="75">
        <v>8.001071731908118</v>
      </c>
      <c r="H7" s="75">
        <v>8.001071731908118</v>
      </c>
      <c r="I7" s="75">
        <v>8.001071731908118</v>
      </c>
      <c r="J7" s="75">
        <v>8.001071731908118</v>
      </c>
      <c r="K7" s="75">
        <v>8.001071731908118</v>
      </c>
      <c r="L7" s="75">
        <v>8.001071731908118</v>
      </c>
      <c r="M7" s="75">
        <v>8.001071731908118</v>
      </c>
      <c r="N7" s="75">
        <v>8.001071731908118</v>
      </c>
      <c r="O7" s="75">
        <v>8.001071731908118</v>
      </c>
      <c r="P7" s="75">
        <v>8.001071731908118</v>
      </c>
      <c r="Q7" s="75">
        <v>8.001071731908118</v>
      </c>
      <c r="R7" s="75">
        <v>8.001071731908118</v>
      </c>
      <c r="S7" s="75">
        <v>8.001071731908118</v>
      </c>
      <c r="T7" s="75">
        <v>8.001071731908118</v>
      </c>
      <c r="U7" s="75">
        <v>8.001071731908118</v>
      </c>
      <c r="V7" s="75">
        <v>8.001071731908118</v>
      </c>
      <c r="W7" s="75">
        <v>8.001071731908118</v>
      </c>
      <c r="X7" s="75">
        <v>8.001071731908118</v>
      </c>
      <c r="Y7" s="75">
        <v>8.001071731908118</v>
      </c>
      <c r="Z7" s="75">
        <v>8.001071731908118</v>
      </c>
      <c r="AA7" s="75">
        <v>8.001071731908118</v>
      </c>
      <c r="AB7" s="75">
        <v>8.001071731908118</v>
      </c>
    </row>
    <row r="8" spans="1:1" s="5" customFormat="1" x14ac:dyDescent="0.25">
      <c r="A8" s="5" t="s">
        <v>188</v>
      </c>
    </row>
    <row r="9" spans="1:28" x14ac:dyDescent="0.25">
      <c r="A9" t="s">
        <v>189</v>
      </c>
      <c r="B9" t="s">
        <v>8</v>
      </c>
      <c r="C9" s="76">
        <v>31096.848176203024</v>
      </c>
      <c r="D9" s="76">
        <v>1265.388312274251</v>
      </c>
      <c r="E9" s="76">
        <v>1263.5954468387401</v>
      </c>
      <c r="F9" s="76">
        <v>1261.8025814032292</v>
      </c>
      <c r="G9" s="76">
        <v>1260.0097159677184</v>
      </c>
      <c r="H9" s="76">
        <v>1258.2168505322077</v>
      </c>
      <c r="I9" s="76">
        <v>1256.4239850966967</v>
      </c>
      <c r="J9" s="76">
        <v>1254.631119661186</v>
      </c>
      <c r="K9" s="76">
        <v>1252.838254225675</v>
      </c>
      <c r="L9" s="76">
        <v>1251.0453887901645</v>
      </c>
      <c r="M9" s="76">
        <v>1249.2525233546535</v>
      </c>
      <c r="N9" s="76">
        <v>1247.4596579191425</v>
      </c>
      <c r="O9" s="76">
        <v>1245.666792483632</v>
      </c>
      <c r="P9" s="76">
        <v>1243.873927048121</v>
      </c>
      <c r="Q9" s="76">
        <v>1242.0810616126103</v>
      </c>
      <c r="R9" s="76">
        <v>1240.2881961770993</v>
      </c>
      <c r="S9" s="76">
        <v>1238.4953307415885</v>
      </c>
      <c r="T9" s="76">
        <v>1236.7024653060778</v>
      </c>
      <c r="U9" s="76">
        <v>1234.9095998705668</v>
      </c>
      <c r="V9" s="76">
        <v>1233.1167344350563</v>
      </c>
      <c r="W9" s="76">
        <v>1231.3238689995453</v>
      </c>
      <c r="X9" s="76">
        <v>1229.5310035640346</v>
      </c>
      <c r="Y9" s="76">
        <v>1227.7381381285236</v>
      </c>
      <c r="Z9" s="76">
        <v>1225.9452726930128</v>
      </c>
      <c r="AA9" s="76">
        <v>1224.1524072575019</v>
      </c>
      <c r="AB9" s="76">
        <v>1222.3595418219913</v>
      </c>
    </row>
    <row r="10" spans="1:28" x14ac:dyDescent="0.25">
      <c r="A10" t="s">
        <v>190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135</v>
      </c>
      <c r="B11" t="s">
        <v>8</v>
      </c>
      <c r="C11" s="76">
        <v>1923.9599683396787</v>
      </c>
      <c r="D11" s="76">
        <v>62.32235115464358</v>
      </c>
      <c r="E11" s="76">
        <v>63.5420217862222</v>
      </c>
      <c r="F11" s="76">
        <v>64.76169241780084</v>
      </c>
      <c r="G11" s="76">
        <v>65.98136304937947</v>
      </c>
      <c r="H11" s="76">
        <v>67.2010336809581</v>
      </c>
      <c r="I11" s="76">
        <v>68.42070431253673</v>
      </c>
      <c r="J11" s="76">
        <v>69.64037494411536</v>
      </c>
      <c r="K11" s="76">
        <v>70.86004557569399</v>
      </c>
      <c r="L11" s="76">
        <v>72.07971620727263</v>
      </c>
      <c r="M11" s="76">
        <v>73.29938683885125</v>
      </c>
      <c r="N11" s="76">
        <v>74.51905747042989</v>
      </c>
      <c r="O11" s="76">
        <v>75.73872810200851</v>
      </c>
      <c r="P11" s="76">
        <v>76.95839873358713</v>
      </c>
      <c r="Q11" s="76">
        <v>78.17806936516577</v>
      </c>
      <c r="R11" s="76">
        <v>79.39773999674442</v>
      </c>
      <c r="S11" s="76">
        <v>80.61741062832304</v>
      </c>
      <c r="T11" s="76">
        <v>81.83708125990167</v>
      </c>
      <c r="U11" s="76">
        <v>83.0567518914803</v>
      </c>
      <c r="V11" s="76">
        <v>84.27642252305893</v>
      </c>
      <c r="W11" s="76">
        <v>85.49609315463755</v>
      </c>
      <c r="X11" s="76">
        <v>86.71576378621617</v>
      </c>
      <c r="Y11" s="76">
        <v>87.93543441779481</v>
      </c>
      <c r="Z11" s="76">
        <v>89.15510504937345</v>
      </c>
      <c r="AA11" s="76">
        <v>90.37477568095207</v>
      </c>
      <c r="AB11" s="76">
        <v>91.5944463125307</v>
      </c>
    </row>
    <row r="12" spans="1:28" s="14" customFormat="1" x14ac:dyDescent="0.25">
      <c r="A12" s="14" t="s">
        <v>191</v>
      </c>
      <c r="B12" s="14" t="s">
        <v>8</v>
      </c>
      <c r="C12" s="77">
        <v>29172.888207863343</v>
      </c>
      <c r="D12" s="77">
        <v>1203.0659611196072</v>
      </c>
      <c r="E12" s="77">
        <v>1200.053425052518</v>
      </c>
      <c r="F12" s="77">
        <v>1197.0408889854284</v>
      </c>
      <c r="G12" s="77">
        <v>1194.028352918339</v>
      </c>
      <c r="H12" s="77">
        <v>1191.0158168512496</v>
      </c>
      <c r="I12" s="77">
        <v>1188.0032807841599</v>
      </c>
      <c r="J12" s="77">
        <v>1184.9907447170706</v>
      </c>
      <c r="K12" s="77">
        <v>1181.978208649981</v>
      </c>
      <c r="L12" s="77">
        <v>1178.9656725828918</v>
      </c>
      <c r="M12" s="77">
        <v>1175.9531365158023</v>
      </c>
      <c r="N12" s="77">
        <v>1172.9406004487125</v>
      </c>
      <c r="O12" s="77">
        <v>1169.9280643816235</v>
      </c>
      <c r="P12" s="77">
        <v>1166.915528314534</v>
      </c>
      <c r="Q12" s="77">
        <v>1163.9029922474444</v>
      </c>
      <c r="R12" s="77">
        <v>1160.890456180355</v>
      </c>
      <c r="S12" s="77">
        <v>1157.8779201132654</v>
      </c>
      <c r="T12" s="77">
        <v>1154.8653840461761</v>
      </c>
      <c r="U12" s="77">
        <v>1151.8528479790866</v>
      </c>
      <c r="V12" s="77">
        <v>1148.8403119119973</v>
      </c>
      <c r="W12" s="77">
        <v>1145.8277758449078</v>
      </c>
      <c r="X12" s="77">
        <v>1142.8152397778183</v>
      </c>
      <c r="Y12" s="77">
        <v>1139.8027037107288</v>
      </c>
      <c r="Z12" s="77">
        <v>1136.7901676436395</v>
      </c>
      <c r="AA12" s="77">
        <v>1133.7776315765498</v>
      </c>
      <c r="AB12" s="77">
        <v>1130.7650955094607</v>
      </c>
    </row>
    <row r="13" spans="1:1" s="5" customFormat="1" x14ac:dyDescent="0.25">
      <c r="A13" s="5" t="s">
        <v>192</v>
      </c>
    </row>
    <row r="14" spans="1:28" x14ac:dyDescent="0.25">
      <c r="A14" t="s">
        <v>298</v>
      </c>
      <c r="B14" t="s">
        <v>8</v>
      </c>
      <c r="C14" s="76">
        <v>3441.7474246685333</v>
      </c>
      <c r="D14" s="76">
        <v>72.11306595010092</v>
      </c>
      <c r="E14" s="76">
        <v>75.71871924760596</v>
      </c>
      <c r="F14" s="76">
        <v>79.50465520998627</v>
      </c>
      <c r="G14" s="76">
        <v>83.47988797048558</v>
      </c>
      <c r="H14" s="76">
        <v>87.65388236900986</v>
      </c>
      <c r="I14" s="76">
        <v>92.03657648746037</v>
      </c>
      <c r="J14" s="76">
        <v>96.6384053118334</v>
      </c>
      <c r="K14" s="76">
        <v>101.47032557742506</v>
      </c>
      <c r="L14" s="76">
        <v>106.54384185629632</v>
      </c>
      <c r="M14" s="76">
        <v>111.87103394911114</v>
      </c>
      <c r="N14" s="76">
        <v>117.46458564656669</v>
      </c>
      <c r="O14" s="76">
        <v>123.33781492889504</v>
      </c>
      <c r="P14" s="76">
        <v>129.5047056753398</v>
      </c>
      <c r="Q14" s="76">
        <v>135.97994095910678</v>
      </c>
      <c r="R14" s="76">
        <v>142.77893800706215</v>
      </c>
      <c r="S14" s="76">
        <v>149.91788490741527</v>
      </c>
      <c r="T14" s="76">
        <v>157.41377915278602</v>
      </c>
      <c r="U14" s="76">
        <v>165.28446811042534</v>
      </c>
      <c r="V14" s="76">
        <v>173.5486915159466</v>
      </c>
      <c r="W14" s="76">
        <v>182.22612609174396</v>
      </c>
      <c r="X14" s="76">
        <v>191.33743239633114</v>
      </c>
      <c r="Y14" s="76">
        <v>200.9043040161477</v>
      </c>
      <c r="Z14" s="76">
        <v>210.9495192169551</v>
      </c>
      <c r="AA14" s="76">
        <v>221.4969951778029</v>
      </c>
      <c r="AB14" s="76">
        <v>232.57184493669303</v>
      </c>
    </row>
    <row r="15" spans="1:28" x14ac:dyDescent="0.25">
      <c r="A15" t="s">
        <v>122</v>
      </c>
      <c r="B15" t="s">
        <v>8</v>
      </c>
      <c r="C15" s="76">
        <v>540.847994625757</v>
      </c>
      <c r="D15" s="76">
        <v>21.633919785030276</v>
      </c>
      <c r="E15" s="76">
        <v>21.633919785030276</v>
      </c>
      <c r="F15" s="76">
        <v>21.633919785030276</v>
      </c>
      <c r="G15" s="76">
        <v>21.633919785030276</v>
      </c>
      <c r="H15" s="76">
        <v>21.633919785030276</v>
      </c>
      <c r="I15" s="76">
        <v>21.633919785030276</v>
      </c>
      <c r="J15" s="76">
        <v>21.633919785030276</v>
      </c>
      <c r="K15" s="76">
        <v>21.633919785030276</v>
      </c>
      <c r="L15" s="76">
        <v>21.633919785030276</v>
      </c>
      <c r="M15" s="76">
        <v>21.633919785030276</v>
      </c>
      <c r="N15" s="76">
        <v>21.633919785030276</v>
      </c>
      <c r="O15" s="76">
        <v>21.633919785030276</v>
      </c>
      <c r="P15" s="76">
        <v>21.633919785030276</v>
      </c>
      <c r="Q15" s="76">
        <v>21.633919785030276</v>
      </c>
      <c r="R15" s="76">
        <v>21.633919785030276</v>
      </c>
      <c r="S15" s="76">
        <v>21.633919785030276</v>
      </c>
      <c r="T15" s="76">
        <v>21.633919785030276</v>
      </c>
      <c r="U15" s="76">
        <v>21.633919785030276</v>
      </c>
      <c r="V15" s="76">
        <v>21.633919785030276</v>
      </c>
      <c r="W15" s="76">
        <v>21.633919785030276</v>
      </c>
      <c r="X15" s="76">
        <v>21.633919785030276</v>
      </c>
      <c r="Y15" s="76">
        <v>21.633919785030276</v>
      </c>
      <c r="Z15" s="76">
        <v>21.633919785030276</v>
      </c>
      <c r="AA15" s="76">
        <v>21.633919785030276</v>
      </c>
      <c r="AB15" s="76">
        <v>21.633919785030276</v>
      </c>
    </row>
    <row r="16" spans="1:28" x14ac:dyDescent="0.25">
      <c r="A16" t="s">
        <v>124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193</v>
      </c>
      <c r="B17" s="14" t="s">
        <v>8</v>
      </c>
      <c r="C17" s="77">
        <v>3982.5954192942895</v>
      </c>
      <c r="D17" s="77">
        <v>93.74698573513119</v>
      </c>
      <c r="E17" s="77">
        <v>97.35263903263623</v>
      </c>
      <c r="F17" s="77">
        <v>101.13857499501654</v>
      </c>
      <c r="G17" s="77">
        <v>105.11380775551585</v>
      </c>
      <c r="H17" s="77">
        <v>109.28780215404014</v>
      </c>
      <c r="I17" s="77">
        <v>113.67049627249064</v>
      </c>
      <c r="J17" s="77">
        <v>118.27232509686367</v>
      </c>
      <c r="K17" s="77">
        <v>123.10424536245533</v>
      </c>
      <c r="L17" s="77">
        <v>128.1777616413266</v>
      </c>
      <c r="M17" s="77">
        <v>133.50495373414142</v>
      </c>
      <c r="N17" s="77">
        <v>139.09850543159698</v>
      </c>
      <c r="O17" s="77">
        <v>144.97173471392531</v>
      </c>
      <c r="P17" s="77">
        <v>151.1386254603701</v>
      </c>
      <c r="Q17" s="77">
        <v>157.61386074413707</v>
      </c>
      <c r="R17" s="77">
        <v>164.41285779209244</v>
      </c>
      <c r="S17" s="77">
        <v>171.55180469244556</v>
      </c>
      <c r="T17" s="77">
        <v>179.0476989378163</v>
      </c>
      <c r="U17" s="77">
        <v>186.91838789545562</v>
      </c>
      <c r="V17" s="77">
        <v>195.18261130097687</v>
      </c>
      <c r="W17" s="77">
        <v>203.86004587677425</v>
      </c>
      <c r="X17" s="77">
        <v>212.97135218136142</v>
      </c>
      <c r="Y17" s="77">
        <v>222.538223801178</v>
      </c>
      <c r="Z17" s="77">
        <v>232.5834390019854</v>
      </c>
      <c r="AA17" s="77">
        <v>243.13091496283317</v>
      </c>
      <c r="AB17" s="77">
        <v>254.2057647217233</v>
      </c>
    </row>
    <row r="18" spans="1:1" s="5" customFormat="1" x14ac:dyDescent="0.25">
      <c r="A18" s="5" t="s">
        <v>344</v>
      </c>
    </row>
    <row r="19" spans="1:28" x14ac:dyDescent="0.25">
      <c r="A19" t="s">
        <v>139</v>
      </c>
      <c r="B19" t="s">
        <v>8</v>
      </c>
      <c r="C19" s="76">
        <v>1712.650913595084</v>
      </c>
      <c r="D19" s="76">
        <v>0</v>
      </c>
      <c r="E19" s="76">
        <v>71.36045473312848</v>
      </c>
      <c r="F19" s="76">
        <v>71.36045473312848</v>
      </c>
      <c r="G19" s="76">
        <v>71.36045473312848</v>
      </c>
      <c r="H19" s="76">
        <v>71.36045473312848</v>
      </c>
      <c r="I19" s="76">
        <v>71.36045473312848</v>
      </c>
      <c r="J19" s="76">
        <v>71.36045473312848</v>
      </c>
      <c r="K19" s="76">
        <v>71.36045473312848</v>
      </c>
      <c r="L19" s="76">
        <v>71.36045473312848</v>
      </c>
      <c r="M19" s="76">
        <v>71.36045473312848</v>
      </c>
      <c r="N19" s="76">
        <v>71.36045473312848</v>
      </c>
      <c r="O19" s="76">
        <v>71.36045473312848</v>
      </c>
      <c r="P19" s="76">
        <v>71.36045473312848</v>
      </c>
      <c r="Q19" s="76">
        <v>71.36045473312848</v>
      </c>
      <c r="R19" s="76">
        <v>71.36045473312848</v>
      </c>
      <c r="S19" s="76">
        <v>71.36045473312848</v>
      </c>
      <c r="T19" s="76">
        <v>71.36045473312848</v>
      </c>
      <c r="U19" s="76">
        <v>71.36045473312848</v>
      </c>
      <c r="V19" s="76">
        <v>71.36045473312848</v>
      </c>
      <c r="W19" s="76">
        <v>71.36045473312848</v>
      </c>
      <c r="X19" s="76">
        <v>71.36045473312848</v>
      </c>
      <c r="Y19" s="76">
        <v>71.36045473312848</v>
      </c>
      <c r="Z19" s="76">
        <v>71.36045473312848</v>
      </c>
      <c r="AA19" s="76">
        <v>71.36045473312848</v>
      </c>
      <c r="AB19" s="76">
        <v>71.36045473312848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70</v>
      </c>
      <c r="B1" s="67" t="s">
        <v>71</v>
      </c>
      <c r="C1" s="67" t="s">
        <v>317</v>
      </c>
      <c r="D1" s="67" t="s">
        <v>318</v>
      </c>
      <c r="E1" s="67" t="s">
        <v>319</v>
      </c>
      <c r="F1" s="67" t="s">
        <v>320</v>
      </c>
      <c r="G1" s="67" t="s">
        <v>321</v>
      </c>
      <c r="H1" s="67" t="s">
        <v>322</v>
      </c>
      <c r="I1" s="67" t="s">
        <v>323</v>
      </c>
      <c r="J1" s="67" t="s">
        <v>324</v>
      </c>
      <c r="K1" s="67" t="s">
        <v>325</v>
      </c>
      <c r="L1" s="67" t="s">
        <v>326</v>
      </c>
      <c r="M1" s="67" t="s">
        <v>327</v>
      </c>
      <c r="N1" s="67" t="s">
        <v>328</v>
      </c>
      <c r="O1" s="67" t="s">
        <v>329</v>
      </c>
      <c r="P1" s="67" t="s">
        <v>330</v>
      </c>
      <c r="Q1" s="67" t="s">
        <v>331</v>
      </c>
      <c r="R1" s="67" t="s">
        <v>332</v>
      </c>
      <c r="S1" s="67" t="s">
        <v>333</v>
      </c>
      <c r="T1" s="67" t="s">
        <v>334</v>
      </c>
      <c r="U1" s="67" t="s">
        <v>335</v>
      </c>
      <c r="V1" s="67" t="s">
        <v>336</v>
      </c>
      <c r="W1" s="67" t="s">
        <v>337</v>
      </c>
      <c r="X1" s="67" t="s">
        <v>338</v>
      </c>
      <c r="Y1" s="67" t="s">
        <v>339</v>
      </c>
      <c r="Z1" s="67" t="s">
        <v>340</v>
      </c>
      <c r="AA1" s="67" t="s">
        <v>341</v>
      </c>
      <c r="AB1" s="67" t="s">
        <v>342</v>
      </c>
    </row>
    <row r="2" spans="1:1" s="5" customFormat="1" x14ac:dyDescent="0.25">
      <c r="A2" s="5" t="s">
        <v>343</v>
      </c>
    </row>
    <row r="3" spans="1:28" x14ac:dyDescent="0.25">
      <c r="A3" t="s">
        <v>177</v>
      </c>
      <c r="B3" t="s">
        <v>178</v>
      </c>
      <c r="C3" s="74">
        <v>43800</v>
      </c>
      <c r="D3" s="74">
        <v>1752</v>
      </c>
      <c r="E3" s="74">
        <v>1752</v>
      </c>
      <c r="F3" s="74">
        <v>1752</v>
      </c>
      <c r="G3" s="74">
        <v>1752</v>
      </c>
      <c r="H3" s="74">
        <v>1752</v>
      </c>
      <c r="I3" s="74">
        <v>1752</v>
      </c>
      <c r="J3" s="74">
        <v>1752</v>
      </c>
      <c r="K3" s="74">
        <v>1752</v>
      </c>
      <c r="L3" s="74">
        <v>1752</v>
      </c>
      <c r="M3" s="74">
        <v>1752</v>
      </c>
      <c r="N3" s="74">
        <v>1752</v>
      </c>
      <c r="O3" s="74">
        <v>1752</v>
      </c>
      <c r="P3" s="74">
        <v>1752</v>
      </c>
      <c r="Q3" s="74">
        <v>1752</v>
      </c>
      <c r="R3" s="74">
        <v>1752</v>
      </c>
      <c r="S3" s="74">
        <v>1752</v>
      </c>
      <c r="T3" s="74">
        <v>1752</v>
      </c>
      <c r="U3" s="74">
        <v>1752</v>
      </c>
      <c r="V3" s="74">
        <v>1752</v>
      </c>
      <c r="W3" s="74">
        <v>1752</v>
      </c>
      <c r="X3" s="74">
        <v>1752</v>
      </c>
      <c r="Y3" s="74">
        <v>1752</v>
      </c>
      <c r="Z3" s="74">
        <v>1752</v>
      </c>
      <c r="AA3" s="74">
        <v>1752</v>
      </c>
      <c r="AB3" s="74">
        <v>1752</v>
      </c>
    </row>
    <row r="4" spans="1:28" x14ac:dyDescent="0.25">
      <c r="A4" t="s">
        <v>179</v>
      </c>
      <c r="B4" t="s">
        <v>178</v>
      </c>
      <c r="C4" s="74">
        <v>38865.85349833749</v>
      </c>
      <c r="D4" s="74">
        <v>1581.5235191904442</v>
      </c>
      <c r="E4" s="74">
        <v>1579.2827375856987</v>
      </c>
      <c r="F4" s="74">
        <v>1577.0419559809534</v>
      </c>
      <c r="G4" s="74">
        <v>1574.8011743762079</v>
      </c>
      <c r="H4" s="74">
        <v>1572.5603927714626</v>
      </c>
      <c r="I4" s="74">
        <v>1570.319611166717</v>
      </c>
      <c r="J4" s="74">
        <v>1568.0788295619716</v>
      </c>
      <c r="K4" s="74">
        <v>1565.838047957226</v>
      </c>
      <c r="L4" s="74">
        <v>1563.597266352481</v>
      </c>
      <c r="M4" s="74">
        <v>1561.3564847477355</v>
      </c>
      <c r="N4" s="74">
        <v>1559.1157031429898</v>
      </c>
      <c r="O4" s="74">
        <v>1556.8749215382447</v>
      </c>
      <c r="P4" s="74">
        <v>1554.6341399334992</v>
      </c>
      <c r="Q4" s="74">
        <v>1552.393358328754</v>
      </c>
      <c r="R4" s="74">
        <v>1550.1525767240084</v>
      </c>
      <c r="S4" s="74">
        <v>1547.911795119263</v>
      </c>
      <c r="T4" s="74">
        <v>1545.6710135145177</v>
      </c>
      <c r="U4" s="74">
        <v>1543.4302319097721</v>
      </c>
      <c r="V4" s="74">
        <v>1541.1894503050269</v>
      </c>
      <c r="W4" s="74">
        <v>1538.9486687002816</v>
      </c>
      <c r="X4" s="74">
        <v>1536.707887095536</v>
      </c>
      <c r="Y4" s="74">
        <v>1534.4671054907903</v>
      </c>
      <c r="Z4" s="74">
        <v>1532.2263238860453</v>
      </c>
      <c r="AA4" s="74">
        <v>1529.9855422812996</v>
      </c>
      <c r="AB4" s="74">
        <v>1527.7447606765545</v>
      </c>
    </row>
    <row r="5" spans="1:28" x14ac:dyDescent="0.25">
      <c r="A5" t="s">
        <v>180</v>
      </c>
      <c r="B5" t="s">
        <v>8</v>
      </c>
      <c r="D5" s="72">
        <v>0.9026960725972855</v>
      </c>
      <c r="E5" s="72">
        <v>0.90141708766307</v>
      </c>
      <c r="F5" s="72">
        <v>0.9001381027288546</v>
      </c>
      <c r="G5" s="72">
        <v>0.8988591177946392</v>
      </c>
      <c r="H5" s="72">
        <v>0.8975801328604239</v>
      </c>
      <c r="I5" s="72">
        <v>0.8963011479262083</v>
      </c>
      <c r="J5" s="72">
        <v>0.8950221629919929</v>
      </c>
      <c r="K5" s="72">
        <v>0.8937431780577775</v>
      </c>
      <c r="L5" s="72">
        <v>0.8924641931235622</v>
      </c>
      <c r="M5" s="72">
        <v>0.8911852081893468</v>
      </c>
      <c r="N5" s="72">
        <v>0.8899062232551312</v>
      </c>
      <c r="O5" s="72">
        <v>0.888627238320916</v>
      </c>
      <c r="P5" s="72">
        <v>0.8873482533867005</v>
      </c>
      <c r="Q5" s="72">
        <v>0.8860692684524851</v>
      </c>
      <c r="R5" s="72">
        <v>0.8847902835182696</v>
      </c>
      <c r="S5" s="72">
        <v>0.8835112985840542</v>
      </c>
      <c r="T5" s="72">
        <v>0.8822323136498388</v>
      </c>
      <c r="U5" s="72">
        <v>0.8809533287156234</v>
      </c>
      <c r="V5" s="72">
        <v>0.8796743437814081</v>
      </c>
      <c r="W5" s="72">
        <v>0.8783953588471927</v>
      </c>
      <c r="X5" s="72">
        <v>0.8771163739129773</v>
      </c>
      <c r="Y5" s="72">
        <v>0.8758373889787616</v>
      </c>
      <c r="Z5" s="72">
        <v>0.8745584040445464</v>
      </c>
      <c r="AA5" s="72">
        <v>0.8732794191103308</v>
      </c>
      <c r="AB5" s="72">
        <v>0.8720004341761155</v>
      </c>
    </row>
    <row r="6" spans="1:28" x14ac:dyDescent="0.25">
      <c r="A6" t="s">
        <v>183</v>
      </c>
      <c r="B6" t="s">
        <v>178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97</v>
      </c>
      <c r="B7" t="s">
        <v>79</v>
      </c>
      <c r="D7" s="75">
        <v>8.001071731908118</v>
      </c>
      <c r="E7" s="75">
        <v>8.001071731908118</v>
      </c>
      <c r="F7" s="75">
        <v>8.001071731908118</v>
      </c>
      <c r="G7" s="75">
        <v>8.001071731908118</v>
      </c>
      <c r="H7" s="75">
        <v>8.001071731908118</v>
      </c>
      <c r="I7" s="75">
        <v>8.001071731908118</v>
      </c>
      <c r="J7" s="75">
        <v>8.001071731908118</v>
      </c>
      <c r="K7" s="75">
        <v>8.001071731908118</v>
      </c>
      <c r="L7" s="75">
        <v>8.001071731908118</v>
      </c>
      <c r="M7" s="75">
        <v>8.001071731908118</v>
      </c>
      <c r="N7" s="75">
        <v>8.001071731908118</v>
      </c>
      <c r="O7" s="75">
        <v>8.001071731908118</v>
      </c>
      <c r="P7" s="75">
        <v>8.001071731908118</v>
      </c>
      <c r="Q7" s="75">
        <v>8.001071731908118</v>
      </c>
      <c r="R7" s="75">
        <v>8.001071731908118</v>
      </c>
      <c r="S7" s="75">
        <v>8.001071731908118</v>
      </c>
      <c r="T7" s="75">
        <v>8.001071731908118</v>
      </c>
      <c r="U7" s="75">
        <v>8.001071731908118</v>
      </c>
      <c r="V7" s="75">
        <v>8.001071731908118</v>
      </c>
      <c r="W7" s="75">
        <v>8.001071731908118</v>
      </c>
      <c r="X7" s="75">
        <v>8.001071731908118</v>
      </c>
      <c r="Y7" s="75">
        <v>8.001071731908118</v>
      </c>
      <c r="Z7" s="75">
        <v>8.001071731908118</v>
      </c>
      <c r="AA7" s="75">
        <v>8.001071731908118</v>
      </c>
      <c r="AB7" s="75">
        <v>8.001071731908118</v>
      </c>
    </row>
    <row r="8" spans="1:1" s="5" customFormat="1" x14ac:dyDescent="0.25">
      <c r="A8" s="5" t="s">
        <v>188</v>
      </c>
    </row>
    <row r="9" spans="1:28" x14ac:dyDescent="0.25">
      <c r="A9" t="s">
        <v>189</v>
      </c>
      <c r="B9" t="s">
        <v>8</v>
      </c>
      <c r="C9" s="76">
        <v>31096.848176203024</v>
      </c>
      <c r="D9" s="76">
        <v>1265.388312274251</v>
      </c>
      <c r="E9" s="76">
        <v>1263.5954468387401</v>
      </c>
      <c r="F9" s="76">
        <v>1261.8025814032292</v>
      </c>
      <c r="G9" s="76">
        <v>1260.0097159677184</v>
      </c>
      <c r="H9" s="76">
        <v>1258.2168505322077</v>
      </c>
      <c r="I9" s="76">
        <v>1256.4239850966967</v>
      </c>
      <c r="J9" s="76">
        <v>1254.631119661186</v>
      </c>
      <c r="K9" s="76">
        <v>1252.838254225675</v>
      </c>
      <c r="L9" s="76">
        <v>1251.0453887901645</v>
      </c>
      <c r="M9" s="76">
        <v>1249.2525233546535</v>
      </c>
      <c r="N9" s="76">
        <v>1247.4596579191425</v>
      </c>
      <c r="O9" s="76">
        <v>1245.666792483632</v>
      </c>
      <c r="P9" s="76">
        <v>1243.873927048121</v>
      </c>
      <c r="Q9" s="76">
        <v>1242.0810616126103</v>
      </c>
      <c r="R9" s="76">
        <v>1240.2881961770993</v>
      </c>
      <c r="S9" s="76">
        <v>1238.4953307415885</v>
      </c>
      <c r="T9" s="76">
        <v>1236.7024653060778</v>
      </c>
      <c r="U9" s="76">
        <v>1234.9095998705668</v>
      </c>
      <c r="V9" s="76">
        <v>1233.1167344350563</v>
      </c>
      <c r="W9" s="76">
        <v>1231.3238689995453</v>
      </c>
      <c r="X9" s="76">
        <v>1229.5310035640346</v>
      </c>
      <c r="Y9" s="76">
        <v>1227.7381381285236</v>
      </c>
      <c r="Z9" s="76">
        <v>1225.9452726930128</v>
      </c>
      <c r="AA9" s="76">
        <v>1224.1524072575019</v>
      </c>
      <c r="AB9" s="76">
        <v>1222.3595418219913</v>
      </c>
    </row>
    <row r="10" spans="1:28" x14ac:dyDescent="0.25">
      <c r="A10" t="s">
        <v>190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135</v>
      </c>
      <c r="B11" t="s">
        <v>8</v>
      </c>
      <c r="C11" s="76">
        <v>1923.9599683396787</v>
      </c>
      <c r="D11" s="76">
        <v>62.32235115464358</v>
      </c>
      <c r="E11" s="76">
        <v>63.5420217862222</v>
      </c>
      <c r="F11" s="76">
        <v>64.76169241780084</v>
      </c>
      <c r="G11" s="76">
        <v>65.98136304937947</v>
      </c>
      <c r="H11" s="76">
        <v>67.2010336809581</v>
      </c>
      <c r="I11" s="76">
        <v>68.42070431253673</v>
      </c>
      <c r="J11" s="76">
        <v>69.64037494411536</v>
      </c>
      <c r="K11" s="76">
        <v>70.86004557569399</v>
      </c>
      <c r="L11" s="76">
        <v>72.07971620727263</v>
      </c>
      <c r="M11" s="76">
        <v>73.29938683885125</v>
      </c>
      <c r="N11" s="76">
        <v>74.51905747042989</v>
      </c>
      <c r="O11" s="76">
        <v>75.73872810200851</v>
      </c>
      <c r="P11" s="76">
        <v>76.95839873358713</v>
      </c>
      <c r="Q11" s="76">
        <v>78.17806936516577</v>
      </c>
      <c r="R11" s="76">
        <v>79.39773999674442</v>
      </c>
      <c r="S11" s="76">
        <v>80.61741062832304</v>
      </c>
      <c r="T11" s="76">
        <v>81.83708125990167</v>
      </c>
      <c r="U11" s="76">
        <v>83.0567518914803</v>
      </c>
      <c r="V11" s="76">
        <v>84.27642252305893</v>
      </c>
      <c r="W11" s="76">
        <v>85.49609315463755</v>
      </c>
      <c r="X11" s="76">
        <v>86.71576378621617</v>
      </c>
      <c r="Y11" s="76">
        <v>87.93543441779481</v>
      </c>
      <c r="Z11" s="76">
        <v>89.15510504937345</v>
      </c>
      <c r="AA11" s="76">
        <v>90.37477568095207</v>
      </c>
      <c r="AB11" s="76">
        <v>91.5944463125307</v>
      </c>
    </row>
    <row r="12" spans="1:28" s="14" customFormat="1" x14ac:dyDescent="0.25">
      <c r="A12" s="14" t="s">
        <v>191</v>
      </c>
      <c r="B12" s="14" t="s">
        <v>8</v>
      </c>
      <c r="C12" s="77">
        <v>29172.888207863343</v>
      </c>
      <c r="D12" s="77">
        <v>1203.0659611196072</v>
      </c>
      <c r="E12" s="77">
        <v>1200.053425052518</v>
      </c>
      <c r="F12" s="77">
        <v>1197.0408889854284</v>
      </c>
      <c r="G12" s="77">
        <v>1194.028352918339</v>
      </c>
      <c r="H12" s="77">
        <v>1191.0158168512496</v>
      </c>
      <c r="I12" s="77">
        <v>1188.0032807841599</v>
      </c>
      <c r="J12" s="77">
        <v>1184.9907447170706</v>
      </c>
      <c r="K12" s="77">
        <v>1181.978208649981</v>
      </c>
      <c r="L12" s="77">
        <v>1178.9656725828918</v>
      </c>
      <c r="M12" s="77">
        <v>1175.9531365158023</v>
      </c>
      <c r="N12" s="77">
        <v>1172.9406004487125</v>
      </c>
      <c r="O12" s="77">
        <v>1169.9280643816235</v>
      </c>
      <c r="P12" s="77">
        <v>1166.915528314534</v>
      </c>
      <c r="Q12" s="77">
        <v>1163.9029922474444</v>
      </c>
      <c r="R12" s="77">
        <v>1160.890456180355</v>
      </c>
      <c r="S12" s="77">
        <v>1157.8779201132654</v>
      </c>
      <c r="T12" s="77">
        <v>1154.8653840461761</v>
      </c>
      <c r="U12" s="77">
        <v>1151.8528479790866</v>
      </c>
      <c r="V12" s="77">
        <v>1148.8403119119973</v>
      </c>
      <c r="W12" s="77">
        <v>1145.8277758449078</v>
      </c>
      <c r="X12" s="77">
        <v>1142.8152397778183</v>
      </c>
      <c r="Y12" s="77">
        <v>1139.8027037107288</v>
      </c>
      <c r="Z12" s="77">
        <v>1136.7901676436395</v>
      </c>
      <c r="AA12" s="77">
        <v>1133.7776315765498</v>
      </c>
      <c r="AB12" s="77">
        <v>1130.7650955094607</v>
      </c>
    </row>
    <row r="13" spans="1:1" s="5" customFormat="1" x14ac:dyDescent="0.25">
      <c r="A13" s="5" t="s">
        <v>192</v>
      </c>
    </row>
    <row r="14" spans="1:28" x14ac:dyDescent="0.25">
      <c r="A14" t="s">
        <v>298</v>
      </c>
      <c r="B14" t="s">
        <v>8</v>
      </c>
      <c r="C14" s="76">
        <v>3441.7474246685333</v>
      </c>
      <c r="D14" s="76">
        <v>72.11306595010092</v>
      </c>
      <c r="E14" s="76">
        <v>75.71871924760596</v>
      </c>
      <c r="F14" s="76">
        <v>79.50465520998627</v>
      </c>
      <c r="G14" s="76">
        <v>83.47988797048558</v>
      </c>
      <c r="H14" s="76">
        <v>87.65388236900986</v>
      </c>
      <c r="I14" s="76">
        <v>92.03657648746037</v>
      </c>
      <c r="J14" s="76">
        <v>96.6384053118334</v>
      </c>
      <c r="K14" s="76">
        <v>101.47032557742506</v>
      </c>
      <c r="L14" s="76">
        <v>106.54384185629632</v>
      </c>
      <c r="M14" s="76">
        <v>111.87103394911114</v>
      </c>
      <c r="N14" s="76">
        <v>117.46458564656669</v>
      </c>
      <c r="O14" s="76">
        <v>123.33781492889504</v>
      </c>
      <c r="P14" s="76">
        <v>129.5047056753398</v>
      </c>
      <c r="Q14" s="76">
        <v>135.97994095910678</v>
      </c>
      <c r="R14" s="76">
        <v>142.77893800706215</v>
      </c>
      <c r="S14" s="76">
        <v>149.91788490741527</v>
      </c>
      <c r="T14" s="76">
        <v>157.41377915278602</v>
      </c>
      <c r="U14" s="76">
        <v>165.28446811042534</v>
      </c>
      <c r="V14" s="76">
        <v>173.5486915159466</v>
      </c>
      <c r="W14" s="76">
        <v>182.22612609174396</v>
      </c>
      <c r="X14" s="76">
        <v>191.33743239633114</v>
      </c>
      <c r="Y14" s="76">
        <v>200.9043040161477</v>
      </c>
      <c r="Z14" s="76">
        <v>210.9495192169551</v>
      </c>
      <c r="AA14" s="76">
        <v>221.4969951778029</v>
      </c>
      <c r="AB14" s="76">
        <v>232.57184493669303</v>
      </c>
    </row>
    <row r="15" spans="1:28" x14ac:dyDescent="0.25">
      <c r="A15" t="s">
        <v>122</v>
      </c>
      <c r="B15" t="s">
        <v>8</v>
      </c>
      <c r="C15" s="76">
        <v>540.847994625757</v>
      </c>
      <c r="D15" s="76">
        <v>21.633919785030276</v>
      </c>
      <c r="E15" s="76">
        <v>21.633919785030276</v>
      </c>
      <c r="F15" s="76">
        <v>21.633919785030276</v>
      </c>
      <c r="G15" s="76">
        <v>21.633919785030276</v>
      </c>
      <c r="H15" s="76">
        <v>21.633919785030276</v>
      </c>
      <c r="I15" s="76">
        <v>21.633919785030276</v>
      </c>
      <c r="J15" s="76">
        <v>21.633919785030276</v>
      </c>
      <c r="K15" s="76">
        <v>21.633919785030276</v>
      </c>
      <c r="L15" s="76">
        <v>21.633919785030276</v>
      </c>
      <c r="M15" s="76">
        <v>21.633919785030276</v>
      </c>
      <c r="N15" s="76">
        <v>21.633919785030276</v>
      </c>
      <c r="O15" s="76">
        <v>21.633919785030276</v>
      </c>
      <c r="P15" s="76">
        <v>21.633919785030276</v>
      </c>
      <c r="Q15" s="76">
        <v>21.633919785030276</v>
      </c>
      <c r="R15" s="76">
        <v>21.633919785030276</v>
      </c>
      <c r="S15" s="76">
        <v>21.633919785030276</v>
      </c>
      <c r="T15" s="76">
        <v>21.633919785030276</v>
      </c>
      <c r="U15" s="76">
        <v>21.633919785030276</v>
      </c>
      <c r="V15" s="76">
        <v>21.633919785030276</v>
      </c>
      <c r="W15" s="76">
        <v>21.633919785030276</v>
      </c>
      <c r="X15" s="76">
        <v>21.633919785030276</v>
      </c>
      <c r="Y15" s="76">
        <v>21.633919785030276</v>
      </c>
      <c r="Z15" s="76">
        <v>21.633919785030276</v>
      </c>
      <c r="AA15" s="76">
        <v>21.633919785030276</v>
      </c>
      <c r="AB15" s="76">
        <v>21.633919785030276</v>
      </c>
    </row>
    <row r="16" spans="1:28" x14ac:dyDescent="0.25">
      <c r="A16" t="s">
        <v>124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193</v>
      </c>
      <c r="B17" s="14" t="s">
        <v>8</v>
      </c>
      <c r="C17" s="77">
        <v>3982.5954192942895</v>
      </c>
      <c r="D17" s="77">
        <v>93.74698573513119</v>
      </c>
      <c r="E17" s="77">
        <v>97.35263903263623</v>
      </c>
      <c r="F17" s="77">
        <v>101.13857499501654</v>
      </c>
      <c r="G17" s="77">
        <v>105.11380775551585</v>
      </c>
      <c r="H17" s="77">
        <v>109.28780215404014</v>
      </c>
      <c r="I17" s="77">
        <v>113.67049627249064</v>
      </c>
      <c r="J17" s="77">
        <v>118.27232509686367</v>
      </c>
      <c r="K17" s="77">
        <v>123.10424536245533</v>
      </c>
      <c r="L17" s="77">
        <v>128.1777616413266</v>
      </c>
      <c r="M17" s="77">
        <v>133.50495373414142</v>
      </c>
      <c r="N17" s="77">
        <v>139.09850543159698</v>
      </c>
      <c r="O17" s="77">
        <v>144.97173471392531</v>
      </c>
      <c r="P17" s="77">
        <v>151.1386254603701</v>
      </c>
      <c r="Q17" s="77">
        <v>157.61386074413707</v>
      </c>
      <c r="R17" s="77">
        <v>164.41285779209244</v>
      </c>
      <c r="S17" s="77">
        <v>171.55180469244556</v>
      </c>
      <c r="T17" s="77">
        <v>179.0476989378163</v>
      </c>
      <c r="U17" s="77">
        <v>186.91838789545562</v>
      </c>
      <c r="V17" s="77">
        <v>195.18261130097687</v>
      </c>
      <c r="W17" s="77">
        <v>203.86004587677425</v>
      </c>
      <c r="X17" s="77">
        <v>212.97135218136142</v>
      </c>
      <c r="Y17" s="77">
        <v>222.538223801178</v>
      </c>
      <c r="Z17" s="77">
        <v>232.5834390019854</v>
      </c>
      <c r="AA17" s="77">
        <v>243.13091496283317</v>
      </c>
      <c r="AB17" s="77">
        <v>254.2057647217233</v>
      </c>
    </row>
    <row r="18" spans="1:1" s="5" customFormat="1" x14ac:dyDescent="0.25">
      <c r="A18" s="5" t="s">
        <v>209</v>
      </c>
    </row>
    <row r="19" spans="1:28" s="14" customFormat="1" x14ac:dyDescent="0.25">
      <c r="A19" s="14" t="s">
        <v>194</v>
      </c>
      <c r="B19" s="14" t="s">
        <v>8</v>
      </c>
      <c r="C19" s="77">
        <v>25190.29278856906</v>
      </c>
      <c r="D19" s="77">
        <v>1109.318975384476</v>
      </c>
      <c r="E19" s="77">
        <v>1102.7007860198817</v>
      </c>
      <c r="F19" s="77">
        <v>1095.9023139904118</v>
      </c>
      <c r="G19" s="77">
        <v>1088.914545162823</v>
      </c>
      <c r="H19" s="77">
        <v>1081.7280146972096</v>
      </c>
      <c r="I19" s="77">
        <v>1074.3327845116692</v>
      </c>
      <c r="J19" s="77">
        <v>1066.718419620207</v>
      </c>
      <c r="K19" s="77">
        <v>1058.8739632875258</v>
      </c>
      <c r="L19" s="77">
        <v>1050.787910941565</v>
      </c>
      <c r="M19" s="77">
        <v>1042.4481827816608</v>
      </c>
      <c r="N19" s="77">
        <v>1033.8420950171155</v>
      </c>
      <c r="O19" s="77">
        <v>1024.9563296676981</v>
      </c>
      <c r="P19" s="77">
        <v>1015.7769028541638</v>
      </c>
      <c r="Q19" s="77">
        <v>1006.2891315033073</v>
      </c>
      <c r="R19" s="77">
        <v>996.4775983882625</v>
      </c>
      <c r="S19" s="77">
        <v>986.3261154208199</v>
      </c>
      <c r="T19" s="77">
        <v>975.8176851083598</v>
      </c>
      <c r="U19" s="77">
        <v>964.9344600836309</v>
      </c>
      <c r="V19" s="77">
        <v>953.6577006110205</v>
      </c>
      <c r="W19" s="77">
        <v>941.9677299681335</v>
      </c>
      <c r="X19" s="77">
        <v>929.8438875964569</v>
      </c>
      <c r="Y19" s="77">
        <v>917.2644799095508</v>
      </c>
      <c r="Z19" s="77">
        <v>904.2067286416541</v>
      </c>
      <c r="AA19" s="77">
        <v>890.6467166137165</v>
      </c>
      <c r="AB19" s="77">
        <v>876.5593307877374</v>
      </c>
    </row>
    <row r="20" spans="1:28" x14ac:dyDescent="0.25">
      <c r="A20" t="s">
        <v>197</v>
      </c>
      <c r="B20" t="s">
        <v>8</v>
      </c>
      <c r="C20" s="76">
        <v>8527.33564587962</v>
      </c>
      <c r="D20" s="76">
        <v>272.5873892913815</v>
      </c>
      <c r="E20" s="76">
        <v>275.56074157192853</v>
      </c>
      <c r="F20" s="76">
        <v>278.66337003858627</v>
      </c>
      <c r="G20" s="76">
        <v>281.9070270719103</v>
      </c>
      <c r="H20" s="76">
        <v>285.30514396396404</v>
      </c>
      <c r="I20" s="76">
        <v>288.87316670062046</v>
      </c>
      <c r="J20" s="76">
        <v>292.6289801076272</v>
      </c>
      <c r="K20" s="76">
        <v>296.59344981502323</v>
      </c>
      <c r="L20" s="76">
        <v>300.79112362285434</v>
      </c>
      <c r="M20" s="76">
        <v>305.2511520436749</v>
      </c>
      <c r="N20" s="76">
        <v>310.0085156925501</v>
      </c>
      <c r="O20" s="76">
        <v>315.1056910306307</v>
      </c>
      <c r="P20" s="76">
        <v>320.5949567793329</v>
      </c>
      <c r="Q20" s="76">
        <v>326.5416613404269</v>
      </c>
      <c r="R20" s="76">
        <v>333.028975407075</v>
      </c>
      <c r="S20" s="76">
        <v>340.16502088038783</v>
      </c>
      <c r="T20" s="76">
        <v>348.09396029517984</v>
      </c>
      <c r="U20" s="76">
        <v>357.01401713682094</v>
      </c>
      <c r="V20" s="76">
        <v>367.20836781298215</v>
      </c>
      <c r="W20" s="76">
        <v>379.1017769351702</v>
      </c>
      <c r="X20" s="76">
        <v>393.3738678817959</v>
      </c>
      <c r="Y20" s="76">
        <v>411.21398156507803</v>
      </c>
      <c r="Z20" s="76">
        <v>435.0007998094542</v>
      </c>
      <c r="AA20" s="76">
        <v>470.6810271760184</v>
      </c>
      <c r="AB20" s="76">
        <v>542.0414819091468</v>
      </c>
    </row>
    <row r="21" spans="1:28" x14ac:dyDescent="0.25">
      <c r="A21" t="s">
        <v>202</v>
      </c>
      <c r="B21" t="s">
        <v>8</v>
      </c>
      <c r="C21" s="76">
        <v>3816.2234500793415</v>
      </c>
      <c r="D21" s="76">
        <v>477.0279312599175</v>
      </c>
      <c r="E21" s="76">
        <v>445.22606917592304</v>
      </c>
      <c r="F21" s="76">
        <v>413.42420709192857</v>
      </c>
      <c r="G21" s="76">
        <v>381.6223450079341</v>
      </c>
      <c r="H21" s="76">
        <v>349.82048292393955</v>
      </c>
      <c r="I21" s="76">
        <v>318.0186208399451</v>
      </c>
      <c r="J21" s="76">
        <v>286.2167587559506</v>
      </c>
      <c r="K21" s="76">
        <v>254.4148966719561</v>
      </c>
      <c r="L21" s="76">
        <v>222.6130345879616</v>
      </c>
      <c r="M21" s="76">
        <v>190.8111725039671</v>
      </c>
      <c r="N21" s="76">
        <v>159.00931041997262</v>
      </c>
      <c r="O21" s="76">
        <v>127.20744833597813</v>
      </c>
      <c r="P21" s="76">
        <v>95.40558625198364</v>
      </c>
      <c r="Q21" s="76">
        <v>63.603724167989135</v>
      </c>
      <c r="R21" s="76">
        <v>31.801862083994635</v>
      </c>
      <c r="S21" s="76">
        <v>1.3301360013429075e-13</v>
      </c>
      <c r="T21" s="76">
        <v>1.3301360013429075e-13</v>
      </c>
      <c r="U21" s="76">
        <v>1.3301360013429075e-13</v>
      </c>
      <c r="V21" s="76">
        <v>1.3301360013429075e-13</v>
      </c>
      <c r="W21" s="76">
        <v>1.3301360013429075e-13</v>
      </c>
      <c r="X21" s="76">
        <v>1.3301360013429075e-13</v>
      </c>
      <c r="Y21" s="76">
        <v>1.3301360013429075e-13</v>
      </c>
      <c r="Z21" s="76">
        <v>1.3301360013429075e-13</v>
      </c>
      <c r="AA21" s="76">
        <v>1.3301360013429075e-13</v>
      </c>
      <c r="AB21" s="76">
        <v>1.3301360013429075e-13</v>
      </c>
    </row>
    <row r="22" spans="1:28" x14ac:dyDescent="0.25">
      <c r="A22" t="s">
        <v>212</v>
      </c>
      <c r="B22" t="s">
        <v>8</v>
      </c>
      <c r="C22" s="76">
        <v>12846.733692610094</v>
      </c>
      <c r="D22" s="76">
        <v>359.7036548331771</v>
      </c>
      <c r="E22" s="76">
        <v>381.91397527203014</v>
      </c>
      <c r="F22" s="76">
        <v>403.81473685989704</v>
      </c>
      <c r="G22" s="76">
        <v>425.38517308297867</v>
      </c>
      <c r="H22" s="76">
        <v>446.602387809306</v>
      </c>
      <c r="I22" s="76">
        <v>467.44099697110363</v>
      </c>
      <c r="J22" s="76">
        <v>487.8726807566291</v>
      </c>
      <c r="K22" s="76">
        <v>507.8656168005466</v>
      </c>
      <c r="L22" s="76">
        <v>527.3837527307492</v>
      </c>
      <c r="M22" s="76">
        <v>546.3858582340188</v>
      </c>
      <c r="N22" s="76">
        <v>564.8242689045928</v>
      </c>
      <c r="O22" s="76">
        <v>582.6431903010894</v>
      </c>
      <c r="P22" s="76">
        <v>599.7763598228472</v>
      </c>
      <c r="Q22" s="76">
        <v>616.1437459948912</v>
      </c>
      <c r="R22" s="76">
        <v>631.646760897193</v>
      </c>
      <c r="S22" s="76">
        <v>646.1610945404319</v>
      </c>
      <c r="T22" s="76">
        <v>627.7237248131798</v>
      </c>
      <c r="U22" s="76">
        <v>607.9204429468099</v>
      </c>
      <c r="V22" s="76">
        <v>586.4493327980382</v>
      </c>
      <c r="W22" s="76">
        <v>562.8659530329631</v>
      </c>
      <c r="X22" s="76">
        <v>536.4700197146609</v>
      </c>
      <c r="Y22" s="76">
        <v>506.05049834447266</v>
      </c>
      <c r="Z22" s="76">
        <v>469.2059288321998</v>
      </c>
      <c r="AA22" s="76">
        <v>419.965689437698</v>
      </c>
      <c r="AB22" s="76">
        <v>334.5178488785905</v>
      </c>
    </row>
    <row r="23" spans="1:28" x14ac:dyDescent="0.25">
      <c r="A23" t="s">
        <v>159</v>
      </c>
      <c r="B23" t="s">
        <v>8</v>
      </c>
      <c r="C23" s="76">
        <v>9177.461136405584</v>
      </c>
      <c r="D23" s="76">
        <v>3028.748769904239</v>
      </c>
      <c r="E23" s="76">
        <v>1845.7934438357945</v>
      </c>
      <c r="F23" s="76">
        <v>1136.020248194728</v>
      </c>
      <c r="G23" s="76">
        <v>710.1563308100883</v>
      </c>
      <c r="H23" s="76">
        <v>454.6379803793044</v>
      </c>
      <c r="I23" s="76">
        <v>301.326970120834</v>
      </c>
      <c r="J23" s="76">
        <v>209.3403639657518</v>
      </c>
      <c r="K23" s="76">
        <v>154.14840027270247</v>
      </c>
      <c r="L23" s="76">
        <v>121.03322205687287</v>
      </c>
      <c r="M23" s="76">
        <v>101.16411512737511</v>
      </c>
      <c r="N23" s="76">
        <v>89.24265096967645</v>
      </c>
      <c r="O23" s="76">
        <v>82.08977247505726</v>
      </c>
      <c r="P23" s="76">
        <v>77.79804537828575</v>
      </c>
      <c r="Q23" s="76">
        <v>75.22300912022284</v>
      </c>
      <c r="R23" s="76">
        <v>73.67798736538509</v>
      </c>
      <c r="S23" s="76">
        <v>72.75097431248246</v>
      </c>
      <c r="T23" s="76">
        <v>72.19476648074085</v>
      </c>
      <c r="U23" s="76">
        <v>71.8610417816959</v>
      </c>
      <c r="V23" s="76">
        <v>71.66080696226894</v>
      </c>
      <c r="W23" s="76">
        <v>71.54066607061274</v>
      </c>
      <c r="X23" s="76">
        <v>71.46858153561905</v>
      </c>
      <c r="Y23" s="76">
        <v>71.42533081462282</v>
      </c>
      <c r="Z23" s="76">
        <v>71.39938038202509</v>
      </c>
      <c r="AA23" s="76">
        <v>71.38381012246644</v>
      </c>
      <c r="AB23" s="76">
        <v>71.37446796673126</v>
      </c>
    </row>
    <row r="24" spans="1:28" x14ac:dyDescent="0.25">
      <c r="A24" t="s">
        <v>218</v>
      </c>
      <c r="B24" t="s">
        <v>8</v>
      </c>
      <c r="C24" s="76">
        <v>3069.8862844645755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39.20244276755977</v>
      </c>
      <c r="O24" s="76">
        <v>205.30139769922198</v>
      </c>
      <c r="P24" s="76">
        <v>212.0756923670542</v>
      </c>
      <c r="Q24" s="76">
        <v>218.34028563073946</v>
      </c>
      <c r="R24" s="76">
        <v>224.2641334079168</v>
      </c>
      <c r="S24" s="76">
        <v>229.94686301696848</v>
      </c>
      <c r="T24" s="76">
        <v>227.44188861857162</v>
      </c>
      <c r="U24" s="76">
        <v>224.786579386597</v>
      </c>
      <c r="V24" s="76">
        <v>221.9986181313907</v>
      </c>
      <c r="W24" s="76">
        <v>219.08649198300594</v>
      </c>
      <c r="X24" s="76">
        <v>216.05306453551285</v>
      </c>
      <c r="Y24" s="76">
        <v>212.89771382719331</v>
      </c>
      <c r="Z24" s="76">
        <v>209.61760955694857</v>
      </c>
      <c r="AA24" s="76">
        <v>206.2084735638476</v>
      </c>
      <c r="AB24" s="76">
        <v>202.6650299720472</v>
      </c>
    </row>
    <row r="25" spans="1:28" s="14" customFormat="1" x14ac:dyDescent="0.25">
      <c r="A25" s="14" t="s">
        <v>219</v>
      </c>
      <c r="B25" s="14" t="s">
        <v>8</v>
      </c>
      <c r="C25" s="77">
        <v>9776.84740814552</v>
      </c>
      <c r="D25" s="77">
        <v>359.7036548331771</v>
      </c>
      <c r="E25" s="77">
        <v>381.91397527203014</v>
      </c>
      <c r="F25" s="77">
        <v>403.81473685989704</v>
      </c>
      <c r="G25" s="77">
        <v>425.38517308297867</v>
      </c>
      <c r="H25" s="77">
        <v>446.602387809306</v>
      </c>
      <c r="I25" s="77">
        <v>467.44099697110363</v>
      </c>
      <c r="J25" s="77">
        <v>487.8726807566291</v>
      </c>
      <c r="K25" s="77">
        <v>507.8656168005466</v>
      </c>
      <c r="L25" s="77">
        <v>527.3837527307492</v>
      </c>
      <c r="M25" s="77">
        <v>546.3858582340188</v>
      </c>
      <c r="N25" s="77">
        <v>525.621826137033</v>
      </c>
      <c r="O25" s="77">
        <v>377.3417926018674</v>
      </c>
      <c r="P25" s="77">
        <v>387.700667455793</v>
      </c>
      <c r="Q25" s="77">
        <v>397.80346036415176</v>
      </c>
      <c r="R25" s="77">
        <v>407.38262748927616</v>
      </c>
      <c r="S25" s="77">
        <v>416.21423152346347</v>
      </c>
      <c r="T25" s="77">
        <v>400.2818361946082</v>
      </c>
      <c r="U25" s="77">
        <v>383.1338635602129</v>
      </c>
      <c r="V25" s="77">
        <v>364.4507146666475</v>
      </c>
      <c r="W25" s="77">
        <v>343.7794610499572</v>
      </c>
      <c r="X25" s="77">
        <v>320.4169551791481</v>
      </c>
      <c r="Y25" s="77">
        <v>293.1527845172793</v>
      </c>
      <c r="Z25" s="77">
        <v>259.58831927525125</v>
      </c>
      <c r="AA25" s="77">
        <v>213.7572158738504</v>
      </c>
      <c r="AB25" s="77">
        <v>131.8528189065433</v>
      </c>
    </row>
    <row r="26" spans="1:1" s="5" customFormat="1" x14ac:dyDescent="0.25">
      <c r="A26" s="5" t="s">
        <v>220</v>
      </c>
    </row>
    <row r="27" spans="1:28" x14ac:dyDescent="0.25">
      <c r="A27" t="s">
        <v>221</v>
      </c>
      <c r="B27" t="s">
        <v>83</v>
      </c>
      <c r="D27" s="76">
        <v>148.32320068597897</v>
      </c>
      <c r="E27" s="76">
        <v>147.95179212976248</v>
      </c>
      <c r="F27" s="76">
        <v>147.580383573546</v>
      </c>
      <c r="G27" s="76">
        <v>147.20897501732946</v>
      </c>
      <c r="H27" s="76">
        <v>146.83756646111297</v>
      </c>
      <c r="I27" s="76">
        <v>146.46615790489642</v>
      </c>
      <c r="J27" s="76">
        <v>146.09474934867993</v>
      </c>
      <c r="K27" s="76">
        <v>145.72334079246343</v>
      </c>
      <c r="L27" s="76">
        <v>145.35193223624694</v>
      </c>
      <c r="M27" s="76">
        <v>144.98052368003042</v>
      </c>
      <c r="N27" s="76">
        <v>144.60911512381387</v>
      </c>
      <c r="O27" s="76">
        <v>144.23770656759743</v>
      </c>
      <c r="P27" s="76">
        <v>143.8662980113809</v>
      </c>
      <c r="Q27" s="76">
        <v>143.49488945516438</v>
      </c>
      <c r="R27" s="76">
        <v>143.1234808989479</v>
      </c>
      <c r="S27" s="76">
        <v>142.75207234273137</v>
      </c>
      <c r="T27" s="76">
        <v>142.38066378651487</v>
      </c>
      <c r="U27" s="76">
        <v>142.00925523029835</v>
      </c>
      <c r="V27" s="76">
        <v>141.63784667408189</v>
      </c>
      <c r="W27" s="76">
        <v>141.26643811786536</v>
      </c>
      <c r="X27" s="76">
        <v>140.89502956164884</v>
      </c>
      <c r="Y27" s="76">
        <v>140.52362100543232</v>
      </c>
      <c r="Z27" s="76">
        <v>140.15221244921582</v>
      </c>
      <c r="AA27" s="76">
        <v>139.78080389299927</v>
      </c>
      <c r="AB27" s="76">
        <v>139.4093953367828</v>
      </c>
    </row>
    <row r="28" spans="1:28" x14ac:dyDescent="0.25">
      <c r="A28" t="s">
        <v>345</v>
      </c>
      <c r="B28" t="s">
        <v>8</v>
      </c>
      <c r="C28" s="76">
        <v>139.4093953367828</v>
      </c>
      <c r="D28" s="76">
        <v>148.32320068597897</v>
      </c>
      <c r="E28" s="76">
        <v>-0.37140855621649393</v>
      </c>
      <c r="F28" s="76">
        <v>-0.37140855621649393</v>
      </c>
      <c r="G28" s="76">
        <v>-0.37140855621652236</v>
      </c>
      <c r="H28" s="76">
        <v>-0.37140855621649393</v>
      </c>
      <c r="I28" s="76">
        <v>-0.3714085562165508</v>
      </c>
      <c r="J28" s="76">
        <v>-0.37140855621649393</v>
      </c>
      <c r="K28" s="76">
        <v>-0.37140855621649393</v>
      </c>
      <c r="L28" s="76">
        <v>-0.37140855621649393</v>
      </c>
      <c r="M28" s="76">
        <v>-0.37140855621652236</v>
      </c>
      <c r="N28" s="76">
        <v>-0.3714085562165508</v>
      </c>
      <c r="O28" s="76">
        <v>-0.3714085562164371</v>
      </c>
      <c r="P28" s="76">
        <v>-0.37140855621652236</v>
      </c>
      <c r="Q28" s="76">
        <v>-0.37140855621652236</v>
      </c>
      <c r="R28" s="76">
        <v>-0.37140855621649393</v>
      </c>
      <c r="S28" s="76">
        <v>-0.37140855621652236</v>
      </c>
      <c r="T28" s="76">
        <v>-0.37140855621649393</v>
      </c>
      <c r="U28" s="76">
        <v>-0.37140855621652236</v>
      </c>
      <c r="V28" s="76">
        <v>-0.3714085562164655</v>
      </c>
      <c r="W28" s="76">
        <v>-0.37140855621652236</v>
      </c>
      <c r="X28" s="76">
        <v>-0.37140855621652236</v>
      </c>
      <c r="Y28" s="76">
        <v>-0.37140855621652236</v>
      </c>
      <c r="Z28" s="76">
        <v>-0.37140855621649393</v>
      </c>
      <c r="AA28" s="76">
        <v>-0.3714085562165508</v>
      </c>
      <c r="AB28" s="76">
        <v>-0.3714085562164655</v>
      </c>
    </row>
    <row r="29" spans="1:28" x14ac:dyDescent="0.25">
      <c r="A29" t="s">
        <v>139</v>
      </c>
      <c r="B29" t="s">
        <v>8</v>
      </c>
      <c r="C29" s="76">
        <v>1712.650913595084</v>
      </c>
      <c r="D29" s="76">
        <v>0</v>
      </c>
      <c r="E29" s="76">
        <v>71.36045473312848</v>
      </c>
      <c r="F29" s="76">
        <v>71.36045473312848</v>
      </c>
      <c r="G29" s="76">
        <v>71.36045473312848</v>
      </c>
      <c r="H29" s="76">
        <v>71.36045473312848</v>
      </c>
      <c r="I29" s="76">
        <v>71.36045473312848</v>
      </c>
      <c r="J29" s="76">
        <v>71.36045473312848</v>
      </c>
      <c r="K29" s="76">
        <v>71.36045473312848</v>
      </c>
      <c r="L29" s="76">
        <v>71.36045473312848</v>
      </c>
      <c r="M29" s="76">
        <v>71.36045473312848</v>
      </c>
      <c r="N29" s="76">
        <v>71.36045473312848</v>
      </c>
      <c r="O29" s="76">
        <v>71.36045473312848</v>
      </c>
      <c r="P29" s="76">
        <v>71.36045473312848</v>
      </c>
      <c r="Q29" s="76">
        <v>71.36045473312848</v>
      </c>
      <c r="R29" s="76">
        <v>71.36045473312848</v>
      </c>
      <c r="S29" s="76">
        <v>71.36045473312848</v>
      </c>
      <c r="T29" s="76">
        <v>71.36045473312848</v>
      </c>
      <c r="U29" s="76">
        <v>71.36045473312848</v>
      </c>
      <c r="V29" s="76">
        <v>71.36045473312848</v>
      </c>
      <c r="W29" s="76">
        <v>71.36045473312848</v>
      </c>
      <c r="X29" s="76">
        <v>71.36045473312848</v>
      </c>
      <c r="Y29" s="76">
        <v>71.36045473312848</v>
      </c>
      <c r="Z29" s="76">
        <v>71.36045473312848</v>
      </c>
      <c r="AA29" s="76">
        <v>71.36045473312848</v>
      </c>
      <c r="AB29" s="76">
        <v>71.36045473312848</v>
      </c>
    </row>
    <row r="30" spans="1:28" s="14" customFormat="1" x14ac:dyDescent="0.25">
      <c r="A30" s="14" t="s">
        <v>346</v>
      </c>
      <c r="B30" s="14" t="s">
        <v>8</v>
      </c>
      <c r="C30" s="77">
        <v>20268.346195172617</v>
      </c>
      <c r="D30" s="77">
        <v>960.9957746984971</v>
      </c>
      <c r="E30" s="77">
        <v>1031.7117398429696</v>
      </c>
      <c r="F30" s="77">
        <v>1024.9132678134997</v>
      </c>
      <c r="G30" s="77">
        <v>1017.9254989859111</v>
      </c>
      <c r="H30" s="77">
        <v>1010.7389685202976</v>
      </c>
      <c r="I30" s="77">
        <v>1003.3437383347572</v>
      </c>
      <c r="J30" s="77">
        <v>995.729373443295</v>
      </c>
      <c r="K30" s="77">
        <v>987.8849171106139</v>
      </c>
      <c r="L30" s="77">
        <v>979.7988647646531</v>
      </c>
      <c r="M30" s="77">
        <v>971.4591366047488</v>
      </c>
      <c r="N30" s="77">
        <v>923.6506060726439</v>
      </c>
      <c r="O30" s="77">
        <v>748.6658857915642</v>
      </c>
      <c r="P30" s="77">
        <v>732.7121643101976</v>
      </c>
      <c r="Q30" s="77">
        <v>716.959799695656</v>
      </c>
      <c r="R30" s="77">
        <v>701.2244188034338</v>
      </c>
      <c r="S30" s="77">
        <v>685.3902062269395</v>
      </c>
      <c r="T30" s="77">
        <v>677.3867503128762</v>
      </c>
      <c r="U30" s="77">
        <v>669.158834520122</v>
      </c>
      <c r="V30" s="77">
        <v>660.6700363027178</v>
      </c>
      <c r="W30" s="77">
        <v>651.8921918082157</v>
      </c>
      <c r="X30" s="77">
        <v>642.8017768840322</v>
      </c>
      <c r="Y30" s="77">
        <v>633.3777199054456</v>
      </c>
      <c r="Z30" s="77">
        <v>623.6000729077936</v>
      </c>
      <c r="AA30" s="77">
        <v>613.449196872957</v>
      </c>
      <c r="AB30" s="77">
        <v>602.9052546387783</v>
      </c>
    </row>
    <row r="31" spans="1:28" x14ac:dyDescent="0.25">
      <c r="A31" t="s">
        <v>205</v>
      </c>
      <c r="B31" t="s">
        <v>8</v>
      </c>
      <c r="C31" s="76">
        <v>9116.53379741176</v>
      </c>
      <c r="D31" s="76">
        <v>830.381954415412</v>
      </c>
      <c r="E31" s="76">
        <v>798.5800923314175</v>
      </c>
      <c r="F31" s="76">
        <v>766.778230247423</v>
      </c>
      <c r="G31" s="76">
        <v>734.9763681634286</v>
      </c>
      <c r="H31" s="76">
        <v>703.174506079434</v>
      </c>
      <c r="I31" s="76">
        <v>671.3726439954396</v>
      </c>
      <c r="J31" s="76">
        <v>639.570781911445</v>
      </c>
      <c r="K31" s="76">
        <v>607.7689198274505</v>
      </c>
      <c r="L31" s="76">
        <v>575.967057743456</v>
      </c>
      <c r="M31" s="76">
        <v>544.1651956594616</v>
      </c>
      <c r="N31" s="76">
        <v>512.3633335754671</v>
      </c>
      <c r="O31" s="76">
        <v>480.5614714914726</v>
      </c>
      <c r="P31" s="76">
        <v>448.75960940747814</v>
      </c>
      <c r="Q31" s="76">
        <v>416.9577473234836</v>
      </c>
      <c r="R31" s="76">
        <v>385.1558852394891</v>
      </c>
      <c r="S31" s="76">
        <v>1.3301360013429075e-13</v>
      </c>
      <c r="T31" s="76">
        <v>1.3301360013429075e-13</v>
      </c>
      <c r="U31" s="76">
        <v>1.3301360013429075e-13</v>
      </c>
      <c r="V31" s="76">
        <v>1.3301360013429075e-13</v>
      </c>
      <c r="W31" s="76">
        <v>1.3301360013429075e-13</v>
      </c>
      <c r="X31" s="76">
        <v>1.3301360013429075e-13</v>
      </c>
      <c r="Y31" s="76">
        <v>1.3301360013429075e-13</v>
      </c>
      <c r="Z31" s="76">
        <v>1.3301360013429075e-13</v>
      </c>
      <c r="AA31" s="76">
        <v>1.3301360013429075e-13</v>
      </c>
      <c r="AB31" s="76">
        <v>1.3301360013429075e-13</v>
      </c>
    </row>
    <row r="32" spans="1:28" s="14" customFormat="1" x14ac:dyDescent="0.25">
      <c r="A32" s="14" t="s">
        <v>347</v>
      </c>
      <c r="B32" s="14" t="s">
        <v>8</v>
      </c>
      <c r="C32" s="77">
        <v>12048.408985573697</v>
      </c>
      <c r="D32" s="77">
        <v>130.61382028308515</v>
      </c>
      <c r="E32" s="77">
        <v>233.13164751155205</v>
      </c>
      <c r="F32" s="77">
        <v>258.1350375660767</v>
      </c>
      <c r="G32" s="77">
        <v>282.9491308224825</v>
      </c>
      <c r="H32" s="77">
        <v>307.5644624408636</v>
      </c>
      <c r="I32" s="77">
        <v>331.9710943393176</v>
      </c>
      <c r="J32" s="77">
        <v>356.15859153185</v>
      </c>
      <c r="K32" s="77">
        <v>380.1159972831633</v>
      </c>
      <c r="L32" s="77">
        <v>403.83180702119705</v>
      </c>
      <c r="M32" s="77">
        <v>427.2939409452872</v>
      </c>
      <c r="N32" s="77">
        <v>411.2872724971768</v>
      </c>
      <c r="O32" s="77">
        <v>268.10441430009155</v>
      </c>
      <c r="P32" s="77">
        <v>283.9525549027195</v>
      </c>
      <c r="Q32" s="77">
        <v>300.0020523721724</v>
      </c>
      <c r="R32" s="77">
        <v>316.06853356394464</v>
      </c>
      <c r="S32" s="77">
        <v>685.3902062269394</v>
      </c>
      <c r="T32" s="77">
        <v>677.3867503128761</v>
      </c>
      <c r="U32" s="77">
        <v>669.1588345201219</v>
      </c>
      <c r="V32" s="77">
        <v>660.6700363027177</v>
      </c>
      <c r="W32" s="77">
        <v>651.8921918082156</v>
      </c>
      <c r="X32" s="77">
        <v>642.801776884032</v>
      </c>
      <c r="Y32" s="77">
        <v>633.3777199054455</v>
      </c>
      <c r="Z32" s="77">
        <v>623.6000729077934</v>
      </c>
      <c r="AA32" s="77">
        <v>613.4491968729569</v>
      </c>
      <c r="AB32" s="77">
        <v>1499.5018424516193</v>
      </c>
    </row>
    <row r="33" spans="1:28" x14ac:dyDescent="0.25">
      <c r="A33" t="s">
        <v>229</v>
      </c>
      <c r="B33" t="s">
        <v>83</v>
      </c>
      <c r="D33" s="76">
        <v>-2140.9477571450943</v>
      </c>
      <c r="E33" s="76">
        <v>-1907.8161096335423</v>
      </c>
      <c r="F33" s="76">
        <v>-1649.6810720674657</v>
      </c>
      <c r="G33" s="76">
        <v>-1366.7319412449833</v>
      </c>
      <c r="H33" s="76">
        <v>-1059.1674788041196</v>
      </c>
      <c r="I33" s="76">
        <v>-727.196384464802</v>
      </c>
      <c r="J33" s="76">
        <v>-371.037792932952</v>
      </c>
      <c r="K33" s="76">
        <v>9.078204350211308</v>
      </c>
      <c r="L33" s="76">
        <v>412.91001137140836</v>
      </c>
      <c r="M33" s="76">
        <v>840.2039523166956</v>
      </c>
      <c r="N33" s="76">
        <v>1251.4912248138723</v>
      </c>
      <c r="O33" s="76">
        <v>1519.595639113964</v>
      </c>
      <c r="P33" s="76">
        <v>1803.5481940166833</v>
      </c>
      <c r="Q33" s="76">
        <v>2103.5502463888556</v>
      </c>
      <c r="R33" s="76">
        <v>2419.6187799528</v>
      </c>
      <c r="S33" s="76">
        <v>3105.0089861797396</v>
      </c>
      <c r="T33" s="76">
        <v>3782.3957364926155</v>
      </c>
      <c r="U33" s="76">
        <v>4451.554571012737</v>
      </c>
      <c r="V33" s="76">
        <v>5112.224607315455</v>
      </c>
      <c r="W33" s="76">
        <v>5764.116799123671</v>
      </c>
      <c r="X33" s="76">
        <v>6406.9185760077025</v>
      </c>
      <c r="Y33" s="76">
        <v>7040.296295913148</v>
      </c>
      <c r="Z33" s="76">
        <v>7663.8963688209415</v>
      </c>
      <c r="AA33" s="76">
        <v>8277.345565693899</v>
      </c>
      <c r="AB33" s="76">
        <v>9776.847408145517</v>
      </c>
    </row>
    <row r="34" spans="1:28" x14ac:dyDescent="0.25">
      <c r="A34" t="s">
        <v>348</v>
      </c>
      <c r="B34" t="s">
        <v>8</v>
      </c>
      <c r="C34" s="76">
        <v>19524.14475530837</v>
      </c>
      <c r="D34" s="76">
        <v>960.9957746984971</v>
      </c>
      <c r="E34" s="76">
        <v>1031.7117398429696</v>
      </c>
      <c r="F34" s="76">
        <v>1024.9132678134997</v>
      </c>
      <c r="G34" s="76">
        <v>922.5920564333279</v>
      </c>
      <c r="H34" s="76">
        <v>852.9004068824809</v>
      </c>
      <c r="I34" s="76">
        <v>808.778174852584</v>
      </c>
      <c r="J34" s="76">
        <v>779.9273168350686</v>
      </c>
      <c r="K34" s="76">
        <v>760.1654928997829</v>
      </c>
      <c r="L34" s="76">
        <v>745.7796095723761</v>
      </c>
      <c r="M34" s="76">
        <v>734.5379367761651</v>
      </c>
      <c r="N34" s="76">
        <v>725.0973687734632</v>
      </c>
      <c r="O34" s="76">
        <v>716.6477710453985</v>
      </c>
      <c r="P34" s="76">
        <v>708.6985782505734</v>
      </c>
      <c r="Q34" s="76">
        <v>700.9507423225731</v>
      </c>
      <c r="R34" s="76">
        <v>693.2198901168923</v>
      </c>
      <c r="S34" s="76">
        <v>685.3902062269393</v>
      </c>
      <c r="T34" s="76">
        <v>677.3867503128762</v>
      </c>
      <c r="U34" s="76">
        <v>669.158834520122</v>
      </c>
      <c r="V34" s="76">
        <v>660.6700363027177</v>
      </c>
      <c r="W34" s="76">
        <v>651.8921918082157</v>
      </c>
      <c r="X34" s="76">
        <v>642.8017768840319</v>
      </c>
      <c r="Y34" s="76">
        <v>633.3777199054456</v>
      </c>
      <c r="Z34" s="76">
        <v>623.6000729077936</v>
      </c>
      <c r="AA34" s="76">
        <v>613.449196872957</v>
      </c>
      <c r="AB34" s="76">
        <v>1499.5018424516206</v>
      </c>
    </row>
    <row r="35" spans="1:1" s="5" customFormat="1" x14ac:dyDescent="0.25">
      <c r="A35" s="5" t="s">
        <v>91</v>
      </c>
    </row>
    <row r="36" spans="1:28" x14ac:dyDescent="0.25">
      <c r="A36" t="s">
        <v>201</v>
      </c>
      <c r="B36" t="s">
        <v>83</v>
      </c>
      <c r="D36" s="76">
        <v>5300.310347332417</v>
      </c>
      <c r="E36" s="76">
        <v>4946.956324176923</v>
      </c>
      <c r="F36" s="76">
        <v>4593.6023010214285</v>
      </c>
      <c r="G36" s="76">
        <v>4240.248277865934</v>
      </c>
      <c r="H36" s="76">
        <v>3886.89425471044</v>
      </c>
      <c r="I36" s="76">
        <v>3533.5402315549454</v>
      </c>
      <c r="J36" s="76">
        <v>3180.186208399451</v>
      </c>
      <c r="K36" s="76">
        <v>2826.8321852439567</v>
      </c>
      <c r="L36" s="76">
        <v>2473.4781620884623</v>
      </c>
      <c r="M36" s="76">
        <v>2120.124138932968</v>
      </c>
      <c r="N36" s="76">
        <v>1766.7701157774736</v>
      </c>
      <c r="O36" s="76">
        <v>1413.4160926219793</v>
      </c>
      <c r="P36" s="76">
        <v>1060.062069466485</v>
      </c>
      <c r="Q36" s="76">
        <v>706.7080463109904</v>
      </c>
      <c r="R36" s="76">
        <v>353.35402315549595</v>
      </c>
      <c r="S36" s="76">
        <v>1.4779288903810084e-12</v>
      </c>
      <c r="T36" s="76">
        <v>1.4779288903810084e-12</v>
      </c>
      <c r="U36" s="76">
        <v>1.4779288903810084e-12</v>
      </c>
      <c r="V36" s="76">
        <v>1.4779288903810084e-12</v>
      </c>
      <c r="W36" s="76">
        <v>1.4779288903810084e-12</v>
      </c>
      <c r="X36" s="76">
        <v>1.4779288903810084e-12</v>
      </c>
      <c r="Y36" s="76">
        <v>1.4779288903810084e-12</v>
      </c>
      <c r="Z36" s="76">
        <v>1.4779288903810084e-12</v>
      </c>
      <c r="AA36" s="76">
        <v>1.4779288903810084e-12</v>
      </c>
      <c r="AB36" s="76">
        <v>1.4779288903810084e-12</v>
      </c>
    </row>
    <row r="37" spans="1:28" x14ac:dyDescent="0.25">
      <c r="A37" t="s">
        <v>202</v>
      </c>
      <c r="B37" t="s">
        <v>8</v>
      </c>
      <c r="C37" s="76">
        <v>3816.2234500793415</v>
      </c>
      <c r="D37" s="76">
        <v>477.0279312599175</v>
      </c>
      <c r="E37" s="76">
        <v>445.22606917592304</v>
      </c>
      <c r="F37" s="76">
        <v>413.42420709192857</v>
      </c>
      <c r="G37" s="76">
        <v>381.6223450079341</v>
      </c>
      <c r="H37" s="76">
        <v>349.82048292393955</v>
      </c>
      <c r="I37" s="76">
        <v>318.0186208399451</v>
      </c>
      <c r="J37" s="76">
        <v>286.2167587559506</v>
      </c>
      <c r="K37" s="76">
        <v>254.4148966719561</v>
      </c>
      <c r="L37" s="76">
        <v>222.6130345879616</v>
      </c>
      <c r="M37" s="76">
        <v>190.8111725039671</v>
      </c>
      <c r="N37" s="76">
        <v>159.00931041997262</v>
      </c>
      <c r="O37" s="76">
        <v>127.20744833597813</v>
      </c>
      <c r="P37" s="76">
        <v>95.40558625198364</v>
      </c>
      <c r="Q37" s="76">
        <v>63.603724167989135</v>
      </c>
      <c r="R37" s="76">
        <v>31.801862083994635</v>
      </c>
      <c r="S37" s="76">
        <v>1.3301360013429075e-13</v>
      </c>
      <c r="T37" s="76">
        <v>1.3301360013429075e-13</v>
      </c>
      <c r="U37" s="76">
        <v>1.3301360013429075e-13</v>
      </c>
      <c r="V37" s="76">
        <v>1.3301360013429075e-13</v>
      </c>
      <c r="W37" s="76">
        <v>1.3301360013429075e-13</v>
      </c>
      <c r="X37" s="76">
        <v>1.3301360013429075e-13</v>
      </c>
      <c r="Y37" s="76">
        <v>1.3301360013429075e-13</v>
      </c>
      <c r="Z37" s="76">
        <v>1.3301360013429075e-13</v>
      </c>
      <c r="AA37" s="76">
        <v>1.3301360013429075e-13</v>
      </c>
      <c r="AB37" s="76">
        <v>1.3301360013429075e-13</v>
      </c>
    </row>
    <row r="38" spans="1:28" x14ac:dyDescent="0.25">
      <c r="A38" t="s">
        <v>203</v>
      </c>
      <c r="B38" t="s">
        <v>8</v>
      </c>
      <c r="C38" s="76">
        <v>5300.310347332416</v>
      </c>
      <c r="D38" s="76">
        <v>353.3540231554945</v>
      </c>
      <c r="E38" s="76">
        <v>353.3540231554945</v>
      </c>
      <c r="F38" s="76">
        <v>353.3540231554945</v>
      </c>
      <c r="G38" s="76">
        <v>353.3540231554945</v>
      </c>
      <c r="H38" s="76">
        <v>353.3540231554945</v>
      </c>
      <c r="I38" s="76">
        <v>353.3540231554945</v>
      </c>
      <c r="J38" s="76">
        <v>353.3540231554945</v>
      </c>
      <c r="K38" s="76">
        <v>353.3540231554945</v>
      </c>
      <c r="L38" s="76">
        <v>353.3540231554945</v>
      </c>
      <c r="M38" s="76">
        <v>353.3540231554945</v>
      </c>
      <c r="N38" s="76">
        <v>353.3540231554945</v>
      </c>
      <c r="O38" s="76">
        <v>353.3540231554945</v>
      </c>
      <c r="P38" s="76">
        <v>353.3540231554945</v>
      </c>
      <c r="Q38" s="76">
        <v>353.3540231554945</v>
      </c>
      <c r="R38" s="76">
        <v>353.3540231554945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</row>
    <row r="39" spans="1:28" x14ac:dyDescent="0.25">
      <c r="A39" t="s">
        <v>204</v>
      </c>
      <c r="B39" t="s">
        <v>83</v>
      </c>
      <c r="D39" s="76">
        <v>4946.956324176923</v>
      </c>
      <c r="E39" s="76">
        <v>4593.6023010214285</v>
      </c>
      <c r="F39" s="76">
        <v>4240.248277865934</v>
      </c>
      <c r="G39" s="76">
        <v>3886.89425471044</v>
      </c>
      <c r="H39" s="76">
        <v>3533.5402315549454</v>
      </c>
      <c r="I39" s="76">
        <v>3180.186208399451</v>
      </c>
      <c r="J39" s="76">
        <v>2826.8321852439567</v>
      </c>
      <c r="K39" s="76">
        <v>2473.4781620884623</v>
      </c>
      <c r="L39" s="76">
        <v>2120.124138932968</v>
      </c>
      <c r="M39" s="76">
        <v>1766.7701157774736</v>
      </c>
      <c r="N39" s="76">
        <v>1413.4160926219793</v>
      </c>
      <c r="O39" s="76">
        <v>1060.062069466485</v>
      </c>
      <c r="P39" s="76">
        <v>706.7080463109904</v>
      </c>
      <c r="Q39" s="76">
        <v>353.35402315549595</v>
      </c>
      <c r="R39" s="76">
        <v>1.4779288903810084e-12</v>
      </c>
      <c r="S39" s="76">
        <v>1.4779288903810084e-12</v>
      </c>
      <c r="T39" s="76">
        <v>1.4779288903810084e-12</v>
      </c>
      <c r="U39" s="76">
        <v>1.4779288903810084e-12</v>
      </c>
      <c r="V39" s="76">
        <v>1.4779288903810084e-12</v>
      </c>
      <c r="W39" s="76">
        <v>1.4779288903810084e-12</v>
      </c>
      <c r="X39" s="76">
        <v>1.4779288903810084e-12</v>
      </c>
      <c r="Y39" s="76">
        <v>1.4779288903810084e-12</v>
      </c>
      <c r="Z39" s="76">
        <v>1.4779288903810084e-12</v>
      </c>
      <c r="AA39" s="76">
        <v>1.4779288903810084e-12</v>
      </c>
      <c r="AB39" s="76">
        <v>1.4779288903810084e-12</v>
      </c>
    </row>
    <row r="40" spans="1:28" x14ac:dyDescent="0.25">
      <c r="A40" t="s">
        <v>225</v>
      </c>
      <c r="B40" t="s">
        <v>85</v>
      </c>
      <c r="D40" s="78">
        <v>1.15729366418498</v>
      </c>
      <c r="E40" s="78">
        <v>1.2919327062498327</v>
      </c>
      <c r="F40" s="78">
        <v>1.3366488867097621</v>
      </c>
      <c r="G40" s="78">
        <v>1.3849771816875156</v>
      </c>
      <c r="H40" s="78">
        <v>1.4373942169145133</v>
      </c>
      <c r="I40" s="78">
        <v>1.4944662212682776</v>
      </c>
      <c r="J40" s="78">
        <v>1.556871266800871</v>
      </c>
      <c r="K40" s="78">
        <v>1.6254284891551887</v>
      </c>
      <c r="L40" s="78">
        <v>1.701136986207759</v>
      </c>
      <c r="M40" s="78">
        <v>1.785228354098353</v>
      </c>
      <c r="N40" s="78">
        <v>1.8027258110510311</v>
      </c>
      <c r="O40" s="78">
        <v>1.55789827151145</v>
      </c>
      <c r="P40" s="78">
        <v>1.6327498040156456</v>
      </c>
      <c r="Q40" s="78">
        <v>1.7195022860180247</v>
      </c>
      <c r="R40" s="78">
        <v>1.820624961676008</v>
      </c>
    </row>
    <row r="42" spans="1:1" s="5" customFormat="1" x14ac:dyDescent="0.25">
      <c r="A42" s="5" t="s">
        <v>349</v>
      </c>
    </row>
    <row r="43" spans="1:28" s="67" customFormat="1" x14ac:dyDescent="0.25">
      <c r="A43" s="67" t="s">
        <v>220</v>
      </c>
      <c r="B43" s="67" t="s">
        <v>71</v>
      </c>
      <c r="C43" s="67" t="s">
        <v>73</v>
      </c>
      <c r="D43" s="67" t="s">
        <v>318</v>
      </c>
      <c r="E43" s="67" t="s">
        <v>319</v>
      </c>
      <c r="F43" s="67" t="s">
        <v>320</v>
      </c>
      <c r="G43" s="67" t="s">
        <v>321</v>
      </c>
      <c r="H43" s="67" t="s">
        <v>322</v>
      </c>
      <c r="I43" s="67" t="s">
        <v>323</v>
      </c>
      <c r="J43" s="67" t="s">
        <v>324</v>
      </c>
      <c r="K43" s="67" t="s">
        <v>325</v>
      </c>
      <c r="L43" s="67" t="s">
        <v>326</v>
      </c>
      <c r="M43" s="67" t="s">
        <v>327</v>
      </c>
      <c r="N43" s="67" t="s">
        <v>328</v>
      </c>
      <c r="O43" s="67" t="s">
        <v>329</v>
      </c>
      <c r="P43" s="67" t="s">
        <v>330</v>
      </c>
      <c r="Q43" s="67" t="s">
        <v>331</v>
      </c>
      <c r="R43" s="67" t="s">
        <v>332</v>
      </c>
      <c r="S43" s="67" t="s">
        <v>333</v>
      </c>
      <c r="T43" s="67" t="s">
        <v>334</v>
      </c>
      <c r="U43" s="67" t="s">
        <v>335</v>
      </c>
      <c r="V43" s="67" t="s">
        <v>336</v>
      </c>
      <c r="W43" s="67" t="s">
        <v>337</v>
      </c>
      <c r="X43" s="67" t="s">
        <v>338</v>
      </c>
      <c r="Y43" s="67" t="s">
        <v>339</v>
      </c>
      <c r="Z43" s="67" t="s">
        <v>340</v>
      </c>
      <c r="AA43" s="67" t="s">
        <v>341</v>
      </c>
      <c r="AB43" s="67" t="s">
        <v>342</v>
      </c>
    </row>
    <row r="44" spans="1:28" x14ac:dyDescent="0.25">
      <c r="A44" t="s">
        <v>350</v>
      </c>
      <c r="B44" t="s">
        <v>83</v>
      </c>
      <c r="C44" s="76">
        <v>-2271.5615774281796</v>
      </c>
      <c r="D44" s="76">
        <v>130.61382028308515</v>
      </c>
      <c r="E44" s="76">
        <v>233.13164751155205</v>
      </c>
      <c r="F44" s="76">
        <v>258.1350375660767</v>
      </c>
      <c r="G44" s="76">
        <v>282.9491308224825</v>
      </c>
      <c r="H44" s="76">
        <v>307.5644624408636</v>
      </c>
      <c r="I44" s="76">
        <v>331.9710943393176</v>
      </c>
      <c r="J44" s="76">
        <v>356.15859153185</v>
      </c>
      <c r="K44" s="76">
        <v>380.1159972831633</v>
      </c>
      <c r="L44" s="76">
        <v>403.83180702119705</v>
      </c>
      <c r="M44" s="76">
        <v>427.2939409452872</v>
      </c>
      <c r="N44" s="76">
        <v>411.2872724971768</v>
      </c>
      <c r="O44" s="76">
        <v>268.10441430009155</v>
      </c>
      <c r="P44" s="76">
        <v>283.9525549027195</v>
      </c>
      <c r="Q44" s="76">
        <v>300.0020523721724</v>
      </c>
      <c r="R44" s="76">
        <v>316.06853356394464</v>
      </c>
      <c r="S44" s="76">
        <v>685.3902062269394</v>
      </c>
      <c r="T44" s="76">
        <v>677.3867503128761</v>
      </c>
      <c r="U44" s="76">
        <v>669.1588345201219</v>
      </c>
      <c r="V44" s="76">
        <v>660.6700363027177</v>
      </c>
      <c r="W44" s="76">
        <v>651.8921918082156</v>
      </c>
      <c r="X44" s="76">
        <v>642.801776884032</v>
      </c>
      <c r="Y44" s="76">
        <v>633.3777199054455</v>
      </c>
      <c r="Z44" s="76">
        <v>623.6000729077934</v>
      </c>
      <c r="AA44" s="76">
        <v>613.4491968729569</v>
      </c>
      <c r="AB44" s="76">
        <v>1499.5018424516193</v>
      </c>
    </row>
    <row r="45" spans="1:28" x14ac:dyDescent="0.25">
      <c r="A45" t="s">
        <v>348</v>
      </c>
      <c r="B45" t="s">
        <v>83</v>
      </c>
      <c r="C45" s="76">
        <v>-7571.871924760597</v>
      </c>
      <c r="D45" s="76">
        <v>960.9957746984971</v>
      </c>
      <c r="E45" s="76">
        <v>1031.7117398429696</v>
      </c>
      <c r="F45" s="76">
        <v>1024.9132678134997</v>
      </c>
      <c r="G45" s="76">
        <v>922.5920564333279</v>
      </c>
      <c r="H45" s="76">
        <v>852.9004068824809</v>
      </c>
      <c r="I45" s="76">
        <v>808.778174852584</v>
      </c>
      <c r="J45" s="76">
        <v>779.9273168350686</v>
      </c>
      <c r="K45" s="76">
        <v>760.1654928997829</v>
      </c>
      <c r="L45" s="76">
        <v>745.7796095723761</v>
      </c>
      <c r="M45" s="76">
        <v>734.5379367761651</v>
      </c>
      <c r="N45" s="76">
        <v>725.0973687734632</v>
      </c>
      <c r="O45" s="76">
        <v>716.6477710453985</v>
      </c>
      <c r="P45" s="76">
        <v>708.6985782505734</v>
      </c>
      <c r="Q45" s="76">
        <v>700.9507423225731</v>
      </c>
      <c r="R45" s="76">
        <v>693.2198901168923</v>
      </c>
      <c r="S45" s="76">
        <v>685.3902062269393</v>
      </c>
      <c r="T45" s="76">
        <v>677.3867503128762</v>
      </c>
      <c r="U45" s="76">
        <v>669.158834520122</v>
      </c>
      <c r="V45" s="76">
        <v>660.6700363027177</v>
      </c>
      <c r="W45" s="76">
        <v>651.8921918082157</v>
      </c>
      <c r="X45" s="76">
        <v>642.8017768840319</v>
      </c>
      <c r="Y45" s="76">
        <v>633.3777199054456</v>
      </c>
      <c r="Z45" s="76">
        <v>623.6000729077936</v>
      </c>
      <c r="AA45" s="76">
        <v>613.449196872957</v>
      </c>
      <c r="AB45" s="76">
        <v>1499.5018424516206</v>
      </c>
    </row>
    <row r="46" spans="1:3" x14ac:dyDescent="0.25">
      <c r="A46" t="s">
        <v>7</v>
      </c>
      <c r="B46" s="7">
        <v>0.13999999993597156</v>
      </c>
      <c r="C46" t="s">
        <v>8</v>
      </c>
    </row>
    <row r="47" spans="1:3" x14ac:dyDescent="0.25">
      <c r="A47" t="s">
        <v>9</v>
      </c>
      <c r="B47" s="7">
        <v>0.09956334949820303</v>
      </c>
      <c r="C47" t="s">
        <v>8</v>
      </c>
    </row>
    <row r="48" spans="1:3" x14ac:dyDescent="0.25">
      <c r="A48" t="s">
        <v>10</v>
      </c>
      <c r="B48" s="8">
        <v>2.5579538487363607e-13</v>
      </c>
      <c r="C48" t="s">
        <v>8</v>
      </c>
    </row>
    <row r="49" spans="1:3" x14ac:dyDescent="0.25">
      <c r="A49" t="s">
        <v>11</v>
      </c>
      <c r="B49" s="9">
        <v>1.15729366418498</v>
      </c>
      <c r="C49" t="s">
        <v>8</v>
      </c>
    </row>
    <row r="50" spans="1:3" x14ac:dyDescent="0.25">
      <c r="A50" t="s">
        <v>12</v>
      </c>
      <c r="B50" s="9">
        <v>1.5536586071699472</v>
      </c>
      <c r="C50" t="s">
        <v>8</v>
      </c>
    </row>
    <row r="51" spans="1:3" x14ac:dyDescent="0.25">
      <c r="A51" t="s">
        <v>13</v>
      </c>
      <c r="B51" s="10">
        <v>8</v>
      </c>
      <c r="C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Live model</vt:lpstr>
      <vt:lpstr>Tender conditions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Tender to Bid</dc:creator>
  <dc:title/>
  <dc:subject/>
  <dc:description/>
  <cp:keywords/>
  <cp:category/>
  <cp:lastModifiedBy>Unknown</cp:lastModifiedBy>
  <dcterms:created xsi:type="dcterms:W3CDTF">2026-10-24T12:45:51Z</dcterms:created>
  <dcterms:modified xsi:type="dcterms:W3CDTF">2026-10-24T12:45:51Z</dcterms:modified>
</cp:coreProperties>
</file>