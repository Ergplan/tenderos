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55" authorId="0">
      <text>
        <r>
          <t>On the energy short of each time-block's floor, at this multiple of the year's tariff (SECI RTC-TM: 1.5)</t>
        </r>
      </text>
    </comment>
    <comment ref="A70" authorId="0">
      <text>
        <r>
          <t>wdv: written-down value at the WDV rate; slm: the book depreciation</t>
        </r>
      </text>
    </comment>
    <comment ref="A87" authorId="0">
      <text>
        <r>
          <t>The PPA term the optimiser dispatched; one column per year</t>
        </r>
      </text>
    </comment>
    <comment ref="A99" authorId="0">
      <text>
        <r>
          <t>Each hour's energy below its floor (peak and off-peak blocks), from the dispatch</t>
        </r>
      </text>
    </comment>
    <comment ref="A111" authorId="0">
      <text>
        <r>
          <t>Delivered MU × tariff ₹/kWh ÷ 10 = ₹ crore</t>
        </r>
      </text>
    </comment>
    <comment ref="A114" authorId="0">
      <text>
        <r>
          <t>Energy short of the block floors × multiple × the year's tariff</t>
        </r>
      </text>
    </comment>
    <comment ref="A118" authorId="0">
      <text>
        <r>
          <t>Size × ₹ lakh ÷ 100 = ₹ crore, escalated</t>
        </r>
      </text>
    </comment>
    <comment ref="A119" authorId="0">
      <text>
        <r>
          <t>Size × ₹ lakh ÷ 100 = ₹ crore, escalated</t>
        </r>
      </text>
    </comment>
    <comment ref="A120" authorId="0">
      <text>
        <r>
          <t>Size × ₹ lakh ÷ 100 = ₹ crore, escalated</t>
        </r>
      </text>
    </comment>
    <comment ref="A128" authorId="0">
      <text>
        <r>
          <t>annual: each year from year 2 replaces the year's fade (MWh × fade × the year's battery price); oneTime: the fade to that year (at most 60%), once</t>
        </r>
      </text>
    </comment>
    <comment ref="A132" authorId="0">
      <text>
        <r>
          <t>Augmentation is depreciated over the years left</t>
        </r>
      </text>
    </comment>
    <comment ref="A154" authorId="0">
      <text>
        <r>
          <t>EBITDA − interest − tax depreciation</t>
        </r>
      </text>
    </comment>
    <comment ref="A163" authorId="0">
      <text>
        <r>
          <t>Revenue × receivable days ÷ 365, held at the year end</t>
        </r>
      </text>
    </comment>
    <comment ref="A165" authorId="0">
      <text>
        <r>
          <t>EBITDA − tax − working capital − battery augmentation</t>
        </r>
      </text>
    </comment>
    <comment ref="A172" authorId="0">
      <text>
        <r>
          <t>The payback year is the first year marked here</t>
        </r>
      </text>
    </comment>
    <comment ref="A173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<sst xmlns="http://schemas.openxmlformats.org/spreadsheetml/2006/main" count="933" uniqueCount="356">
  <si>
    <t>SECI RTC-TM · bid financial model</t>
  </si>
  <si>
    <t>SECI/C&amp;P/IPP/13/0020/25-26 · 200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</si>
  <si>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</si>
  <si>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</si>
  <si>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</si>
  <si>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</si>
  <si>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</si>
  <si>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</si>
  <si>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</si>
  <si>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</si>
  <si>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</si>
  <si>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</si>
  <si>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</si>
  <si>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</si>
  <si>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</si>
  <si>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₹30.93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</si>
  <si>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</si>
  <si>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</si>
  <si>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</si>
  <si>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</si>
  <si>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</si>
  <si>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</si>
  <si>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</si>
  <si>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89.0%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</si>
  <si>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</si>
  <si>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</si>
  <si>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</si>
  <si>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</si>
  <si>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</si>
  <si>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</si>
  <si>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</si>
  <si>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</si>
  <si>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</si>
  <si>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</si>
  <si>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</si>
  <si>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</si>
  <si>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</si>
  <si>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</si>
  <si>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</si>
  <si>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4 ₹ cr/MW · O&amp;M 4 ₹ lakh/MW/yr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</si>
  <si>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</si>
  <si>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</si>
  <si>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</si>
  <si>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</si>
  <si>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</si>
  <si>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</si>
  <si>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</si>
  <si>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</si>
  <si>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</si>
  <si>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</si>
  <si>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</si>
  <si>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</si>
  <si>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</si>
  <si>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</si>
  <si>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</si>
  <si>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</si>
  <si>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</si>
  <si>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</si>
  <si>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</si>
  <si>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</si>
  <si>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</si>
  <si>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</si>
  <si>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</si>
  <si>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</si>
  <si>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</si>
  <si>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</si>
  <si>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</si>
  <si>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</si>
  <si>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</si>
  <si>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</si>
  <si>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</si>
  <si>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</si>
  <si>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</si>
  <si>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</si>
  <si>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</si>
  <si>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</si>
  <si>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</si>
  <si>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</si>
  <si>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</si>
  <si>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</si>
  <si>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</si>
  <si>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</si>
  <si>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</si>
  <si>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</si>
  <si>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</si>
  <si>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</si>
  <si>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</si>
  <si>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</si>
  <si>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</si>
  <si>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</si>
  <si>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</si>
  <si>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</si>
  <si>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</si>
  <si>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</si>
  <si>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</si>
  <si>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</si>
  <si>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</si>
  <si>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</si>
  <si>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</si>
  <si>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</si>
  <si>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</si>
  <si>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</si>
  <si>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</si>
  <si>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</si>
  <si>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</si>
  <si>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</si>
  <si>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</si>
  <si>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</si>
  <si>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</si>
  <si>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</si>
  <si>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</si>
  <si>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</si>
  <si>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</si>
  <si>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</si>
  <si>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</si>
  <si>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</si>
  <si>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</si>
  <si>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</si>
  <si>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</si>
  <si>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</si>
  <si>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</si>
  <si>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</si>
  <si>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</si>
  <si>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</si>
  <si>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</si>
  <si>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</si>
  <si>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</si>
  <si>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</si>
  <si>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</si>
  <si>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</si>
  <si>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</si>
  <si>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</si>
  <si>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</si>
  <si>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</si>
  <si>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</si>
  <si>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</si>
  <si>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</si>
  <si>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</si>
  <si>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</si>
  <si>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</si>
  <si>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</si>
  <si>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</si>
  <si>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</si>
  <si>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</si>
  <si>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</si>
  <si>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</si>
  <si>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</si>
  <si>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</si>
  <si>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</si>
  <si>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</si>
  <si>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</si>
  <si>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</si>
  <si>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</si>
  <si>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</si>
  <si>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</si>
  <si>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</si>
  <si>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</si>
  <si>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</si>
  <si>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</si>
  <si>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</si>
  <si>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</si>
  <si>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</si>
  <si>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</si>
  <si>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</si>
  <si>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</si>
  <si>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</si>
  <si>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</si>
  <si>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</si>
  <si>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</si>
  <si>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</si>
  <si>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</si>
  <si>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</si>
  <si>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</si>
  <si>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</si>
  <si>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</si>
  <si>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</si>
  <si>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</si>
  <si>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</si>
  <si>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</si>
  <si>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</si>
  <si>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</si>
  <si>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</si>
  <si>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</si>
  <si>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</si>
  <si>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</si>
  <si>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</si>
  <si>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</si>
  <si>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</si>
  <si>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</si>
  <si>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</si>
  <si>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</si>
  <si>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</si>
  <si>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</si>
  <si>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</si>
  <si>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</si>
  <si>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</si>
  <si>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</si>
  <si>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</si>
  <si>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</si>
  <si>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</si>
  <si>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</si>
  <si>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</si>
  <si>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</si>
  <si>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</si>
  <si>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</si>
  <si>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</si>
  <si>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</si>
  <si>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</si>
  <si>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</si>
  <si>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</si>
  <si>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</si>
  <si>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</si>
  <si>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</si>
  <si>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</si>
  <si>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</si>
  <si>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</si>
  <si>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</si>
  <si>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</si>
  <si>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</si>
  <si>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</si>
  <si>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</si>
  <si>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</si>
  <si>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</si>
  <si>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</si>
  <si>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</si>
  <si>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</si>
  <si>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</si>
  <si>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</si>
  <si>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</si>
  <si>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</si>
  <si>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</si>
  <si>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</si>
  <si>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</si>
  <si>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</si>
  <si>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</si>
  <si>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</si>
  <si>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</si>
  <si>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</si>
  <si>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</si>
  <si>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</si>
  <si>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</si>
  <si>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</si>
  <si>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</si>
  <si>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</si>
  <si>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</si>
  <si>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</si>
  <si>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</si>
  <si>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</si>
  <si>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</si>
  <si>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</si>
  <si>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</si>
  <si>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</si>
  <si>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</si>
  <si>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</si>
  <si>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</si>
  <si>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</si>
  <si>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</si>
  <si>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</si>
  <si>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</si>
  <si>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</si>
  <si>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200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</si>
  <si>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</si>
  <si>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</si>
  <si>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</si>
  <si>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</si>
  <si>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84.5% of the hours at the floor; 107.24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</si>
  <si>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</si>
  <si>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</si>
  <si>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</si>
  <si>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</si>
  <si>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99.1% of the hours at the floor; 0.43 MU short in the worst modelled year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</si>
  <si>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</si>
  <si>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</si>
  <si>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</si>
  <si>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</si>
  <si>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</si>
  <si>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</si>
  <si>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</si>
  <si>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422 MW / 1,686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</si>
  <si>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</si>
  <si>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</si>
  <si>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</si>
  <si>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</si>
  <si>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</si>
  <si>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</si>
  <si>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</si>
  <si>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₹6.863/kWh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</si>
  <si>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</si>
  <si>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</si>
  <si>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</si>
  <si>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</si>
  <si>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</si>
  <si>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</si>
  <si>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</si>
  <si>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</si>
  <si>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</si>
  <si>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</si>
  <si>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</si>
  <si>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</si>
  <si>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</si>
  <si>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Annual degradation</t>
  </si>
  <si>
    <t>Capex</t>
  </si>
  <si>
    <t>O&amp;M</t>
  </si>
  <si>
    <t>CUF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</si>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</sst>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6.862973373281048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0.09960296833771282</v>
      </c>
      <c r="C12" t="s">
        <v>8</v>
      </c>
    </row>
    <row r="13" spans="1:3" x14ac:dyDescent="0.25">
      <c r="A13" t="s">
        <v>10</v>
      </c>
      <c r="B13" s="8">
        <f>'Live model'!$C$13</f>
        <v>1.7053025658242404e-13</v>
      </c>
      <c r="C13" t="s">
        <v>8</v>
      </c>
    </row>
    <row r="14" spans="1:3" x14ac:dyDescent="0.25">
      <c r="A14" t="s">
        <v>11</v>
      </c>
      <c r="B14" s="9">
        <f>'Live model'!$C$15</f>
        <v>1.1346102119101054</v>
      </c>
      <c r="C14" t="s">
        <v>8</v>
      </c>
    </row>
    <row r="15" spans="1:3" x14ac:dyDescent="0.25">
      <c r="A15" t="s">
        <v>12</v>
      </c>
      <c r="B15" s="9">
        <f>'Live model'!$C$16</f>
        <v>1.5575634015514483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6186.971933744227</v>
      </c>
      <c r="C17" t="s">
        <v>15</v>
      </c>
    </row>
    <row r="18" spans="1:3" x14ac:dyDescent="0.25">
      <c r="A18" t="s">
        <v>16</v>
      </c>
      <c r="B18" s="8">
        <f>'Live model'!$C$21</f>
        <v>4330.880353620958</v>
      </c>
      <c r="C18" t="s">
        <v>8</v>
      </c>
    </row>
    <row r="19" spans="1:3" x14ac:dyDescent="0.25">
      <c r="A19" t="s">
        <v>17</v>
      </c>
      <c r="B19" s="8">
        <f>'Live model'!$C$22</f>
        <v>1856.0915801232686</v>
      </c>
      <c r="C19" t="s">
        <v>8</v>
      </c>
    </row>
    <row r="20" spans="1:3" x14ac:dyDescent="0.25">
      <c r="A20" t="s">
        <v>18</v>
      </c>
      <c r="B20" s="6">
        <f>'Live model'!$C$17</f>
        <v>5.405866093427154</v>
      </c>
      <c r="C20" t="s">
        <v>19</v>
      </c>
    </row>
    <row r="21" spans="1:3" x14ac:dyDescent="0.25">
      <c r="A21" t="s">
        <v>20</v>
      </c>
      <c r="B21" s="6">
        <v>6.857349180091045</v>
      </c>
      <c r="C21" t="s">
        <v>21</v>
      </c>
    </row>
    <row r="22" spans="1:3" x14ac:dyDescent="0.25">
      <c r="A22" t="s">
        <v>22</v>
      </c>
      <c r="B22" s="11">
        <v>1559.465511917294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23781.770657331952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200</v>
      </c>
      <c r="C28" t="s">
        <v>30</v>
      </c>
    </row>
    <row r="29" spans="1:3" x14ac:dyDescent="0.25">
      <c r="A29" t="s">
        <v>31</v>
      </c>
      <c r="B29" s="11">
        <v>510.542823186038</v>
      </c>
      <c r="C29" t="s">
        <v>32</v>
      </c>
    </row>
    <row r="30" spans="1:3" x14ac:dyDescent="0.25">
      <c r="A30" t="s">
        <v>33</v>
      </c>
      <c r="B30" s="11">
        <v>280.9995547945182</v>
      </c>
      <c r="C30" t="s">
        <v>32</v>
      </c>
    </row>
    <row r="31" spans="1:3" x14ac:dyDescent="0.25">
      <c r="A31" t="s">
        <v>34</v>
      </c>
      <c r="B31" s="11">
        <v>421.6012132718809</v>
      </c>
      <c r="C31" t="s">
        <v>8</v>
      </c>
    </row>
    <row r="32" spans="1:3" x14ac:dyDescent="0.25">
      <c r="A32" t="s">
        <v>35</v>
      </c>
      <c r="B32" s="11">
        <v>1686.4048530875236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200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9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6.862973373281048</v>
      </c>
      <c r="D9" s="28">
        <v>6.862973373281048</v>
      </c>
      <c r="E9" s="29">
        <f>IF(ISNUMBER(C9),C9-D9,"")</f>
        <v>0</v>
      </c>
      <c r="F9" s="12" t="str">
        <f>IF(ISNUMBER(E9),IF(ABS(E9)&lt;=0.000006862973373281048,"Yes","Changed"),"")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IFERROR(IRR(D170:AC170),"n/a")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IFERROR($C$10-$C$66,"n/a")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IFERROR(IRR(D174:AC174),"n/a")</f>
        <v>0.09960296861088525</v>
      </c>
      <c r="D12" s="31">
        <v>0.09960296833771282</v>
      </c>
      <c r="E12" s="32">
        <f>IF(ISNUMBER(C12),C12-D12,"")</f>
        <v>2.731724291216153e-10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D170+NPV($C$66,E170:AC170)</f>
        <v>6.394884621840902e-14</v>
      </c>
      <c r="D13" s="36">
        <v>1.7053025658242404e-13</v>
      </c>
      <c r="E13" s="37">
        <f>IF(ISNUMBER(C13),C13-D13,"")</f>
        <v>-1.0658141036401503e-13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D174+NPV($C$67,E174:AC174)</f>
        <v>-17.28401181089538</v>
      </c>
      <c r="D14" s="36">
        <v>-17.284011810894114</v>
      </c>
      <c r="E14" s="37">
        <f>IF(ISNUMBER(C14),C14-D14,"")</f>
        <v>-1.2647660696529783e-12</v>
      </c>
      <c r="F14" s="12" t="str">
        <f>IF(ISNUMBER(E14),IF(ABS(E14)&lt;=0.000017284011810894113,"Yes","Changed"),"")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IF(COUNT(E167:AC167)=0,"",MIN(E167:AC167))</f>
        <v>1.1346102119101054</v>
      </c>
      <c r="D15" s="39">
        <v>1.1346102119101054</v>
      </c>
      <c r="E15" s="40">
        <f>IF(ISNUMBER(C15),C15-D15,"")</f>
        <v>0</v>
      </c>
      <c r="F15" s="12" t="str">
        <f>IF(ISNUMBER(E15),IF(ABS(E15)&lt;=0.0000011346102119101053,"Yes","Changed"),"")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IF(COUNT(E167:AC167)=0,"",AVERAGE(E167:AC167))</f>
        <v>1.5575634015514481</v>
      </c>
      <c r="D16" s="39">
        <v>1.5575634015514483</v>
      </c>
      <c r="E16" s="40">
        <f>IF(ISNUMBER(C16),C16-D16,"")</f>
        <v>-2.220446049250313e-16</v>
      </c>
      <c r="F16" s="12" t="str">
        <f>IF(ISNUMBER(E16),IF(ABS(E16)&lt;=0.0000015575634015514483,"Yes","Changed"),"")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IF(C179&gt;0,($C$84+C178)*10/C179,"")</f>
        <v>5.405866093427154</v>
      </c>
      <c r="D17" s="28">
        <v>5.405866093427154</v>
      </c>
      <c r="E17" s="29">
        <f>IF(ISNUMBER(C17),C17-D17,"")</f>
        <v>0</v>
      </c>
      <c r="F17" s="12" t="str">
        <f>IF(ISNUMBER(E17),IF(ABS(E17)&lt;=0.0000054058660934271535,"Yes","Changed"),"")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IF(C179&gt;0,C180*10/C179,"")</f>
        <v>6.862973373281051</v>
      </c>
      <c r="D18" s="28">
        <v>6.862973373281049</v>
      </c>
      <c r="E18" s="29">
        <f>IF(ISNUMBER(C18),C18-D18,"")</f>
        <v>1.7763568394002505e-15</v>
      </c>
      <c r="F18" s="12" t="str">
        <f>IF(ISNUMBER(E18),IF(ABS(E18)&lt;=0.000006862973373281049,"Yes","Changed"),"")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IF(COUNT(E172:AC172)=0,"beyond the term",MIN(E172:AC172))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93</v>
      </c>
      <c r="B20" s="26" t="s">
        <v>86</v>
      </c>
      <c r="C20" s="35">
        <f>$C$84</f>
        <v>6186.971933744227</v>
      </c>
      <c r="D20" s="36">
        <v>6186.971933744227</v>
      </c>
      <c r="E20" s="37">
        <f>IF(ISNUMBER(C20),C20-D20,"")</f>
        <v>0</v>
      </c>
      <c r="F20" s="12" t="str">
        <f>IF(ISNUMBER(E20),IF(ABS(E20)&lt;=0.006186971933744226,"Yes","Changed"),"")</f>
        <v>Yes</v>
      </c>
    </row>
    <row r="21" spans="1:6" x14ac:dyDescent="0.25">
      <c r="A21" s="33" t="s">
        <v>94</v>
      </c>
      <c r="B21" s="26" t="s">
        <v>86</v>
      </c>
      <c r="C21" s="35">
        <f>$C$85</f>
        <v>4330.880353620958</v>
      </c>
      <c r="D21" s="36">
        <v>4330.880353620958</v>
      </c>
      <c r="E21" s="37">
        <f>IF(ISNUMBER(C21),C21-D21,"")</f>
        <v>0</v>
      </c>
      <c r="F21" s="12" t="str">
        <f>IF(ISNUMBER(E21),IF(ABS(E21)&lt;=0.004330880353620958,"Yes","Changed"),"")</f>
        <v>Yes</v>
      </c>
    </row>
    <row r="22" spans="1:6" x14ac:dyDescent="0.25">
      <c r="A22" s="33" t="s">
        <v>95</v>
      </c>
      <c r="B22" s="26" t="s">
        <v>86</v>
      </c>
      <c r="C22" s="35">
        <f>$C$86</f>
        <v>1856.0915801232686</v>
      </c>
      <c r="D22" s="36">
        <v>1856.0915801232686</v>
      </c>
      <c r="E22" s="37">
        <f>IF(ISNUMBER(C22),C22-D22,"")</f>
        <v>0</v>
      </c>
      <c r="F22" s="12" t="str">
        <f>IF(ISNUMBER(E22),IF(ABS(E22)&lt;=0.0018560915801232685,"Yes","Changed"),"")</f>
        <v>Yes</v>
      </c>
    </row>
    <row r="23" spans="1:6" x14ac:dyDescent="0.25">
      <c r="A23" s="33" t="s">
        <v>96</v>
      </c>
      <c r="B23" s="26" t="s">
        <v>86</v>
      </c>
      <c r="C23" s="35">
        <f>C115</f>
        <v>23781.770657331952</v>
      </c>
      <c r="D23" s="36">
        <v>23781.770657331952</v>
      </c>
      <c r="E23" s="37">
        <f>IF(ISNUMBER(C23),C23-D23,"")</f>
        <v>0</v>
      </c>
      <c r="F23" s="12" t="str">
        <f>IF(ISNUMBER(E23),IF(ABS(E23)&lt;=0.02378177065733195,"Yes","Changed"),"")</f>
        <v>Yes</v>
      </c>
    </row>
    <row r="24" spans="1:6" x14ac:dyDescent="0.25">
      <c r="A24" s="33" t="s">
        <v>97</v>
      </c>
      <c r="C24" s="45" t="str">
        <f>IF(AND($C$194="OK",$C$195="OK",$C$196="OK",$C$197="OK"),"OK","CHECK")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6.862973373281048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510.542823186038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280.9995547945182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421.6012132718809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1686.4048530875236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33" t="s">
        <v>141</v>
      </c>
      <c r="B55" s="26" t="s">
        <v>142</v>
      </c>
      <c r="C55" s="55">
        <v>1.5</v>
      </c>
      <c r="D55" s="3" t="s">
        <v>48</v>
      </c>
    </row>
    <row r="56" spans="1:4" x14ac:dyDescent="0.25">
      <c r="A56" s="46" t="s">
        <v>143</v>
      </c>
      <c r="B56" s="47"/>
      <c r="C56" s="47"/>
      <c r="D56" s="47"/>
    </row>
    <row r="57" spans="1:4" x14ac:dyDescent="0.25">
      <c r="A57" s="33" t="s">
        <v>144</v>
      </c>
      <c r="B57" s="26" t="s">
        <v>145</v>
      </c>
      <c r="C57" s="54" t="s">
        <v>146</v>
      </c>
      <c r="D57" s="50" t="s">
        <v>104</v>
      </c>
    </row>
    <row r="58" spans="1:4" x14ac:dyDescent="0.25">
      <c r="A58" s="33" t="s">
        <v>147</v>
      </c>
      <c r="B58" s="26" t="s">
        <v>103</v>
      </c>
      <c r="C58" s="49">
        <v>0.02</v>
      </c>
      <c r="D58" s="50" t="s">
        <v>104</v>
      </c>
    </row>
    <row r="59" spans="1:4" x14ac:dyDescent="0.25">
      <c r="A59" s="33" t="s">
        <v>148</v>
      </c>
      <c r="B59" s="26" t="s">
        <v>92</v>
      </c>
      <c r="C59" s="56">
        <v>12</v>
      </c>
      <c r="D59" s="3" t="s">
        <v>149</v>
      </c>
    </row>
    <row r="60" spans="1:4" x14ac:dyDescent="0.25">
      <c r="A60" s="33" t="s">
        <v>150</v>
      </c>
      <c r="B60" s="26" t="s">
        <v>103</v>
      </c>
      <c r="C60" s="49">
        <v>0</v>
      </c>
      <c r="D60" s="3" t="s">
        <v>130</v>
      </c>
    </row>
    <row r="61" spans="1:4" x14ac:dyDescent="0.25">
      <c r="A61" s="46" t="s">
        <v>44</v>
      </c>
      <c r="B61" s="47"/>
      <c r="C61" s="47"/>
      <c r="D61" s="47"/>
    </row>
    <row r="62" spans="1:4" x14ac:dyDescent="0.25">
      <c r="A62" s="33" t="s">
        <v>151</v>
      </c>
      <c r="B62" s="26" t="s">
        <v>152</v>
      </c>
      <c r="C62" s="49">
        <v>0.7</v>
      </c>
      <c r="D62" s="50" t="s">
        <v>104</v>
      </c>
    </row>
    <row r="63" spans="1:4" x14ac:dyDescent="0.25">
      <c r="A63" s="33" t="s">
        <v>153</v>
      </c>
      <c r="B63" s="26" t="s">
        <v>103</v>
      </c>
      <c r="C63" s="49">
        <v>0.09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6">
        <v>15</v>
      </c>
      <c r="D64" s="50" t="s">
        <v>104</v>
      </c>
    </row>
    <row r="65" spans="1:4" x14ac:dyDescent="0.25">
      <c r="A65" s="33" t="s">
        <v>156</v>
      </c>
      <c r="B65" s="26" t="s">
        <v>157</v>
      </c>
      <c r="C65" s="54" t="s">
        <v>158</v>
      </c>
      <c r="D65" s="3" t="s">
        <v>130</v>
      </c>
    </row>
    <row r="66" spans="1:4" x14ac:dyDescent="0.25">
      <c r="A66" s="33" t="s">
        <v>159</v>
      </c>
      <c r="B66" s="26" t="s">
        <v>83</v>
      </c>
      <c r="C66" s="49">
        <v>0.14</v>
      </c>
      <c r="D66" s="50" t="s">
        <v>104</v>
      </c>
    </row>
    <row r="67" spans="1:4" x14ac:dyDescent="0.25">
      <c r="A67" s="33" t="s">
        <v>160</v>
      </c>
      <c r="B67" s="26" t="s">
        <v>83</v>
      </c>
      <c r="C67" s="49">
        <v>0.1</v>
      </c>
      <c r="D67" s="3" t="s">
        <v>130</v>
      </c>
    </row>
    <row r="68" spans="1:4" x14ac:dyDescent="0.25">
      <c r="A68" s="46" t="s">
        <v>161</v>
      </c>
      <c r="B68" s="47"/>
      <c r="C68" s="47"/>
      <c r="D68" s="47"/>
    </row>
    <row r="69" spans="1:4" x14ac:dyDescent="0.25">
      <c r="A69" s="33" t="s">
        <v>162</v>
      </c>
      <c r="B69" s="26" t="s">
        <v>83</v>
      </c>
      <c r="C69" s="49">
        <v>0.2517</v>
      </c>
      <c r="D69" s="50" t="s">
        <v>104</v>
      </c>
    </row>
    <row r="70" spans="1:4" x14ac:dyDescent="0.25">
      <c r="A70" s="33" t="s">
        <v>163</v>
      </c>
      <c r="B70" s="26" t="s">
        <v>164</v>
      </c>
      <c r="C70" s="54" t="s">
        <v>165</v>
      </c>
      <c r="D70" s="3" t="s">
        <v>130</v>
      </c>
    </row>
    <row r="71" spans="1:4" x14ac:dyDescent="0.25">
      <c r="A71" s="33" t="s">
        <v>166</v>
      </c>
      <c r="B71" s="26" t="s">
        <v>103</v>
      </c>
      <c r="C71" s="49">
        <v>0.4</v>
      </c>
      <c r="D71" s="3" t="s">
        <v>130</v>
      </c>
    </row>
    <row r="72" spans="1:4" x14ac:dyDescent="0.25">
      <c r="A72" s="33" t="s">
        <v>167</v>
      </c>
      <c r="B72" s="26" t="s">
        <v>155</v>
      </c>
      <c r="C72" s="56">
        <v>25</v>
      </c>
      <c r="D72" s="3" t="s">
        <v>130</v>
      </c>
    </row>
    <row r="73" spans="1:4" x14ac:dyDescent="0.25">
      <c r="A73" s="33" t="s">
        <v>168</v>
      </c>
      <c r="B73" s="26" t="s">
        <v>152</v>
      </c>
      <c r="C73" s="49">
        <v>0.1</v>
      </c>
      <c r="D73" s="3" t="s">
        <v>130</v>
      </c>
    </row>
    <row r="74" spans="1:4" x14ac:dyDescent="0.25">
      <c r="A74" s="33" t="s">
        <v>169</v>
      </c>
      <c r="B74" s="26" t="s">
        <v>170</v>
      </c>
      <c r="C74" s="56">
        <v>45</v>
      </c>
      <c r="D74" s="3" t="s">
        <v>130</v>
      </c>
    </row>
    <row r="76" ht="20" customHeight="1" spans="1:29" x14ac:dyDescent="0.25">
      <c r="A76" s="21" t="s">
        <v>171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1:3" x14ac:dyDescent="0.25">
      <c r="A77" s="33" t="s">
        <v>38</v>
      </c>
      <c r="B77" s="26" t="s">
        <v>86</v>
      </c>
      <c r="C77" s="37">
        <f>$C$32*$C$37</f>
        <v>2042.171292744152</v>
      </c>
    </row>
    <row r="78" spans="1:3" x14ac:dyDescent="0.25">
      <c r="A78" s="33" t="s">
        <v>40</v>
      </c>
      <c r="B78" s="26" t="s">
        <v>86</v>
      </c>
      <c r="C78" s="37">
        <f>$C$33*$C$38</f>
        <v>1826.4971061643682</v>
      </c>
    </row>
    <row r="79" spans="1:3" x14ac:dyDescent="0.25">
      <c r="A79" s="33" t="s">
        <v>109</v>
      </c>
      <c r="B79" s="26" t="s">
        <v>86</v>
      </c>
      <c r="C79" s="37">
        <f>$C$35*$C$39</f>
        <v>2023.6858237050283</v>
      </c>
    </row>
    <row r="80" spans="1:3" x14ac:dyDescent="0.25">
      <c r="A80" s="33" t="s">
        <v>114</v>
      </c>
      <c r="B80" s="26" t="s">
        <v>86</v>
      </c>
      <c r="C80" s="37">
        <f>$C$34*$C$40</f>
        <v>0</v>
      </c>
    </row>
    <row r="81" spans="1:3" x14ac:dyDescent="0.25">
      <c r="A81" s="33" t="s">
        <v>116</v>
      </c>
      <c r="B81" s="26" t="s">
        <v>86</v>
      </c>
      <c r="C81" s="37">
        <f>$C$41</f>
        <v>0</v>
      </c>
    </row>
    <row r="82" spans="1:3" x14ac:dyDescent="0.25">
      <c r="A82" s="25" t="s">
        <v>172</v>
      </c>
      <c r="B82" s="26" t="s">
        <v>86</v>
      </c>
      <c r="C82" s="57">
        <f>SUM($C$77:$C$81)</f>
        <v>5892.354222613549</v>
      </c>
    </row>
    <row r="83" spans="1:3" x14ac:dyDescent="0.25">
      <c r="A83" s="33" t="s">
        <v>117</v>
      </c>
      <c r="B83" s="26" t="s">
        <v>86</v>
      </c>
      <c r="C83" s="37">
        <f>$C$82*$C$42</f>
        <v>294.61771113067743</v>
      </c>
    </row>
    <row r="84" spans="1:3" x14ac:dyDescent="0.25">
      <c r="A84" s="25" t="s">
        <v>173</v>
      </c>
      <c r="B84" s="26" t="s">
        <v>86</v>
      </c>
      <c r="C84" s="57">
        <f>$C$82+$C$83</f>
        <v>6186.971933744227</v>
      </c>
    </row>
    <row r="85" spans="1:3" x14ac:dyDescent="0.25">
      <c r="A85" s="33" t="s">
        <v>94</v>
      </c>
      <c r="B85" s="26" t="s">
        <v>86</v>
      </c>
      <c r="C85" s="37">
        <f>$C$84*$C$62</f>
        <v>4330.880353620958</v>
      </c>
    </row>
    <row r="86" spans="1:3" x14ac:dyDescent="0.25">
      <c r="A86" s="33" t="s">
        <v>95</v>
      </c>
      <c r="B86" s="26" t="s">
        <v>86</v>
      </c>
      <c r="C86" s="37">
        <f>$C$84-$C$85</f>
        <v>1856.0915801232686</v>
      </c>
    </row>
    <row r="87" spans="1:3" x14ac:dyDescent="0.25">
      <c r="A87" s="33" t="s">
        <v>174</v>
      </c>
      <c r="B87" s="26" t="s">
        <v>155</v>
      </c>
      <c r="C87" s="44">
        <f>COUNT(E5:AC5)</f>
        <v>25</v>
      </c>
    </row>
    <row r="88" spans="1:3" x14ac:dyDescent="0.25">
      <c r="A88" s="33" t="s">
        <v>175</v>
      </c>
      <c r="B88" s="26" t="s">
        <v>155</v>
      </c>
      <c r="C88" s="44">
        <f>MIN($C$87,MAX(1,ROUND($C$64,0)))</f>
        <v>15</v>
      </c>
    </row>
    <row r="89" spans="1:3" x14ac:dyDescent="0.25">
      <c r="A89" s="33" t="s">
        <v>176</v>
      </c>
      <c r="B89" s="26" t="s">
        <v>129</v>
      </c>
      <c r="C89" s="37">
        <f>IF($C$63&lt;=0,$C$85/$C$88,$C$85*$C$63*(1+$C$63)^$C$88/((1+$C$63)^$C$88-1))</f>
        <v>537.2841775623956</v>
      </c>
    </row>
    <row r="90" spans="1:3" x14ac:dyDescent="0.25">
      <c r="A90" s="33" t="s">
        <v>177</v>
      </c>
      <c r="B90" s="26" t="s">
        <v>129</v>
      </c>
      <c r="C90" s="37">
        <f>$C$85/$C$88</f>
        <v>288.7253569080639</v>
      </c>
    </row>
    <row r="91" spans="1:3" x14ac:dyDescent="0.25">
      <c r="A91" s="33" t="s">
        <v>178</v>
      </c>
      <c r="B91" s="26" t="s">
        <v>86</v>
      </c>
      <c r="C91" s="37">
        <f>$C$84*(1-$C$73)</f>
        <v>5568.274740369804</v>
      </c>
    </row>
    <row r="92" spans="1:3" x14ac:dyDescent="0.25">
      <c r="A92" s="33" t="s">
        <v>179</v>
      </c>
      <c r="B92" s="26" t="s">
        <v>129</v>
      </c>
      <c r="C92" s="37">
        <f>$C$91/$C$72</f>
        <v>222.73098961479215</v>
      </c>
    </row>
    <row r="94" ht="20" customHeight="1" spans="1:29" x14ac:dyDescent="0.25">
      <c r="A94" s="21" t="s">
        <v>180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x14ac:dyDescent="0.25">
      <c r="A95" s="33" t="s">
        <v>181</v>
      </c>
      <c r="B95" s="26" t="s">
        <v>182</v>
      </c>
      <c r="C95" s="58">
        <f>SUM(E95:AC95)</f>
        <v>43800</v>
      </c>
      <c r="E95" s="51">
        <v>1752</v>
      </c>
      <c r="F95" s="51">
        <v>1752</v>
      </c>
      <c r="G95" s="51">
        <v>1752</v>
      </c>
      <c r="H95" s="51">
        <v>1752</v>
      </c>
      <c r="I95" s="51">
        <v>1752</v>
      </c>
      <c r="J95" s="51">
        <v>1752</v>
      </c>
      <c r="K95" s="51">
        <v>1752</v>
      </c>
      <c r="L95" s="51">
        <v>1752</v>
      </c>
      <c r="M95" s="51">
        <v>1752</v>
      </c>
      <c r="N95" s="51">
        <v>1752</v>
      </c>
      <c r="O95" s="51">
        <v>1752</v>
      </c>
      <c r="P95" s="51">
        <v>1752</v>
      </c>
      <c r="Q95" s="51">
        <v>1752</v>
      </c>
      <c r="R95" s="51">
        <v>1752</v>
      </c>
      <c r="S95" s="51">
        <v>1752</v>
      </c>
      <c r="T95" s="51">
        <v>1752</v>
      </c>
      <c r="U95" s="51">
        <v>1752</v>
      </c>
      <c r="V95" s="51">
        <v>1752</v>
      </c>
      <c r="W95" s="51">
        <v>1752</v>
      </c>
      <c r="X95" s="51">
        <v>1752</v>
      </c>
      <c r="Y95" s="51">
        <v>1752</v>
      </c>
      <c r="Z95" s="51">
        <v>1752</v>
      </c>
      <c r="AA95" s="51">
        <v>1752</v>
      </c>
      <c r="AB95" s="51">
        <v>1752</v>
      </c>
      <c r="AC95" s="51">
        <v>1752</v>
      </c>
    </row>
    <row r="96" spans="1:29" x14ac:dyDescent="0.25">
      <c r="A96" s="33" t="s">
        <v>183</v>
      </c>
      <c r="B96" s="26" t="s">
        <v>182</v>
      </c>
      <c r="C96" s="58">
        <f>SUM(E96:AC96)</f>
        <v>38433.808139596236</v>
      </c>
      <c r="E96" s="51">
        <v>1559.465511917294</v>
      </c>
      <c r="F96" s="51">
        <v>1557.622746389507</v>
      </c>
      <c r="G96" s="51">
        <v>1555.7799808617199</v>
      </c>
      <c r="H96" s="51">
        <v>1553.937215333933</v>
      </c>
      <c r="I96" s="51">
        <v>1552.0944498061458</v>
      </c>
      <c r="J96" s="51">
        <v>1550.2516842783589</v>
      </c>
      <c r="K96" s="51">
        <v>1548.408918750572</v>
      </c>
      <c r="L96" s="51">
        <v>1546.5661532227848</v>
      </c>
      <c r="M96" s="51">
        <v>1544.7233876949979</v>
      </c>
      <c r="N96" s="51">
        <v>1542.880622167211</v>
      </c>
      <c r="O96" s="51">
        <v>1541.0378566394238</v>
      </c>
      <c r="P96" s="51">
        <v>1539.1950911116369</v>
      </c>
      <c r="Q96" s="51">
        <v>1537.3523255838497</v>
      </c>
      <c r="R96" s="51">
        <v>1535.5095600560628</v>
      </c>
      <c r="S96" s="51">
        <v>1533.6667945282757</v>
      </c>
      <c r="T96" s="51">
        <v>1531.8240290004885</v>
      </c>
      <c r="U96" s="51">
        <v>1529.9812634727016</v>
      </c>
      <c r="V96" s="51">
        <v>1528.1384979449147</v>
      </c>
      <c r="W96" s="51">
        <v>1526.2957324171277</v>
      </c>
      <c r="X96" s="51">
        <v>1524.4529668893406</v>
      </c>
      <c r="Y96" s="51">
        <v>1522.6102013615537</v>
      </c>
      <c r="Z96" s="51">
        <v>1520.7674358337665</v>
      </c>
      <c r="AA96" s="51">
        <v>1518.9246703059796</v>
      </c>
      <c r="AB96" s="51">
        <v>1517.0819047781924</v>
      </c>
      <c r="AC96" s="51">
        <v>1515.2391392504055</v>
      </c>
    </row>
    <row r="97" spans="1:29" x14ac:dyDescent="0.25">
      <c r="A97" s="33" t="s">
        <v>184</v>
      </c>
      <c r="B97" s="26" t="s">
        <v>83</v>
      </c>
      <c r="E97" s="32">
        <f>IF(E95&gt;0,E96/E95,1)</f>
        <v>0.8901058857975422</v>
      </c>
      <c r="F97" s="32">
        <f>IF(F95&gt;0,F96/F95,1)</f>
        <v>0.8890540789894447</v>
      </c>
      <c r="G97" s="32">
        <f>IF(G95&gt;0,G96/G95,1)</f>
        <v>0.888002272181347</v>
      </c>
      <c r="H97" s="32">
        <f>IF(H95&gt;0,H96/H95,1)</f>
        <v>0.8869504653732494</v>
      </c>
      <c r="I97" s="32">
        <f>IF(I95&gt;0,I96/I95,1)</f>
        <v>0.8858986585651517</v>
      </c>
      <c r="J97" s="32">
        <f>IF(J95&gt;0,J96/J95,1)</f>
        <v>0.8848468517570541</v>
      </c>
      <c r="K97" s="32">
        <f>IF(K95&gt;0,K96/K95,1)</f>
        <v>0.8837950449489566</v>
      </c>
      <c r="L97" s="32">
        <f>IF(L95&gt;0,L96/L95,1)</f>
        <v>0.8827432381408589</v>
      </c>
      <c r="M97" s="32">
        <f>IF(M95&gt;0,M96/M95,1)</f>
        <v>0.8816914313327614</v>
      </c>
      <c r="N97" s="32">
        <f>IF(N95&gt;0,N96/N95,1)</f>
        <v>0.8806396245246638</v>
      </c>
      <c r="O97" s="32">
        <f>IF(O95&gt;0,O96/O95,1)</f>
        <v>0.8795878177165661</v>
      </c>
      <c r="P97" s="32">
        <f>IF(P95&gt;0,P96/P95,1)</f>
        <v>0.8785360109084686</v>
      </c>
      <c r="Q97" s="32">
        <f>IF(Q95&gt;0,Q96/Q95,1)</f>
        <v>0.8774842041003709</v>
      </c>
      <c r="R97" s="32">
        <f>IF(R95&gt;0,R96/R95,1)</f>
        <v>0.8764323972922733</v>
      </c>
      <c r="S97" s="32">
        <f>IF(S95&gt;0,S96/S95,1)</f>
        <v>0.8753805904841756</v>
      </c>
      <c r="T97" s="32">
        <f>IF(T95&gt;0,T96/T95,1)</f>
        <v>0.8743287836760779</v>
      </c>
      <c r="U97" s="32">
        <f>IF(U95&gt;0,U96/U95,1)</f>
        <v>0.8732769768679803</v>
      </c>
      <c r="V97" s="32">
        <f>IF(V95&gt;0,V96/V95,1)</f>
        <v>0.8722251700598828</v>
      </c>
      <c r="W97" s="32">
        <f>IF(W95&gt;0,W96/W95,1)</f>
        <v>0.8711733632517853</v>
      </c>
      <c r="X97" s="32">
        <f>IF(X95&gt;0,X96/X95,1)</f>
        <v>0.8701215564436876</v>
      </c>
      <c r="Y97" s="32">
        <f>IF(Y95&gt;0,Y96/Y95,1)</f>
        <v>0.86906974963559</v>
      </c>
      <c r="Z97" s="32">
        <f>IF(Z95&gt;0,Z96/Z95,1)</f>
        <v>0.8680179428274923</v>
      </c>
      <c r="AA97" s="32">
        <f>IF(AA95&gt;0,AA96/AA95,1)</f>
        <v>0.8669661360193948</v>
      </c>
      <c r="AB97" s="32">
        <f>IF(AB95&gt;0,AB96/AB95,1)</f>
        <v>0.8659143292112971</v>
      </c>
      <c r="AC97" s="32">
        <f>IF(AC95&gt;0,AC96/AC95,1)</f>
        <v>0.8648625224031995</v>
      </c>
    </row>
    <row r="98" spans="1:29" x14ac:dyDescent="0.25">
      <c r="A98" s="33" t="s">
        <v>185</v>
      </c>
      <c r="B98" s="26" t="s">
        <v>182</v>
      </c>
      <c r="C98" s="58">
        <f>SUM(E98:AC98)</f>
        <v>0</v>
      </c>
      <c r="E98" s="59">
        <f>MAX(0,$C$53*E95-E96)</f>
        <v>0</v>
      </c>
      <c r="F98" s="59">
        <f>MAX(0,$C$53*F95-F96)</f>
        <v>0</v>
      </c>
      <c r="G98" s="59">
        <f>MAX(0,$C$53*G95-G96)</f>
        <v>0</v>
      </c>
      <c r="H98" s="59">
        <f>MAX(0,$C$53*H95-H96)</f>
        <v>0</v>
      </c>
      <c r="I98" s="59">
        <f>MAX(0,$C$53*I95-I96)</f>
        <v>0</v>
      </c>
      <c r="J98" s="59">
        <f>MAX(0,$C$53*J95-J96)</f>
        <v>0</v>
      </c>
      <c r="K98" s="59">
        <f>MAX(0,$C$53*K95-K96)</f>
        <v>0</v>
      </c>
      <c r="L98" s="59">
        <f>MAX(0,$C$53*L95-L96)</f>
        <v>0</v>
      </c>
      <c r="M98" s="59">
        <f>MAX(0,$C$53*M95-M96)</f>
        <v>0</v>
      </c>
      <c r="N98" s="59">
        <f>MAX(0,$C$53*N95-N96)</f>
        <v>0</v>
      </c>
      <c r="O98" s="59">
        <f>MAX(0,$C$53*O95-O96)</f>
        <v>0</v>
      </c>
      <c r="P98" s="59">
        <f>MAX(0,$C$53*P95-P96)</f>
        <v>0</v>
      </c>
      <c r="Q98" s="59">
        <f>MAX(0,$C$53*Q95-Q96)</f>
        <v>0</v>
      </c>
      <c r="R98" s="59">
        <f>MAX(0,$C$53*R95-R96)</f>
        <v>0</v>
      </c>
      <c r="S98" s="59">
        <f>MAX(0,$C$53*S95-S96)</f>
        <v>0</v>
      </c>
      <c r="T98" s="59">
        <f>MAX(0,$C$53*T95-T96)</f>
        <v>0</v>
      </c>
      <c r="U98" s="59">
        <f>MAX(0,$C$53*U95-U96)</f>
        <v>0</v>
      </c>
      <c r="V98" s="59">
        <f>MAX(0,$C$53*V95-V96)</f>
        <v>0</v>
      </c>
      <c r="W98" s="59">
        <f>MAX(0,$C$53*W95-W96)</f>
        <v>0</v>
      </c>
      <c r="X98" s="59">
        <f>MAX(0,$C$53*X95-X96)</f>
        <v>0</v>
      </c>
      <c r="Y98" s="59">
        <f>MAX(0,$C$53*Y95-Y96)</f>
        <v>0</v>
      </c>
      <c r="Z98" s="59">
        <f>MAX(0,$C$53*Z95-Z96)</f>
        <v>0</v>
      </c>
      <c r="AA98" s="59">
        <f>MAX(0,$C$53*AA95-AA96)</f>
        <v>0</v>
      </c>
      <c r="AB98" s="59">
        <f>MAX(0,$C$53*AB95-AB96)</f>
        <v>0</v>
      </c>
      <c r="AC98" s="59">
        <f>MAX(0,$C$53*AC95-AC96)</f>
        <v>0</v>
      </c>
    </row>
    <row r="99" spans="1:29" x14ac:dyDescent="0.25">
      <c r="A99" s="33" t="s">
        <v>186</v>
      </c>
      <c r="B99" s="26" t="s">
        <v>182</v>
      </c>
      <c r="C99" s="58">
        <f>SUM(E99:AC99)</f>
        <v>2521.0156891627894</v>
      </c>
      <c r="E99" s="51">
        <v>94.00672595017186</v>
      </c>
      <c r="F99" s="51">
        <v>94.57621775153349</v>
      </c>
      <c r="G99" s="51">
        <v>95.14570955289513</v>
      </c>
      <c r="H99" s="51">
        <v>95.71520135425678</v>
      </c>
      <c r="I99" s="51">
        <v>96.28469315561843</v>
      </c>
      <c r="J99" s="51">
        <v>96.85418495698006</v>
      </c>
      <c r="K99" s="51">
        <v>97.42367675834171</v>
      </c>
      <c r="L99" s="51">
        <v>97.99316855970335</v>
      </c>
      <c r="M99" s="51">
        <v>98.562660361065</v>
      </c>
      <c r="N99" s="51">
        <v>99.13215216242664</v>
      </c>
      <c r="O99" s="51">
        <v>99.70164396378827</v>
      </c>
      <c r="P99" s="51">
        <v>100.27113576514992</v>
      </c>
      <c r="Q99" s="51">
        <v>100.84062756651157</v>
      </c>
      <c r="R99" s="51">
        <v>101.41011936787321</v>
      </c>
      <c r="S99" s="51">
        <v>101.97961116923484</v>
      </c>
      <c r="T99" s="51">
        <v>102.54910297059651</v>
      </c>
      <c r="U99" s="51">
        <v>103.11859477195814</v>
      </c>
      <c r="V99" s="51">
        <v>103.68808657331978</v>
      </c>
      <c r="W99" s="51">
        <v>104.25757837468142</v>
      </c>
      <c r="X99" s="51">
        <v>104.82707017604307</v>
      </c>
      <c r="Y99" s="51">
        <v>105.3965619774047</v>
      </c>
      <c r="Z99" s="51">
        <v>105.96605377876635</v>
      </c>
      <c r="AA99" s="51">
        <v>106.535545580128</v>
      </c>
      <c r="AB99" s="51">
        <v>107.10503738148965</v>
      </c>
      <c r="AC99" s="51">
        <v>107.67452918285129</v>
      </c>
    </row>
    <row r="100" spans="1:29" x14ac:dyDescent="0.25">
      <c r="A100" s="33" t="s">
        <v>187</v>
      </c>
      <c r="B100" s="26" t="s">
        <v>182</v>
      </c>
      <c r="C100" s="58">
        <f>SUM(E100:AC100)</f>
        <v>0</v>
      </c>
      <c r="E100" s="51">
        <v>0</v>
      </c>
      <c r="F100" s="51">
        <v>0</v>
      </c>
      <c r="G100" s="51">
        <v>0</v>
      </c>
      <c r="H100" s="51">
        <v>0</v>
      </c>
      <c r="I100" s="51">
        <v>0</v>
      </c>
      <c r="J100" s="51">
        <v>0</v>
      </c>
      <c r="K100" s="51">
        <v>0</v>
      </c>
      <c r="L100" s="51">
        <v>0</v>
      </c>
      <c r="M100" s="51">
        <v>0</v>
      </c>
      <c r="N100" s="51">
        <v>0</v>
      </c>
      <c r="O100" s="51">
        <v>0</v>
      </c>
      <c r="P100" s="51">
        <v>0</v>
      </c>
      <c r="Q100" s="51">
        <v>0</v>
      </c>
      <c r="R100" s="51">
        <v>0</v>
      </c>
      <c r="S100" s="51">
        <v>0</v>
      </c>
      <c r="T100" s="51">
        <v>0</v>
      </c>
      <c r="U100" s="51">
        <v>0</v>
      </c>
      <c r="V100" s="51">
        <v>0</v>
      </c>
      <c r="W100" s="51">
        <v>0</v>
      </c>
      <c r="X100" s="51">
        <v>0</v>
      </c>
      <c r="Y100" s="51">
        <v>0</v>
      </c>
      <c r="Z100" s="51">
        <v>0</v>
      </c>
      <c r="AA100" s="51">
        <v>0</v>
      </c>
      <c r="AB100" s="51">
        <v>0</v>
      </c>
      <c r="AC100" s="51">
        <v>0</v>
      </c>
    </row>
    <row r="101" spans="1:29" x14ac:dyDescent="0.25">
      <c r="A101" s="33" t="s">
        <v>135</v>
      </c>
      <c r="B101" s="26" t="s">
        <v>82</v>
      </c>
      <c r="E101" s="29">
        <f>$C$52</f>
        <v>0</v>
      </c>
      <c r="F101" s="29">
        <f>$C$52</f>
        <v>0</v>
      </c>
      <c r="G101" s="29">
        <f>$C$52</f>
        <v>0</v>
      </c>
      <c r="H101" s="29">
        <f>$C$52</f>
        <v>0</v>
      </c>
      <c r="I101" s="29">
        <f>$C$52</f>
        <v>0</v>
      </c>
      <c r="J101" s="29">
        <f>$C$52</f>
        <v>0</v>
      </c>
      <c r="K101" s="29">
        <f>$C$52</f>
        <v>0</v>
      </c>
      <c r="L101" s="29">
        <f>$C$52</f>
        <v>0</v>
      </c>
      <c r="M101" s="29">
        <f>$C$52</f>
        <v>0</v>
      </c>
      <c r="N101" s="29">
        <f>$C$52</f>
        <v>0</v>
      </c>
      <c r="O101" s="29">
        <f>$C$52</f>
        <v>0</v>
      </c>
      <c r="P101" s="29">
        <f>$C$52</f>
        <v>0</v>
      </c>
      <c r="Q101" s="29">
        <f>$C$52</f>
        <v>0</v>
      </c>
      <c r="R101" s="29">
        <f>$C$52</f>
        <v>0</v>
      </c>
      <c r="S101" s="29">
        <f>$C$52</f>
        <v>0</v>
      </c>
      <c r="T101" s="29">
        <f>$C$52</f>
        <v>0</v>
      </c>
      <c r="U101" s="29">
        <f>$C$52</f>
        <v>0</v>
      </c>
      <c r="V101" s="29">
        <f>$C$52</f>
        <v>0</v>
      </c>
      <c r="W101" s="29">
        <f>$C$52</f>
        <v>0</v>
      </c>
      <c r="X101" s="29">
        <f>$C$52</f>
        <v>0</v>
      </c>
      <c r="Y101" s="29">
        <f>$C$52</f>
        <v>0</v>
      </c>
      <c r="Z101" s="29">
        <f>$C$52</f>
        <v>0</v>
      </c>
      <c r="AA101" s="29">
        <f>$C$52</f>
        <v>0</v>
      </c>
      <c r="AB101" s="29">
        <f>$C$52</f>
        <v>0</v>
      </c>
      <c r="AC101" s="29">
        <f>$C$52</f>
        <v>0</v>
      </c>
    </row>
    <row r="103" ht="20" customHeight="1" spans="1:29" x14ac:dyDescent="0.25">
      <c r="A103" s="21" t="s">
        <v>188</v>
      </c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1:29" x14ac:dyDescent="0.25">
      <c r="A104" s="33" t="s">
        <v>100</v>
      </c>
      <c r="B104" s="26" t="s">
        <v>88</v>
      </c>
      <c r="E104" s="60">
        <f>(1+$C$30)^(E$5-1)</f>
        <v>1</v>
      </c>
      <c r="F104" s="60">
        <f>(1+$C$30)^(F$5-1)</f>
        <v>1</v>
      </c>
      <c r="G104" s="60">
        <f>(1+$C$30)^(G$5-1)</f>
        <v>1</v>
      </c>
      <c r="H104" s="60">
        <f>(1+$C$30)^(H$5-1)</f>
        <v>1</v>
      </c>
      <c r="I104" s="60">
        <f>(1+$C$30)^(I$5-1)</f>
        <v>1</v>
      </c>
      <c r="J104" s="60">
        <f>(1+$C$30)^(J$5-1)</f>
        <v>1</v>
      </c>
      <c r="K104" s="60">
        <f>(1+$C$30)^(K$5-1)</f>
        <v>1</v>
      </c>
      <c r="L104" s="60">
        <f>(1+$C$30)^(L$5-1)</f>
        <v>1</v>
      </c>
      <c r="M104" s="60">
        <f>(1+$C$30)^(M$5-1)</f>
        <v>1</v>
      </c>
      <c r="N104" s="60">
        <f>(1+$C$30)^(N$5-1)</f>
        <v>1</v>
      </c>
      <c r="O104" s="60">
        <f>(1+$C$30)^(O$5-1)</f>
        <v>1</v>
      </c>
      <c r="P104" s="60">
        <f>(1+$C$30)^(P$5-1)</f>
        <v>1</v>
      </c>
      <c r="Q104" s="60">
        <f>(1+$C$30)^(Q$5-1)</f>
        <v>1</v>
      </c>
      <c r="R104" s="60">
        <f>(1+$C$30)^(R$5-1)</f>
        <v>1</v>
      </c>
      <c r="S104" s="60">
        <f>(1+$C$30)^(S$5-1)</f>
        <v>1</v>
      </c>
      <c r="T104" s="60">
        <f>(1+$C$30)^(T$5-1)</f>
        <v>1</v>
      </c>
      <c r="U104" s="60">
        <f>(1+$C$30)^(U$5-1)</f>
        <v>1</v>
      </c>
      <c r="V104" s="60">
        <f>(1+$C$30)^(V$5-1)</f>
        <v>1</v>
      </c>
      <c r="W104" s="60">
        <f>(1+$C$30)^(W$5-1)</f>
        <v>1</v>
      </c>
      <c r="X104" s="60">
        <f>(1+$C$30)^(X$5-1)</f>
        <v>1</v>
      </c>
      <c r="Y104" s="60">
        <f>(1+$C$30)^(Y$5-1)</f>
        <v>1</v>
      </c>
      <c r="Z104" s="60">
        <f>(1+$C$30)^(Z$5-1)</f>
        <v>1</v>
      </c>
      <c r="AA104" s="60">
        <f>(1+$C$30)^(AA$5-1)</f>
        <v>1</v>
      </c>
      <c r="AB104" s="60">
        <f>(1+$C$30)^(AB$5-1)</f>
        <v>1</v>
      </c>
      <c r="AC104" s="60">
        <f>(1+$C$30)^(AC$5-1)</f>
        <v>1</v>
      </c>
    </row>
    <row r="105" spans="1:29" x14ac:dyDescent="0.25">
      <c r="A105" s="33" t="s">
        <v>189</v>
      </c>
      <c r="B105" s="26" t="s">
        <v>88</v>
      </c>
      <c r="E105" s="60">
        <f>(1+$C$47)^(E$5-1)</f>
        <v>1</v>
      </c>
      <c r="F105" s="60">
        <f>(1+$C$47)^(F$5-1)</f>
        <v>1.05</v>
      </c>
      <c r="G105" s="60">
        <f>(1+$C$47)^(G$5-1)</f>
        <v>1.1025</v>
      </c>
      <c r="H105" s="60">
        <f>(1+$C$47)^(H$5-1)</f>
        <v>1.1576250000000001</v>
      </c>
      <c r="I105" s="60">
        <f>(1+$C$47)^(I$5-1)</f>
        <v>1.2155062500000002</v>
      </c>
      <c r="J105" s="60">
        <f>(1+$C$47)^(J$5-1)</f>
        <v>1.2762815625000004</v>
      </c>
      <c r="K105" s="60">
        <f>(1+$C$47)^(K$5-1)</f>
        <v>1.3400956406250004</v>
      </c>
      <c r="L105" s="60">
        <f>(1+$C$47)^(L$5-1)</f>
        <v>1.4071004226562505</v>
      </c>
      <c r="M105" s="60">
        <f>(1+$C$47)^(M$5-1)</f>
        <v>1.477455443789063</v>
      </c>
      <c r="N105" s="60">
        <f>(1+$C$47)^(N$5-1)</f>
        <v>1.5513282159785162</v>
      </c>
      <c r="O105" s="60">
        <f>(1+$C$47)^(O$5-1)</f>
        <v>1.6288946267774422</v>
      </c>
      <c r="P105" s="60">
        <f>(1+$C$47)^(P$5-1)</f>
        <v>1.7103393581163142</v>
      </c>
      <c r="Q105" s="60">
        <f>(1+$C$47)^(Q$5-1)</f>
        <v>1.79585632602213</v>
      </c>
      <c r="R105" s="60">
        <f>(1+$C$47)^(R$5-1)</f>
        <v>1.8856491423232367</v>
      </c>
      <c r="S105" s="60">
        <f>(1+$C$47)^(S$5-1)</f>
        <v>1.9799315994393987</v>
      </c>
      <c r="T105" s="60">
        <f>(1+$C$47)^(T$5-1)</f>
        <v>2.0789281794113688</v>
      </c>
      <c r="U105" s="60">
        <f>(1+$C$47)^(U$5-1)</f>
        <v>2.182874588381937</v>
      </c>
      <c r="V105" s="60">
        <f>(1+$C$47)^(V$5-1)</f>
        <v>2.292018317801034</v>
      </c>
      <c r="W105" s="60">
        <f>(1+$C$47)^(W$5-1)</f>
        <v>2.406619233691086</v>
      </c>
      <c r="X105" s="60">
        <f>(1+$C$47)^(X$5-1)</f>
        <v>2.5269501953756404</v>
      </c>
      <c r="Y105" s="60">
        <f>(1+$C$47)^(Y$5-1)</f>
        <v>2.653297705144422</v>
      </c>
      <c r="Z105" s="60">
        <f>(1+$C$47)^(Z$5-1)</f>
        <v>2.7859625904016436</v>
      </c>
      <c r="AA105" s="60">
        <f>(1+$C$47)^(AA$5-1)</f>
        <v>2.925260719921726</v>
      </c>
      <c r="AB105" s="60">
        <f>(1+$C$47)^(AB$5-1)</f>
        <v>3.0715237559178123</v>
      </c>
      <c r="AC105" s="60">
        <f>(1+$C$47)^(AC$5-1)</f>
        <v>3.225099943713703</v>
      </c>
    </row>
    <row r="106" spans="1:29" x14ac:dyDescent="0.25">
      <c r="A106" s="33" t="s">
        <v>190</v>
      </c>
      <c r="B106" s="26" t="s">
        <v>88</v>
      </c>
      <c r="E106" s="60">
        <f>(1-$C$60)^(E$5-1)</f>
        <v>1</v>
      </c>
      <c r="F106" s="60">
        <f>(1-$C$60)^(F$5-1)</f>
        <v>1</v>
      </c>
      <c r="G106" s="60">
        <f>(1-$C$60)^(G$5-1)</f>
        <v>1</v>
      </c>
      <c r="H106" s="60">
        <f>(1-$C$60)^(H$5-1)</f>
        <v>1</v>
      </c>
      <c r="I106" s="60">
        <f>(1-$C$60)^(I$5-1)</f>
        <v>1</v>
      </c>
      <c r="J106" s="60">
        <f>(1-$C$60)^(J$5-1)</f>
        <v>1</v>
      </c>
      <c r="K106" s="60">
        <f>(1-$C$60)^(K$5-1)</f>
        <v>1</v>
      </c>
      <c r="L106" s="60">
        <f>(1-$C$60)^(L$5-1)</f>
        <v>1</v>
      </c>
      <c r="M106" s="60">
        <f>(1-$C$60)^(M$5-1)</f>
        <v>1</v>
      </c>
      <c r="N106" s="60">
        <f>(1-$C$60)^(N$5-1)</f>
        <v>1</v>
      </c>
      <c r="O106" s="60">
        <f>(1-$C$60)^(O$5-1)</f>
        <v>1</v>
      </c>
      <c r="P106" s="60">
        <f>(1-$C$60)^(P$5-1)</f>
        <v>1</v>
      </c>
      <c r="Q106" s="60">
        <f>(1-$C$60)^(Q$5-1)</f>
        <v>1</v>
      </c>
      <c r="R106" s="60">
        <f>(1-$C$60)^(R$5-1)</f>
        <v>1</v>
      </c>
      <c r="S106" s="60">
        <f>(1-$C$60)^(S$5-1)</f>
        <v>1</v>
      </c>
      <c r="T106" s="60">
        <f>(1-$C$60)^(T$5-1)</f>
        <v>1</v>
      </c>
      <c r="U106" s="60">
        <f>(1-$C$60)^(U$5-1)</f>
        <v>1</v>
      </c>
      <c r="V106" s="60">
        <f>(1-$C$60)^(V$5-1)</f>
        <v>1</v>
      </c>
      <c r="W106" s="60">
        <f>(1-$C$60)^(W$5-1)</f>
        <v>1</v>
      </c>
      <c r="X106" s="60">
        <f>(1-$C$60)^(X$5-1)</f>
        <v>1</v>
      </c>
      <c r="Y106" s="60">
        <f>(1-$C$60)^(Y$5-1)</f>
        <v>1</v>
      </c>
      <c r="Z106" s="60">
        <f>(1-$C$60)^(Z$5-1)</f>
        <v>1</v>
      </c>
      <c r="AA106" s="60">
        <f>(1-$C$60)^(AA$5-1)</f>
        <v>1</v>
      </c>
      <c r="AB106" s="60">
        <f>(1-$C$60)^(AB$5-1)</f>
        <v>1</v>
      </c>
      <c r="AC106" s="60">
        <f>(1-$C$60)^(AC$5-1)</f>
        <v>1</v>
      </c>
    </row>
    <row r="107" spans="1:29" x14ac:dyDescent="0.25">
      <c r="A107" s="33" t="s">
        <v>191</v>
      </c>
      <c r="B107" s="26" t="s">
        <v>88</v>
      </c>
      <c r="E107" s="60">
        <f>1/(1+$C$67)^E$5</f>
        <v>0.9090909090909091</v>
      </c>
      <c r="F107" s="60">
        <f>1/(1+$C$67)^F$5</f>
        <v>0.8264462809917354</v>
      </c>
      <c r="G107" s="60">
        <f>1/(1+$C$67)^G$5</f>
        <v>0.7513148009015775</v>
      </c>
      <c r="H107" s="60">
        <f>1/(1+$C$67)^H$5</f>
        <v>0.6830134553650704</v>
      </c>
      <c r="I107" s="60">
        <f>1/(1+$C$67)^I$5</f>
        <v>0.6209213230591549</v>
      </c>
      <c r="J107" s="60">
        <f>1/(1+$C$67)^J$5</f>
        <v>0.5644739300537772</v>
      </c>
      <c r="K107" s="60">
        <f>1/(1+$C$67)^K$5</f>
        <v>0.5131581182307065</v>
      </c>
      <c r="L107" s="60">
        <f>1/(1+$C$67)^L$5</f>
        <v>0.4665073802097331</v>
      </c>
      <c r="M107" s="60">
        <f>1/(1+$C$67)^M$5</f>
        <v>0.42409761837248455</v>
      </c>
      <c r="N107" s="60">
        <f>1/(1+$C$67)^N$5</f>
        <v>0.3855432894295314</v>
      </c>
      <c r="O107" s="60">
        <f>1/(1+$C$67)^O$5</f>
        <v>0.3504938994813922</v>
      </c>
      <c r="P107" s="60">
        <f>1/(1+$C$67)^P$5</f>
        <v>0.3186308177103565</v>
      </c>
      <c r="Q107" s="60">
        <f>1/(1+$C$67)^Q$5</f>
        <v>0.2896643797366877</v>
      </c>
      <c r="R107" s="60">
        <f>1/(1+$C$67)^R$5</f>
        <v>0.26333125430607973</v>
      </c>
      <c r="S107" s="60">
        <f>1/(1+$C$67)^S$5</f>
        <v>0.23939204936916333</v>
      </c>
      <c r="T107" s="60">
        <f>1/(1+$C$67)^T$5</f>
        <v>0.2176291357901485</v>
      </c>
      <c r="U107" s="60">
        <f>1/(1+$C$67)^U$5</f>
        <v>0.19784466890013497</v>
      </c>
      <c r="V107" s="60">
        <f>1/(1+$C$67)^V$5</f>
        <v>0.17985878990921358</v>
      </c>
      <c r="W107" s="60">
        <f>1/(1+$C$67)^W$5</f>
        <v>0.16350799082655781</v>
      </c>
      <c r="X107" s="60">
        <f>1/(1+$C$67)^X$5</f>
        <v>0.14864362802414344</v>
      </c>
      <c r="Y107" s="60">
        <f>1/(1+$C$67)^Y$5</f>
        <v>0.13513057093103947</v>
      </c>
      <c r="Z107" s="60">
        <f>1/(1+$C$67)^Z$5</f>
        <v>0.12284597357367225</v>
      </c>
      <c r="AA107" s="60">
        <f>1/(1+$C$67)^AA$5</f>
        <v>0.11167815779424749</v>
      </c>
      <c r="AB107" s="60">
        <f>1/(1+$C$67)^AB$5</f>
        <v>0.10152559799477044</v>
      </c>
      <c r="AC107" s="60">
        <f>1/(1+$C$67)^AC$5</f>
        <v>0.09229599817706403</v>
      </c>
    </row>
    <row r="109" ht="20" customHeight="1" spans="1:29" x14ac:dyDescent="0.25">
      <c r="A109" s="21" t="s">
        <v>192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1:29" x14ac:dyDescent="0.25">
      <c r="A110" s="33" t="s">
        <v>100</v>
      </c>
      <c r="B110" s="26" t="s">
        <v>82</v>
      </c>
      <c r="E110" s="29">
        <f>$C$29*E104</f>
        <v>6.862973373281048</v>
      </c>
      <c r="F110" s="29">
        <f>$C$29*F104</f>
        <v>6.862973373281048</v>
      </c>
      <c r="G110" s="29">
        <f>$C$29*G104</f>
        <v>6.862973373281048</v>
      </c>
      <c r="H110" s="29">
        <f>$C$29*H104</f>
        <v>6.862973373281048</v>
      </c>
      <c r="I110" s="29">
        <f>$C$29*I104</f>
        <v>6.862973373281048</v>
      </c>
      <c r="J110" s="29">
        <f>$C$29*J104</f>
        <v>6.862973373281048</v>
      </c>
      <c r="K110" s="29">
        <f>$C$29*K104</f>
        <v>6.862973373281048</v>
      </c>
      <c r="L110" s="29">
        <f>$C$29*L104</f>
        <v>6.862973373281048</v>
      </c>
      <c r="M110" s="29">
        <f>$C$29*M104</f>
        <v>6.862973373281048</v>
      </c>
      <c r="N110" s="29">
        <f>$C$29*N104</f>
        <v>6.862973373281048</v>
      </c>
      <c r="O110" s="29">
        <f>$C$29*O104</f>
        <v>6.862973373281048</v>
      </c>
      <c r="P110" s="29">
        <f>$C$29*P104</f>
        <v>6.862973373281048</v>
      </c>
      <c r="Q110" s="29">
        <f>$C$29*Q104</f>
        <v>6.862973373281048</v>
      </c>
      <c r="R110" s="29">
        <f>$C$29*R104</f>
        <v>6.862973373281048</v>
      </c>
      <c r="S110" s="29">
        <f>$C$29*S104</f>
        <v>6.862973373281048</v>
      </c>
      <c r="T110" s="29">
        <f>$C$29*T104</f>
        <v>6.862973373281048</v>
      </c>
      <c r="U110" s="29">
        <f>$C$29*U104</f>
        <v>6.862973373281048</v>
      </c>
      <c r="V110" s="29">
        <f>$C$29*V104</f>
        <v>6.862973373281048</v>
      </c>
      <c r="W110" s="29">
        <f>$C$29*W104</f>
        <v>6.862973373281048</v>
      </c>
      <c r="X110" s="29">
        <f>$C$29*X104</f>
        <v>6.862973373281048</v>
      </c>
      <c r="Y110" s="29">
        <f>$C$29*Y104</f>
        <v>6.862973373281048</v>
      </c>
      <c r="Z110" s="29">
        <f>$C$29*Z104</f>
        <v>6.862973373281048</v>
      </c>
      <c r="AA110" s="29">
        <f>$C$29*AA104</f>
        <v>6.862973373281048</v>
      </c>
      <c r="AB110" s="29">
        <f>$C$29*AB104</f>
        <v>6.862973373281048</v>
      </c>
      <c r="AC110" s="29">
        <f>$C$29*AC104</f>
        <v>6.862973373281048</v>
      </c>
    </row>
    <row r="111" spans="1:29" x14ac:dyDescent="0.25">
      <c r="A111" s="33" t="s">
        <v>193</v>
      </c>
      <c r="B111" s="26" t="s">
        <v>86</v>
      </c>
      <c r="C111" s="57">
        <f>SUM(E111:AC111)</f>
        <v>26377.020189584142</v>
      </c>
      <c r="E111" s="37">
        <f>E96*E110/10</f>
        <v>1070.257028483849</v>
      </c>
      <c r="F111" s="37">
        <f>F96*F110/10</f>
        <v>1068.9923434088084</v>
      </c>
      <c r="G111" s="37">
        <f>G96*G110/10</f>
        <v>1067.7276583337682</v>
      </c>
      <c r="H111" s="37">
        <f>H96*H110/10</f>
        <v>1066.462973258728</v>
      </c>
      <c r="I111" s="37">
        <f>I96*I110/10</f>
        <v>1065.1982881836877</v>
      </c>
      <c r="J111" s="37">
        <f>J96*J110/10</f>
        <v>1063.9336031086475</v>
      </c>
      <c r="K111" s="37">
        <f>K96*K110/10</f>
        <v>1062.6689180336073</v>
      </c>
      <c r="L111" s="37">
        <f>L96*L110/10</f>
        <v>1061.4042329585668</v>
      </c>
      <c r="M111" s="37">
        <f>M96*M110/10</f>
        <v>1060.1395478835268</v>
      </c>
      <c r="N111" s="37">
        <f>N96*N110/10</f>
        <v>1058.8748628084866</v>
      </c>
      <c r="O111" s="37">
        <f>O96*O110/10</f>
        <v>1057.6101777334463</v>
      </c>
      <c r="P111" s="37">
        <f>P96*P110/10</f>
        <v>1056.345492658406</v>
      </c>
      <c r="Q111" s="37">
        <f>Q96*Q110/10</f>
        <v>1055.0808075833656</v>
      </c>
      <c r="R111" s="37">
        <f>R96*R110/10</f>
        <v>1053.8161225083254</v>
      </c>
      <c r="S111" s="37">
        <f>S96*S110/10</f>
        <v>1052.5514374332852</v>
      </c>
      <c r="T111" s="37">
        <f>T96*T110/10</f>
        <v>1051.286752358245</v>
      </c>
      <c r="U111" s="37">
        <f>U96*U110/10</f>
        <v>1050.0220672832047</v>
      </c>
      <c r="V111" s="37">
        <f>V96*V110/10</f>
        <v>1048.7573822081645</v>
      </c>
      <c r="W111" s="37">
        <f>W96*W110/10</f>
        <v>1047.4926971331242</v>
      </c>
      <c r="X111" s="37">
        <f>X96*X110/10</f>
        <v>1046.228012058084</v>
      </c>
      <c r="Y111" s="37">
        <f>Y96*Y110/10</f>
        <v>1044.9633269830438</v>
      </c>
      <c r="Z111" s="37">
        <f>Z96*Z110/10</f>
        <v>1043.6986419080035</v>
      </c>
      <c r="AA111" s="37">
        <f>AA96*AA110/10</f>
        <v>1042.4339568329633</v>
      </c>
      <c r="AB111" s="37">
        <f>AB96*AB110/10</f>
        <v>1041.169271757923</v>
      </c>
      <c r="AC111" s="37">
        <f>AC96*AC110/10</f>
        <v>1039.9045866828826</v>
      </c>
    </row>
    <row r="112" spans="1:29" x14ac:dyDescent="0.25">
      <c r="A112" s="33" t="s">
        <v>194</v>
      </c>
      <c r="B112" s="26" t="s">
        <v>86</v>
      </c>
      <c r="C112" s="57">
        <f>SUM(E112:AC112)</f>
        <v>0</v>
      </c>
      <c r="E112" s="37">
        <f>IF($C$51="Yes",E100*E101/10,0)</f>
        <v>0</v>
      </c>
      <c r="F112" s="37">
        <f>IF($C$51="Yes",F100*F101/10,0)</f>
        <v>0</v>
      </c>
      <c r="G112" s="37">
        <f>IF($C$51="Yes",G100*G101/10,0)</f>
        <v>0</v>
      </c>
      <c r="H112" s="37">
        <f>IF($C$51="Yes",H100*H101/10,0)</f>
        <v>0</v>
      </c>
      <c r="I112" s="37">
        <f>IF($C$51="Yes",I100*I101/10,0)</f>
        <v>0</v>
      </c>
      <c r="J112" s="37">
        <f>IF($C$51="Yes",J100*J101/10,0)</f>
        <v>0</v>
      </c>
      <c r="K112" s="37">
        <f>IF($C$51="Yes",K100*K101/10,0)</f>
        <v>0</v>
      </c>
      <c r="L112" s="37">
        <f>IF($C$51="Yes",L100*L101/10,0)</f>
        <v>0</v>
      </c>
      <c r="M112" s="37">
        <f>IF($C$51="Yes",M100*M101/10,0)</f>
        <v>0</v>
      </c>
      <c r="N112" s="37">
        <f>IF($C$51="Yes",N100*N101/10,0)</f>
        <v>0</v>
      </c>
      <c r="O112" s="37">
        <f>IF($C$51="Yes",O100*O101/10,0)</f>
        <v>0</v>
      </c>
      <c r="P112" s="37">
        <f>IF($C$51="Yes",P100*P101/10,0)</f>
        <v>0</v>
      </c>
      <c r="Q112" s="37">
        <f>IF($C$51="Yes",Q100*Q101/10,0)</f>
        <v>0</v>
      </c>
      <c r="R112" s="37">
        <f>IF($C$51="Yes",R100*R101/10,0)</f>
        <v>0</v>
      </c>
      <c r="S112" s="37">
        <f>IF($C$51="Yes",S100*S101/10,0)</f>
        <v>0</v>
      </c>
      <c r="T112" s="37">
        <f>IF($C$51="Yes",T100*T101/10,0)</f>
        <v>0</v>
      </c>
      <c r="U112" s="37">
        <f>IF($C$51="Yes",U100*U101/10,0)</f>
        <v>0</v>
      </c>
      <c r="V112" s="37">
        <f>IF($C$51="Yes",V100*V101/10,0)</f>
        <v>0</v>
      </c>
      <c r="W112" s="37">
        <f>IF($C$51="Yes",W100*W101/10,0)</f>
        <v>0</v>
      </c>
      <c r="X112" s="37">
        <f>IF($C$51="Yes",X100*X101/10,0)</f>
        <v>0</v>
      </c>
      <c r="Y112" s="37">
        <f>IF($C$51="Yes",Y100*Y101/10,0)</f>
        <v>0</v>
      </c>
      <c r="Z112" s="37">
        <f>IF($C$51="Yes",Z100*Z101/10,0)</f>
        <v>0</v>
      </c>
      <c r="AA112" s="37">
        <f>IF($C$51="Yes",AA100*AA101/10,0)</f>
        <v>0</v>
      </c>
      <c r="AB112" s="37">
        <f>IF($C$51="Yes",AB100*AB101/10,0)</f>
        <v>0</v>
      </c>
      <c r="AC112" s="37">
        <f>IF($C$51="Yes",AC100*AC101/10,0)</f>
        <v>0</v>
      </c>
    </row>
    <row r="113" spans="1:29" x14ac:dyDescent="0.25">
      <c r="A113" s="33" t="s">
        <v>139</v>
      </c>
      <c r="B113" s="26" t="s">
        <v>86</v>
      </c>
      <c r="C113" s="57">
        <f>SUM(E113:AC113)</f>
        <v>0</v>
      </c>
      <c r="E113" s="37">
        <f>E98*$C$54/10</f>
        <v>0</v>
      </c>
      <c r="F113" s="37">
        <f>F98*$C$54/10</f>
        <v>0</v>
      </c>
      <c r="G113" s="37">
        <f>G98*$C$54/10</f>
        <v>0</v>
      </c>
      <c r="H113" s="37">
        <f>H98*$C$54/10</f>
        <v>0</v>
      </c>
      <c r="I113" s="37">
        <f>I98*$C$54/10</f>
        <v>0</v>
      </c>
      <c r="J113" s="37">
        <f>J98*$C$54/10</f>
        <v>0</v>
      </c>
      <c r="K113" s="37">
        <f>K98*$C$54/10</f>
        <v>0</v>
      </c>
      <c r="L113" s="37">
        <f>L98*$C$54/10</f>
        <v>0</v>
      </c>
      <c r="M113" s="37">
        <f>M98*$C$54/10</f>
        <v>0</v>
      </c>
      <c r="N113" s="37">
        <f>N98*$C$54/10</f>
        <v>0</v>
      </c>
      <c r="O113" s="37">
        <f>O98*$C$54/10</f>
        <v>0</v>
      </c>
      <c r="P113" s="37">
        <f>P98*$C$54/10</f>
        <v>0</v>
      </c>
      <c r="Q113" s="37">
        <f>Q98*$C$54/10</f>
        <v>0</v>
      </c>
      <c r="R113" s="37">
        <f>R98*$C$54/10</f>
        <v>0</v>
      </c>
      <c r="S113" s="37">
        <f>S98*$C$54/10</f>
        <v>0</v>
      </c>
      <c r="T113" s="37">
        <f>T98*$C$54/10</f>
        <v>0</v>
      </c>
      <c r="U113" s="37">
        <f>U98*$C$54/10</f>
        <v>0</v>
      </c>
      <c r="V113" s="37">
        <f>V98*$C$54/10</f>
        <v>0</v>
      </c>
      <c r="W113" s="37">
        <f>W98*$C$54/10</f>
        <v>0</v>
      </c>
      <c r="X113" s="37">
        <f>X98*$C$54/10</f>
        <v>0</v>
      </c>
      <c r="Y113" s="37">
        <f>Y98*$C$54/10</f>
        <v>0</v>
      </c>
      <c r="Z113" s="37">
        <f>Z98*$C$54/10</f>
        <v>0</v>
      </c>
      <c r="AA113" s="37">
        <f>AA98*$C$54/10</f>
        <v>0</v>
      </c>
      <c r="AB113" s="37">
        <f>AB98*$C$54/10</f>
        <v>0</v>
      </c>
      <c r="AC113" s="37">
        <f>AC98*$C$54/10</f>
        <v>0</v>
      </c>
    </row>
    <row r="114" spans="1:29" x14ac:dyDescent="0.25">
      <c r="A114" s="33" t="s">
        <v>141</v>
      </c>
      <c r="B114" s="26" t="s">
        <v>86</v>
      </c>
      <c r="C114" s="57">
        <f>SUM(E114:AC114)</f>
        <v>2595.2495322521986</v>
      </c>
      <c r="E114" s="37">
        <f>E99*$C$55*E110/10</f>
        <v>96.7748485658037</v>
      </c>
      <c r="F114" s="37">
        <f>F99*$C$55*F110/10</f>
        <v>97.36110962616071</v>
      </c>
      <c r="G114" s="37">
        <f>G99*$C$55*G110/10</f>
        <v>97.94737068651771</v>
      </c>
      <c r="H114" s="37">
        <f>H99*$C$55*H110/10</f>
        <v>98.53363174687475</v>
      </c>
      <c r="I114" s="37">
        <f>I99*$C$55*I110/10</f>
        <v>99.11989280723179</v>
      </c>
      <c r="J114" s="37">
        <f>J99*$C$55*J110/10</f>
        <v>99.7061538675888</v>
      </c>
      <c r="K114" s="37">
        <f>K99*$C$55*K110/10</f>
        <v>100.29241492794584</v>
      </c>
      <c r="L114" s="37">
        <f>L99*$C$55*L110/10</f>
        <v>100.87867598830285</v>
      </c>
      <c r="M114" s="37">
        <f>M99*$C$55*M110/10</f>
        <v>101.46493704865988</v>
      </c>
      <c r="N114" s="37">
        <f>N99*$C$55*N110/10</f>
        <v>102.0511981090169</v>
      </c>
      <c r="O114" s="37">
        <f>O99*$C$55*O110/10</f>
        <v>102.6374591693739</v>
      </c>
      <c r="P114" s="37">
        <f>P99*$C$55*P110/10</f>
        <v>103.22372022973096</v>
      </c>
      <c r="Q114" s="37">
        <f>Q99*$C$55*Q110/10</f>
        <v>103.80998129008796</v>
      </c>
      <c r="R114" s="37">
        <f>R99*$C$55*R110/10</f>
        <v>104.39624235044498</v>
      </c>
      <c r="S114" s="37">
        <f>S99*$C$55*S110/10</f>
        <v>104.982503410802</v>
      </c>
      <c r="T114" s="37">
        <f>T99*$C$55*T110/10</f>
        <v>105.56876447115903</v>
      </c>
      <c r="U114" s="37">
        <f>U99*$C$55*U110/10</f>
        <v>106.15502553151605</v>
      </c>
      <c r="V114" s="37">
        <f>V99*$C$55*V110/10</f>
        <v>106.74128659187306</v>
      </c>
      <c r="W114" s="37">
        <f>W99*$C$55*W110/10</f>
        <v>107.32754765223008</v>
      </c>
      <c r="X114" s="37">
        <f>X99*$C$55*X110/10</f>
        <v>107.91380871258711</v>
      </c>
      <c r="Y114" s="37">
        <f>Y99*$C$55*Y110/10</f>
        <v>108.50006977294413</v>
      </c>
      <c r="Z114" s="37">
        <f>Z99*$C$55*Z110/10</f>
        <v>109.08633083330115</v>
      </c>
      <c r="AA114" s="37">
        <f>AA99*$C$55*AA110/10</f>
        <v>109.67259189365821</v>
      </c>
      <c r="AB114" s="37">
        <f>AB99*$C$55*AB110/10</f>
        <v>110.25885295401523</v>
      </c>
      <c r="AC114" s="37">
        <f>AC99*$C$55*AC110/10</f>
        <v>110.84511401437223</v>
      </c>
    </row>
    <row r="115" spans="1:29" x14ac:dyDescent="0.25">
      <c r="A115" s="61" t="s">
        <v>195</v>
      </c>
      <c r="B115" s="62" t="s">
        <v>86</v>
      </c>
      <c r="C115" s="63">
        <f>SUM(E115:AC115)</f>
        <v>23781.770657331952</v>
      </c>
      <c r="D115" s="64"/>
      <c r="E115" s="63">
        <f>E111+E112-E113-E114</f>
        <v>973.4821799180452</v>
      </c>
      <c r="F115" s="63">
        <f>F111+F112-F113-F114</f>
        <v>971.6312337826478</v>
      </c>
      <c r="G115" s="63">
        <f>G111+G112-G113-G114</f>
        <v>969.7802876472505</v>
      </c>
      <c r="H115" s="63">
        <f>H111+H112-H113-H114</f>
        <v>967.9293415118532</v>
      </c>
      <c r="I115" s="63">
        <f>I111+I112-I113-I114</f>
        <v>966.078395376456</v>
      </c>
      <c r="J115" s="63">
        <f>J111+J112-J113-J114</f>
        <v>964.2274492410587</v>
      </c>
      <c r="K115" s="63">
        <f>K111+K112-K113-K114</f>
        <v>962.3765031056614</v>
      </c>
      <c r="L115" s="63">
        <f>L111+L112-L113-L114</f>
        <v>960.525556970264</v>
      </c>
      <c r="M115" s="63">
        <f>M111+M112-M113-M114</f>
        <v>958.6746108348669</v>
      </c>
      <c r="N115" s="63">
        <f>N111+N112-N113-N114</f>
        <v>956.8236646994696</v>
      </c>
      <c r="O115" s="63">
        <f>O111+O112-O113-O114</f>
        <v>954.9727185640725</v>
      </c>
      <c r="P115" s="63">
        <f>P111+P112-P113-P114</f>
        <v>953.1217724286752</v>
      </c>
      <c r="Q115" s="63">
        <f>Q111+Q112-Q113-Q114</f>
        <v>951.2708262932777</v>
      </c>
      <c r="R115" s="63">
        <f>R111+R112-R113-R114</f>
        <v>949.4198801578805</v>
      </c>
      <c r="S115" s="63">
        <f>S111+S112-S113-S114</f>
        <v>947.5689340224832</v>
      </c>
      <c r="T115" s="63">
        <f>T111+T112-T113-T114</f>
        <v>945.7179878870859</v>
      </c>
      <c r="U115" s="63">
        <f>U111+U112-U113-U114</f>
        <v>943.8670417516887</v>
      </c>
      <c r="V115" s="63">
        <f>V111+V112-V113-V114</f>
        <v>942.0160956162914</v>
      </c>
      <c r="W115" s="63">
        <f>W111+W112-W113-W114</f>
        <v>940.1651494808941</v>
      </c>
      <c r="X115" s="63">
        <f>X111+X112-X113-X114</f>
        <v>938.3142033454969</v>
      </c>
      <c r="Y115" s="63">
        <f>Y111+Y112-Y113-Y114</f>
        <v>936.4632572100996</v>
      </c>
      <c r="Z115" s="63">
        <f>Z111+Z112-Z113-Z114</f>
        <v>934.6123110747023</v>
      </c>
      <c r="AA115" s="63">
        <f>AA111+AA112-AA113-AA114</f>
        <v>932.761364939305</v>
      </c>
      <c r="AB115" s="63">
        <f>AB111+AB112-AB113-AB114</f>
        <v>930.9104188039079</v>
      </c>
      <c r="AC115" s="63">
        <f>AC111+AC112-AC113-AC114</f>
        <v>929.0594726685104</v>
      </c>
    </row>
    <row r="117" ht="20" customHeight="1" spans="1:29" x14ac:dyDescent="0.25">
      <c r="A117" s="21" t="s">
        <v>196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1:29" x14ac:dyDescent="0.25">
      <c r="A118" s="33" t="s">
        <v>120</v>
      </c>
      <c r="B118" s="26" t="s">
        <v>86</v>
      </c>
      <c r="C118" s="57">
        <f>SUM(E118:AC118)</f>
        <v>974.6691109205786</v>
      </c>
      <c r="E118" s="37">
        <f>$C$32*$C$44/100*E105</f>
        <v>20.42171292744152</v>
      </c>
      <c r="F118" s="37">
        <f>$C$32*$C$44/100*F105</f>
        <v>21.442798573813594</v>
      </c>
      <c r="G118" s="37">
        <f>$C$32*$C$44/100*G105</f>
        <v>22.514938502504275</v>
      </c>
      <c r="H118" s="37">
        <f>$C$32*$C$44/100*H105</f>
        <v>23.640685427629492</v>
      </c>
      <c r="I118" s="37">
        <f>$C$32*$C$44/100*I105</f>
        <v>24.822719699010968</v>
      </c>
      <c r="J118" s="37">
        <f>$C$32*$C$44/100*J105</f>
        <v>26.063855683961517</v>
      </c>
      <c r="K118" s="37">
        <f>$C$32*$C$44/100*K105</f>
        <v>27.367048468159595</v>
      </c>
      <c r="L118" s="37">
        <f>$C$32*$C$44/100*L105</f>
        <v>28.735400891567576</v>
      </c>
      <c r="M118" s="37">
        <f>$C$32*$C$44/100*M105</f>
        <v>30.172170936145953</v>
      </c>
      <c r="N118" s="37">
        <f>$C$32*$C$44/100*N105</f>
        <v>31.680779482953252</v>
      </c>
      <c r="O118" s="37">
        <f>$C$32*$C$44/100*O105</f>
        <v>33.26481845710092</v>
      </c>
      <c r="P118" s="37">
        <f>$C$32*$C$44/100*P105</f>
        <v>34.92805937995596</v>
      </c>
      <c r="Q118" s="37">
        <f>$C$32*$C$44/100*Q105</f>
        <v>36.67446234895377</v>
      </c>
      <c r="R118" s="37">
        <f>$C$32*$C$44/100*R105</f>
        <v>38.50818546640146</v>
      </c>
      <c r="S118" s="37">
        <f>$C$32*$C$44/100*S105</f>
        <v>40.43359473972153</v>
      </c>
      <c r="T118" s="37">
        <f>$C$32*$C$44/100*T105</f>
        <v>42.45527447670761</v>
      </c>
      <c r="U118" s="37">
        <f>$C$32*$C$44/100*U105</f>
        <v>44.578038200542984</v>
      </c>
      <c r="V118" s="37">
        <f>$C$32*$C$44/100*V105</f>
        <v>46.80694011057014</v>
      </c>
      <c r="W118" s="37">
        <f>$C$32*$C$44/100*W105</f>
        <v>49.14728711609865</v>
      </c>
      <c r="X118" s="37">
        <f>$C$32*$C$44/100*X105</f>
        <v>51.60465147190359</v>
      </c>
      <c r="Y118" s="37">
        <f>$C$32*$C$44/100*Y105</f>
        <v>54.18488404549876</v>
      </c>
      <c r="Z118" s="37">
        <f>$C$32*$C$44/100*Z105</f>
        <v>56.89412824777371</v>
      </c>
      <c r="AA118" s="37">
        <f>$C$32*$C$44/100*AA105</f>
        <v>59.7388346601624</v>
      </c>
      <c r="AB118" s="37">
        <f>$C$32*$C$44/100*AB105</f>
        <v>62.72577639317051</v>
      </c>
      <c r="AC118" s="37">
        <f>$C$32*$C$44/100*AC105</f>
        <v>65.86206521282904</v>
      </c>
    </row>
    <row r="119" spans="1:29" x14ac:dyDescent="0.25">
      <c r="A119" s="33" t="s">
        <v>122</v>
      </c>
      <c r="B119" s="26" t="s">
        <v>86</v>
      </c>
      <c r="C119" s="57">
        <f>SUM(E119:AC119)</f>
        <v>1207.0164167539672</v>
      </c>
      <c r="E119" s="37">
        <f>$C$33*$C$45/100*E105</f>
        <v>25.289959931506637</v>
      </c>
      <c r="F119" s="37">
        <f>$C$33*$C$45/100*F105</f>
        <v>26.55445792808197</v>
      </c>
      <c r="G119" s="37">
        <f>$C$33*$C$45/100*G105</f>
        <v>27.882180824486067</v>
      </c>
      <c r="H119" s="37">
        <f>$C$33*$C$45/100*H105</f>
        <v>29.276289865710375</v>
      </c>
      <c r="I119" s="37">
        <f>$C$33*$C$45/100*I105</f>
        <v>30.740104358995893</v>
      </c>
      <c r="J119" s="37">
        <f>$C$33*$C$45/100*J105</f>
        <v>32.27710957694569</v>
      </c>
      <c r="K119" s="37">
        <f>$C$33*$C$45/100*K105</f>
        <v>33.890965055792975</v>
      </c>
      <c r="L119" s="37">
        <f>$C$33*$C$45/100*L105</f>
        <v>35.58551330858263</v>
      </c>
      <c r="M119" s="37">
        <f>$C$33*$C$45/100*M105</f>
        <v>37.36478897401176</v>
      </c>
      <c r="N119" s="37">
        <f>$C$33*$C$45/100*N105</f>
        <v>39.23302842271235</v>
      </c>
      <c r="O119" s="37">
        <f>$C$33*$C$45/100*O105</f>
        <v>41.19467984384797</v>
      </c>
      <c r="P119" s="37">
        <f>$C$33*$C$45/100*P105</f>
        <v>43.254413836040364</v>
      </c>
      <c r="Q119" s="37">
        <f>$C$33*$C$45/100*Q105</f>
        <v>45.417134527842386</v>
      </c>
      <c r="R119" s="37">
        <f>$C$33*$C$45/100*R105</f>
        <v>47.68799125423451</v>
      </c>
      <c r="S119" s="37">
        <f>$C$33*$C$45/100*S105</f>
        <v>50.07239081694624</v>
      </c>
      <c r="T119" s="37">
        <f>$C$33*$C$45/100*T105</f>
        <v>52.57601035779356</v>
      </c>
      <c r="U119" s="37">
        <f>$C$33*$C$45/100*U105</f>
        <v>55.20481087568323</v>
      </c>
      <c r="V119" s="37">
        <f>$C$33*$C$45/100*V105</f>
        <v>57.96505141946739</v>
      </c>
      <c r="W119" s="37">
        <f>$C$33*$C$45/100*W105</f>
        <v>60.86330399044078</v>
      </c>
      <c r="X119" s="37">
        <f>$C$33*$C$45/100*X105</f>
        <v>63.90646918996281</v>
      </c>
      <c r="Y119" s="37">
        <f>$C$33*$C$45/100*Y105</f>
        <v>67.10179264946095</v>
      </c>
      <c r="Z119" s="37">
        <f>$C$33*$C$45/100*Z105</f>
        <v>70.456882281934</v>
      </c>
      <c r="AA119" s="37">
        <f>$C$33*$C$45/100*AA105</f>
        <v>73.97972639603071</v>
      </c>
      <c r="AB119" s="37">
        <f>$C$33*$C$45/100*AB105</f>
        <v>77.67871271583225</v>
      </c>
      <c r="AC119" s="37">
        <f>$C$33*$C$45/100*AC105</f>
        <v>81.56264835162385</v>
      </c>
    </row>
    <row r="120" spans="1:29" x14ac:dyDescent="0.25">
      <c r="A120" s="33" t="s">
        <v>123</v>
      </c>
      <c r="B120" s="26" t="s">
        <v>86</v>
      </c>
      <c r="C120" s="57">
        <f>SUM(E120:AC120)</f>
        <v>965.8465328453076</v>
      </c>
      <c r="E120" s="37">
        <f>$C$35*$C$46/100*E105</f>
        <v>20.23685823705028</v>
      </c>
      <c r="F120" s="37">
        <f>$C$35*$C$46/100*F105</f>
        <v>21.248701148902796</v>
      </c>
      <c r="G120" s="37">
        <f>$C$35*$C$46/100*G105</f>
        <v>22.311136206347935</v>
      </c>
      <c r="H120" s="37">
        <f>$C$35*$C$46/100*H105</f>
        <v>23.426693016665336</v>
      </c>
      <c r="I120" s="37">
        <f>$C$35*$C$46/100*I105</f>
        <v>24.598027667498602</v>
      </c>
      <c r="J120" s="37">
        <f>$C$35*$C$46/100*J105</f>
        <v>25.827929050873536</v>
      </c>
      <c r="K120" s="37">
        <f>$C$35*$C$46/100*K105</f>
        <v>27.119325503417212</v>
      </c>
      <c r="L120" s="37">
        <f>$C$35*$C$46/100*L105</f>
        <v>28.475291778588076</v>
      </c>
      <c r="M120" s="37">
        <f>$C$35*$C$46/100*M105</f>
        <v>29.899056367517478</v>
      </c>
      <c r="N120" s="37">
        <f>$C$35*$C$46/100*N105</f>
        <v>31.394009185893353</v>
      </c>
      <c r="O120" s="37">
        <f>$C$35*$C$46/100*O105</f>
        <v>32.963709645188025</v>
      </c>
      <c r="P120" s="37">
        <f>$C$35*$C$46/100*P105</f>
        <v>34.611895127447426</v>
      </c>
      <c r="Q120" s="37">
        <f>$C$35*$C$46/100*Q105</f>
        <v>36.3424898838198</v>
      </c>
      <c r="R120" s="37">
        <f>$C$35*$C$46/100*R105</f>
        <v>38.159614378010794</v>
      </c>
      <c r="S120" s="37">
        <f>$C$35*$C$46/100*S105</f>
        <v>40.06759509691133</v>
      </c>
      <c r="T120" s="37">
        <f>$C$35*$C$46/100*T105</f>
        <v>42.0709748517569</v>
      </c>
      <c r="U120" s="37">
        <f>$C$35*$C$46/100*U105</f>
        <v>44.17452359434474</v>
      </c>
      <c r="V120" s="37">
        <f>$C$35*$C$46/100*V105</f>
        <v>46.38324977406199</v>
      </c>
      <c r="W120" s="37">
        <f>$C$35*$C$46/100*W105</f>
        <v>48.702412262765094</v>
      </c>
      <c r="X120" s="37">
        <f>$C$35*$C$46/100*X105</f>
        <v>51.13753287590335</v>
      </c>
      <c r="Y120" s="37">
        <f>$C$35*$C$46/100*Y105</f>
        <v>53.69440951969851</v>
      </c>
      <c r="Z120" s="37">
        <f>$C$35*$C$46/100*Z105</f>
        <v>56.37912999568344</v>
      </c>
      <c r="AA120" s="37">
        <f>$C$35*$C$46/100*AA105</f>
        <v>59.198086495467614</v>
      </c>
      <c r="AB120" s="37">
        <f>$C$35*$C$46/100*AB105</f>
        <v>62.157990820241</v>
      </c>
      <c r="AC120" s="37">
        <f>$C$35*$C$46/100*AC105</f>
        <v>65.26589036125304</v>
      </c>
    </row>
    <row r="121" spans="1:29" x14ac:dyDescent="0.25">
      <c r="A121" s="33" t="s">
        <v>126</v>
      </c>
      <c r="B121" s="26" t="s">
        <v>86</v>
      </c>
      <c r="C121" s="57">
        <f>SUM(E121:AC121)</f>
        <v>441.9265666960161</v>
      </c>
      <c r="E121" s="37">
        <f>$C$82*$C$48</f>
        <v>17.677062667840648</v>
      </c>
      <c r="F121" s="37">
        <f>$C$82*$C$48</f>
        <v>17.677062667840648</v>
      </c>
      <c r="G121" s="37">
        <f>$C$82*$C$48</f>
        <v>17.677062667840648</v>
      </c>
      <c r="H121" s="37">
        <f>$C$82*$C$48</f>
        <v>17.677062667840648</v>
      </c>
      <c r="I121" s="37">
        <f>$C$82*$C$48</f>
        <v>17.677062667840648</v>
      </c>
      <c r="J121" s="37">
        <f>$C$82*$C$48</f>
        <v>17.677062667840648</v>
      </c>
      <c r="K121" s="37">
        <f>$C$82*$C$48</f>
        <v>17.677062667840648</v>
      </c>
      <c r="L121" s="37">
        <f>$C$82*$C$48</f>
        <v>17.677062667840648</v>
      </c>
      <c r="M121" s="37">
        <f>$C$82*$C$48</f>
        <v>17.677062667840648</v>
      </c>
      <c r="N121" s="37">
        <f>$C$82*$C$48</f>
        <v>17.677062667840648</v>
      </c>
      <c r="O121" s="37">
        <f>$C$82*$C$48</f>
        <v>17.677062667840648</v>
      </c>
      <c r="P121" s="37">
        <f>$C$82*$C$48</f>
        <v>17.677062667840648</v>
      </c>
      <c r="Q121" s="37">
        <f>$C$82*$C$48</f>
        <v>17.677062667840648</v>
      </c>
      <c r="R121" s="37">
        <f>$C$82*$C$48</f>
        <v>17.677062667840648</v>
      </c>
      <c r="S121" s="37">
        <f>$C$82*$C$48</f>
        <v>17.677062667840648</v>
      </c>
      <c r="T121" s="37">
        <f>$C$82*$C$48</f>
        <v>17.677062667840648</v>
      </c>
      <c r="U121" s="37">
        <f>$C$82*$C$48</f>
        <v>17.677062667840648</v>
      </c>
      <c r="V121" s="37">
        <f>$C$82*$C$48</f>
        <v>17.677062667840648</v>
      </c>
      <c r="W121" s="37">
        <f>$C$82*$C$48</f>
        <v>17.677062667840648</v>
      </c>
      <c r="X121" s="37">
        <f>$C$82*$C$48</f>
        <v>17.677062667840648</v>
      </c>
      <c r="Y121" s="37">
        <f>$C$82*$C$48</f>
        <v>17.677062667840648</v>
      </c>
      <c r="Z121" s="37">
        <f>$C$82*$C$48</f>
        <v>17.677062667840648</v>
      </c>
      <c r="AA121" s="37">
        <f>$C$82*$C$48</f>
        <v>17.677062667840648</v>
      </c>
      <c r="AB121" s="37">
        <f>$C$82*$C$48</f>
        <v>17.677062667840648</v>
      </c>
      <c r="AC121" s="37">
        <f>$C$82*$C$48</f>
        <v>17.677062667840648</v>
      </c>
    </row>
    <row r="122" spans="1:29" x14ac:dyDescent="0.25">
      <c r="A122" s="33" t="s">
        <v>128</v>
      </c>
      <c r="B122" s="26" t="s">
        <v>86</v>
      </c>
      <c r="C122" s="57">
        <f>SUM(E122:AC122)</f>
        <v>0</v>
      </c>
      <c r="E122" s="37">
        <f>$C$49*E105</f>
        <v>0</v>
      </c>
      <c r="F122" s="37">
        <f>$C$49*F105</f>
        <v>0</v>
      </c>
      <c r="G122" s="37">
        <f>$C$49*G105</f>
        <v>0</v>
      </c>
      <c r="H122" s="37">
        <f>$C$49*H105</f>
        <v>0</v>
      </c>
      <c r="I122" s="37">
        <f>$C$49*I105</f>
        <v>0</v>
      </c>
      <c r="J122" s="37">
        <f>$C$49*J105</f>
        <v>0</v>
      </c>
      <c r="K122" s="37">
        <f>$C$49*K105</f>
        <v>0</v>
      </c>
      <c r="L122" s="37">
        <f>$C$49*L105</f>
        <v>0</v>
      </c>
      <c r="M122" s="37">
        <f>$C$49*M105</f>
        <v>0</v>
      </c>
      <c r="N122" s="37">
        <f>$C$49*N105</f>
        <v>0</v>
      </c>
      <c r="O122" s="37">
        <f>$C$49*O105</f>
        <v>0</v>
      </c>
      <c r="P122" s="37">
        <f>$C$49*P105</f>
        <v>0</v>
      </c>
      <c r="Q122" s="37">
        <f>$C$49*Q105</f>
        <v>0</v>
      </c>
      <c r="R122" s="37">
        <f>$C$49*R105</f>
        <v>0</v>
      </c>
      <c r="S122" s="37">
        <f>$C$49*S105</f>
        <v>0</v>
      </c>
      <c r="T122" s="37">
        <f>$C$49*T105</f>
        <v>0</v>
      </c>
      <c r="U122" s="37">
        <f>$C$49*U105</f>
        <v>0</v>
      </c>
      <c r="V122" s="37">
        <f>$C$49*V105</f>
        <v>0</v>
      </c>
      <c r="W122" s="37">
        <f>$C$49*W105</f>
        <v>0</v>
      </c>
      <c r="X122" s="37">
        <f>$C$49*X105</f>
        <v>0</v>
      </c>
      <c r="Y122" s="37">
        <f>$C$49*Y105</f>
        <v>0</v>
      </c>
      <c r="Z122" s="37">
        <f>$C$49*Z105</f>
        <v>0</v>
      </c>
      <c r="AA122" s="37">
        <f>$C$49*AA105</f>
        <v>0</v>
      </c>
      <c r="AB122" s="37">
        <f>$C$49*AB105</f>
        <v>0</v>
      </c>
      <c r="AC122" s="37">
        <f>$C$49*AC105</f>
        <v>0</v>
      </c>
    </row>
    <row r="123" spans="1:29" x14ac:dyDescent="0.25">
      <c r="A123" s="61" t="s">
        <v>197</v>
      </c>
      <c r="B123" s="62" t="s">
        <v>86</v>
      </c>
      <c r="C123" s="63">
        <f>SUM(E123:AC123)</f>
        <v>3589.4586272158704</v>
      </c>
      <c r="D123" s="64"/>
      <c r="E123" s="63">
        <f>SUM(E118:E122)</f>
        <v>83.62559376383908</v>
      </c>
      <c r="F123" s="63">
        <f>SUM(F118:F122)</f>
        <v>86.923020318639</v>
      </c>
      <c r="G123" s="63">
        <f>SUM(G118:G122)</f>
        <v>90.38531820117892</v>
      </c>
      <c r="H123" s="63">
        <f>SUM(H118:H122)</f>
        <v>94.02073097784584</v>
      </c>
      <c r="I123" s="63">
        <f>SUM(I118:I122)</f>
        <v>97.83791439334611</v>
      </c>
      <c r="J123" s="63">
        <f>SUM(J118:J122)</f>
        <v>101.84595697962139</v>
      </c>
      <c r="K123" s="63">
        <f>SUM(K118:K122)</f>
        <v>106.05440169521043</v>
      </c>
      <c r="L123" s="63">
        <f>SUM(L118:L122)</f>
        <v>110.47326864657892</v>
      </c>
      <c r="M123" s="63">
        <f>SUM(M118:M122)</f>
        <v>115.11307894551584</v>
      </c>
      <c r="N123" s="63">
        <f>SUM(N118:N122)</f>
        <v>119.9848797593996</v>
      </c>
      <c r="O123" s="63">
        <f>SUM(O118:O122)</f>
        <v>125.10027061397757</v>
      </c>
      <c r="P123" s="63">
        <f>SUM(P118:P122)</f>
        <v>130.4714310112844</v>
      </c>
      <c r="Q123" s="63">
        <f>SUM(Q118:Q122)</f>
        <v>136.11114942845663</v>
      </c>
      <c r="R123" s="63">
        <f>SUM(R118:R122)</f>
        <v>142.03285376648742</v>
      </c>
      <c r="S123" s="63">
        <f>SUM(S118:S122)</f>
        <v>148.25064332141974</v>
      </c>
      <c r="T123" s="63">
        <f>SUM(T118:T122)</f>
        <v>154.77932235409872</v>
      </c>
      <c r="U123" s="63">
        <f>SUM(U118:U122)</f>
        <v>161.6344353384116</v>
      </c>
      <c r="V123" s="63">
        <f>SUM(V118:V122)</f>
        <v>168.83230397194018</v>
      </c>
      <c r="W123" s="63">
        <f>SUM(W118:W122)</f>
        <v>176.3900660371452</v>
      </c>
      <c r="X123" s="63">
        <f>SUM(X118:X122)</f>
        <v>184.3257162056104</v>
      </c>
      <c r="Y123" s="63">
        <f>SUM(Y118:Y122)</f>
        <v>192.65814888249886</v>
      </c>
      <c r="Z123" s="63">
        <f>SUM(Z118:Z122)</f>
        <v>201.40720319323182</v>
      </c>
      <c r="AA123" s="63">
        <f>SUM(AA118:AA122)</f>
        <v>210.59371021950136</v>
      </c>
      <c r="AB123" s="63">
        <f>SUM(AB118:AB122)</f>
        <v>220.2395425970844</v>
      </c>
      <c r="AC123" s="63">
        <f>SUM(AC118:AC122)</f>
        <v>230.36766659354657</v>
      </c>
    </row>
    <row r="124" spans="1:29" x14ac:dyDescent="0.25">
      <c r="A124" s="61" t="s">
        <v>198</v>
      </c>
      <c r="B124" s="62" t="s">
        <v>86</v>
      </c>
      <c r="C124" s="63">
        <f>SUM(E124:AC124)</f>
        <v>20192.31203011607</v>
      </c>
      <c r="D124" s="64"/>
      <c r="E124" s="63">
        <f>E115-E123</f>
        <v>889.8565861542061</v>
      </c>
      <c r="F124" s="63">
        <f>F115-F123</f>
        <v>884.7082134640087</v>
      </c>
      <c r="G124" s="63">
        <f>G115-G123</f>
        <v>879.3949694460715</v>
      </c>
      <c r="H124" s="63">
        <f>H115-H123</f>
        <v>873.9086105340074</v>
      </c>
      <c r="I124" s="63">
        <f>I115-I123</f>
        <v>868.2404809831099</v>
      </c>
      <c r="J124" s="63">
        <f>J115-J123</f>
        <v>862.3814922614373</v>
      </c>
      <c r="K124" s="63">
        <f>K115-K123</f>
        <v>856.322101410451</v>
      </c>
      <c r="L124" s="63">
        <f>L115-L123</f>
        <v>850.052288323685</v>
      </c>
      <c r="M124" s="63">
        <f>M115-M123</f>
        <v>843.561531889351</v>
      </c>
      <c r="N124" s="63">
        <f>N115-N123</f>
        <v>836.83878494007</v>
      </c>
      <c r="O124" s="63">
        <f>O115-O123</f>
        <v>829.8724479500949</v>
      </c>
      <c r="P124" s="63">
        <f>P115-P123</f>
        <v>822.6503414173908</v>
      </c>
      <c r="Q124" s="63">
        <f>Q115-Q123</f>
        <v>815.159676864821</v>
      </c>
      <c r="R124" s="63">
        <f>R115-R123</f>
        <v>807.3870263913931</v>
      </c>
      <c r="S124" s="63">
        <f>S115-S123</f>
        <v>799.3182907010635</v>
      </c>
      <c r="T124" s="63">
        <f>T115-T123</f>
        <v>790.9386655329872</v>
      </c>
      <c r="U124" s="63">
        <f>U115-U123</f>
        <v>782.2326064132772</v>
      </c>
      <c r="V124" s="63">
        <f>V115-V123</f>
        <v>773.1837916443512</v>
      </c>
      <c r="W124" s="63">
        <f>W115-W123</f>
        <v>763.7750834437489</v>
      </c>
      <c r="X124" s="63">
        <f>X115-X123</f>
        <v>753.9884871398865</v>
      </c>
      <c r="Y124" s="63">
        <f>Y115-Y123</f>
        <v>743.8051083276008</v>
      </c>
      <c r="Z124" s="63">
        <f>Z115-Z123</f>
        <v>733.2051078814706</v>
      </c>
      <c r="AA124" s="63">
        <f>AA115-AA123</f>
        <v>722.1676547198037</v>
      </c>
      <c r="AB124" s="63">
        <f>AB115-AB123</f>
        <v>710.6708762068234</v>
      </c>
      <c r="AC124" s="63">
        <f>AC115-AC123</f>
        <v>698.6918060749638</v>
      </c>
    </row>
    <row r="125" spans="1:29" x14ac:dyDescent="0.25">
      <c r="A125" s="33" t="s">
        <v>199</v>
      </c>
      <c r="B125" s="26" t="s">
        <v>83</v>
      </c>
      <c r="E125" s="32">
        <f>IF(E115&lt;&gt;0,E124/E115,"")</f>
        <v>0.9140964308449084</v>
      </c>
      <c r="F125" s="32">
        <f>IF(F115&lt;&gt;0,F124/F115,"")</f>
        <v>0.9105390838659644</v>
      </c>
      <c r="G125" s="32">
        <f>IF(G115&lt;&gt;0,G124/G115,"")</f>
        <v>0.9067981486606007</v>
      </c>
      <c r="H125" s="32">
        <f>IF(H115&lt;&gt;0,H124/H115,"")</f>
        <v>0.9028640553131797</v>
      </c>
      <c r="I125" s="32">
        <f>IF(I115&lt;&gt;0,I124/I115,"")</f>
        <v>0.8987267339156041</v>
      </c>
      <c r="J125" s="32">
        <f>IF(J115&lt;&gt;0,J124/J115,"")</f>
        <v>0.8943755883948501</v>
      </c>
      <c r="K125" s="32">
        <f>IF(K115&lt;&gt;0,K124/K115,"")</f>
        <v>0.889799468967743</v>
      </c>
      <c r="L125" s="32">
        <f>IF(L115&lt;&gt;0,L124/L115,"")</f>
        <v>0.8849866431508193</v>
      </c>
      <c r="M125" s="32">
        <f>IF(M115&lt;&gt;0,M124/M115,"")</f>
        <v>0.8799247652493174</v>
      </c>
      <c r="N125" s="32">
        <f>IF(N115&lt;&gt;0,N124/N115,"")</f>
        <v>0.8746008442453335</v>
      </c>
      <c r="O125" s="32">
        <f>IF(O115&lt;&gt;0,O124/O115,"")</f>
        <v>0.8690012100009701</v>
      </c>
      <c r="P125" s="32">
        <f>IF(P115&lt;&gt;0,P124/P115,"")</f>
        <v>0.863111477687865</v>
      </c>
      <c r="Q125" s="32">
        <f>IF(Q115&lt;&gt;0,Q124/Q115,"")</f>
        <v>0.8569165103498155</v>
      </c>
      <c r="R125" s="32">
        <f>IF(R115&lt;&gt;0,R124/R115,"")</f>
        <v>0.8504003795003023</v>
      </c>
      <c r="S125" s="32">
        <f>IF(S115&lt;&gt;0,S124/S115,"")</f>
        <v>0.8435463236515285</v>
      </c>
      <c r="T125" s="32">
        <f>IF(T115&lt;&gt;0,T124/T115,"")</f>
        <v>0.8363367046661498</v>
      </c>
      <c r="U125" s="32">
        <f>IF(U115&lt;&gt;0,U124/U115,"")</f>
        <v>0.828752961817122</v>
      </c>
      <c r="V125" s="32">
        <f>IF(V115&lt;&gt;0,V124/V115,"")</f>
        <v>0.820775563435054</v>
      </c>
      <c r="W125" s="32">
        <f>IF(W115&lt;&gt;0,W124/W115,"")</f>
        <v>0.8123839560160917</v>
      </c>
      <c r="X125" s="32">
        <f>IF(X115&lt;&gt;0,X124/X115,"")</f>
        <v>0.8035565106566549</v>
      </c>
      <c r="Y125" s="32">
        <f>IF(Y115&lt;&gt;0,Y124/Y115,"")</f>
        <v>0.7942704666742999</v>
      </c>
      <c r="Z125" s="32">
        <f>IF(Z115&lt;&gt;0,Z124/Z115,"")</f>
        <v>0.7845018722665492</v>
      </c>
      <c r="AA125" s="32">
        <f>IF(AA115&lt;&gt;0,AA124/AA115,"")</f>
        <v>0.774225522051715</v>
      </c>
      <c r="AB125" s="32">
        <f>IF(AB115&lt;&gt;0,AB124/AB115,"")</f>
        <v>0.7634148913275006</v>
      </c>
      <c r="AC125" s="32">
        <f>IF(AC115&lt;&gt;0,AC124/AC115,"")</f>
        <v>0.7520420668745045</v>
      </c>
    </row>
    <row r="127" ht="20" customHeight="1" spans="1:29" x14ac:dyDescent="0.25">
      <c r="A127" s="21" t="s">
        <v>200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143</v>
      </c>
      <c r="B128" s="26" t="s">
        <v>86</v>
      </c>
      <c r="C128" s="57">
        <f>SUM(E128:AC128)</f>
        <v>971.3691953784137</v>
      </c>
      <c r="E128" s="37">
        <f>IF($C$57="annual",IF(E$5&gt;=2,$C$35*$C$58*$C$39*E106,0),IF(AND($C$57="oneTime",E$5=$C$59,$C$59&gt;1,$C$59&lt;=$C$87),$C$35*MIN(0.6,$C$58*(E$5-1))*$C$39*E106,0))</f>
        <v>0</v>
      </c>
      <c r="F128" s="37">
        <f>IF($C$57="annual",IF(F$5&gt;=2,$C$35*$C$58*$C$39*F106,0),IF(AND($C$57="oneTime",F$5=$C$59,$C$59&gt;1,$C$59&lt;=$C$87),$C$35*MIN(0.6,$C$58*(F$5-1))*$C$39*F106,0))</f>
        <v>40.47371647410057</v>
      </c>
      <c r="G128" s="37">
        <f>IF($C$57="annual",IF(G$5&gt;=2,$C$35*$C$58*$C$39*G106,0),IF(AND($C$57="oneTime",G$5=$C$59,$C$59&gt;1,$C$59&lt;=$C$87),$C$35*MIN(0.6,$C$58*(G$5-1))*$C$39*G106,0))</f>
        <v>40.47371647410057</v>
      </c>
      <c r="H128" s="37">
        <f>IF($C$57="annual",IF(H$5&gt;=2,$C$35*$C$58*$C$39*H106,0),IF(AND($C$57="oneTime",H$5=$C$59,$C$59&gt;1,$C$59&lt;=$C$87),$C$35*MIN(0.6,$C$58*(H$5-1))*$C$39*H106,0))</f>
        <v>40.47371647410057</v>
      </c>
      <c r="I128" s="37">
        <f>IF($C$57="annual",IF(I$5&gt;=2,$C$35*$C$58*$C$39*I106,0),IF(AND($C$57="oneTime",I$5=$C$59,$C$59&gt;1,$C$59&lt;=$C$87),$C$35*MIN(0.6,$C$58*(I$5-1))*$C$39*I106,0))</f>
        <v>40.47371647410057</v>
      </c>
      <c r="J128" s="37">
        <f>IF($C$57="annual",IF(J$5&gt;=2,$C$35*$C$58*$C$39*J106,0),IF(AND($C$57="oneTime",J$5=$C$59,$C$59&gt;1,$C$59&lt;=$C$87),$C$35*MIN(0.6,$C$58*(J$5-1))*$C$39*J106,0))</f>
        <v>40.47371647410057</v>
      </c>
      <c r="K128" s="37">
        <f>IF($C$57="annual",IF(K$5&gt;=2,$C$35*$C$58*$C$39*K106,0),IF(AND($C$57="oneTime",K$5=$C$59,$C$59&gt;1,$C$59&lt;=$C$87),$C$35*MIN(0.6,$C$58*(K$5-1))*$C$39*K106,0))</f>
        <v>40.47371647410057</v>
      </c>
      <c r="L128" s="37">
        <f>IF($C$57="annual",IF(L$5&gt;=2,$C$35*$C$58*$C$39*L106,0),IF(AND($C$57="oneTime",L$5=$C$59,$C$59&gt;1,$C$59&lt;=$C$87),$C$35*MIN(0.6,$C$58*(L$5-1))*$C$39*L106,0))</f>
        <v>40.47371647410057</v>
      </c>
      <c r="M128" s="37">
        <f>IF($C$57="annual",IF(M$5&gt;=2,$C$35*$C$58*$C$39*M106,0),IF(AND($C$57="oneTime",M$5=$C$59,$C$59&gt;1,$C$59&lt;=$C$87),$C$35*MIN(0.6,$C$58*(M$5-1))*$C$39*M106,0))</f>
        <v>40.47371647410057</v>
      </c>
      <c r="N128" s="37">
        <f>IF($C$57="annual",IF(N$5&gt;=2,$C$35*$C$58*$C$39*N106,0),IF(AND($C$57="oneTime",N$5=$C$59,$C$59&gt;1,$C$59&lt;=$C$87),$C$35*MIN(0.6,$C$58*(N$5-1))*$C$39*N106,0))</f>
        <v>40.47371647410057</v>
      </c>
      <c r="O128" s="37">
        <f>IF($C$57="annual",IF(O$5&gt;=2,$C$35*$C$58*$C$39*O106,0),IF(AND($C$57="oneTime",O$5=$C$59,$C$59&gt;1,$C$59&lt;=$C$87),$C$35*MIN(0.6,$C$58*(O$5-1))*$C$39*O106,0))</f>
        <v>40.47371647410057</v>
      </c>
      <c r="P128" s="37">
        <f>IF($C$57="annual",IF(P$5&gt;=2,$C$35*$C$58*$C$39*P106,0),IF(AND($C$57="oneTime",P$5=$C$59,$C$59&gt;1,$C$59&lt;=$C$87),$C$35*MIN(0.6,$C$58*(P$5-1))*$C$39*P106,0))</f>
        <v>40.47371647410057</v>
      </c>
      <c r="Q128" s="37">
        <f>IF($C$57="annual",IF(Q$5&gt;=2,$C$35*$C$58*$C$39*Q106,0),IF(AND($C$57="oneTime",Q$5=$C$59,$C$59&gt;1,$C$59&lt;=$C$87),$C$35*MIN(0.6,$C$58*(Q$5-1))*$C$39*Q106,0))</f>
        <v>40.47371647410057</v>
      </c>
      <c r="R128" s="37">
        <f>IF($C$57="annual",IF(R$5&gt;=2,$C$35*$C$58*$C$39*R106,0),IF(AND($C$57="oneTime",R$5=$C$59,$C$59&gt;1,$C$59&lt;=$C$87),$C$35*MIN(0.6,$C$58*(R$5-1))*$C$39*R106,0))</f>
        <v>40.47371647410057</v>
      </c>
      <c r="S128" s="37">
        <f>IF($C$57="annual",IF(S$5&gt;=2,$C$35*$C$58*$C$39*S106,0),IF(AND($C$57="oneTime",S$5=$C$59,$C$59&gt;1,$C$59&lt;=$C$87),$C$35*MIN(0.6,$C$58*(S$5-1))*$C$39*S106,0))</f>
        <v>40.47371647410057</v>
      </c>
      <c r="T128" s="37">
        <f>IF($C$57="annual",IF(T$5&gt;=2,$C$35*$C$58*$C$39*T106,0),IF(AND($C$57="oneTime",T$5=$C$59,$C$59&gt;1,$C$59&lt;=$C$87),$C$35*MIN(0.6,$C$58*(T$5-1))*$C$39*T106,0))</f>
        <v>40.47371647410057</v>
      </c>
      <c r="U128" s="37">
        <f>IF($C$57="annual",IF(U$5&gt;=2,$C$35*$C$58*$C$39*U106,0),IF(AND($C$57="oneTime",U$5=$C$59,$C$59&gt;1,$C$59&lt;=$C$87),$C$35*MIN(0.6,$C$58*(U$5-1))*$C$39*U106,0))</f>
        <v>40.47371647410057</v>
      </c>
      <c r="V128" s="37">
        <f>IF($C$57="annual",IF(V$5&gt;=2,$C$35*$C$58*$C$39*V106,0),IF(AND($C$57="oneTime",V$5=$C$59,$C$59&gt;1,$C$59&lt;=$C$87),$C$35*MIN(0.6,$C$58*(V$5-1))*$C$39*V106,0))</f>
        <v>40.47371647410057</v>
      </c>
      <c r="W128" s="37">
        <f>IF($C$57="annual",IF(W$5&gt;=2,$C$35*$C$58*$C$39*W106,0),IF(AND($C$57="oneTime",W$5=$C$59,$C$59&gt;1,$C$59&lt;=$C$87),$C$35*MIN(0.6,$C$58*(W$5-1))*$C$39*W106,0))</f>
        <v>40.47371647410057</v>
      </c>
      <c r="X128" s="37">
        <f>IF($C$57="annual",IF(X$5&gt;=2,$C$35*$C$58*$C$39*X106,0),IF(AND($C$57="oneTime",X$5=$C$59,$C$59&gt;1,$C$59&lt;=$C$87),$C$35*MIN(0.6,$C$58*(X$5-1))*$C$39*X106,0))</f>
        <v>40.47371647410057</v>
      </c>
      <c r="Y128" s="37">
        <f>IF($C$57="annual",IF(Y$5&gt;=2,$C$35*$C$58*$C$39*Y106,0),IF(AND($C$57="oneTime",Y$5=$C$59,$C$59&gt;1,$C$59&lt;=$C$87),$C$35*MIN(0.6,$C$58*(Y$5-1))*$C$39*Y106,0))</f>
        <v>40.47371647410057</v>
      </c>
      <c r="Z128" s="37">
        <f>IF($C$57="annual",IF(Z$5&gt;=2,$C$35*$C$58*$C$39*Z106,0),IF(AND($C$57="oneTime",Z$5=$C$59,$C$59&gt;1,$C$59&lt;=$C$87),$C$35*MIN(0.6,$C$58*(Z$5-1))*$C$39*Z106,0))</f>
        <v>40.47371647410057</v>
      </c>
      <c r="AA128" s="37">
        <f>IF($C$57="annual",IF(AA$5&gt;=2,$C$35*$C$58*$C$39*AA106,0),IF(AND($C$57="oneTime",AA$5=$C$59,$C$59&gt;1,$C$59&lt;=$C$87),$C$35*MIN(0.6,$C$58*(AA$5-1))*$C$39*AA106,0))</f>
        <v>40.47371647410057</v>
      </c>
      <c r="AB128" s="37">
        <f>IF($C$57="annual",IF(AB$5&gt;=2,$C$35*$C$58*$C$39*AB106,0),IF(AND($C$57="oneTime",AB$5=$C$59,$C$59&gt;1,$C$59&lt;=$C$87),$C$35*MIN(0.6,$C$58*(AB$5-1))*$C$39*AB106,0))</f>
        <v>40.47371647410057</v>
      </c>
      <c r="AC128" s="37">
        <f>IF($C$57="annual",IF(AC$5&gt;=2,$C$35*$C$58*$C$39*AC106,0),IF(AND($C$57="oneTime",AC$5=$C$59,$C$59&gt;1,$C$59&lt;=$C$87),$C$35*MIN(0.6,$C$58*(AC$5-1))*$C$39*AC106,0))</f>
        <v>40.47371647410057</v>
      </c>
    </row>
    <row r="130" ht="20" customHeight="1" spans="1:29" x14ac:dyDescent="0.25">
      <c r="A130" s="21" t="s">
        <v>201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202</v>
      </c>
      <c r="B131" s="26" t="s">
        <v>86</v>
      </c>
      <c r="C131" s="57">
        <f>SUM(E131:AC131)</f>
        <v>5568.274740369801</v>
      </c>
      <c r="E131" s="37">
        <f>IF(E$5&lt;=$C$72,$C$92,0)</f>
        <v>222.73098961479215</v>
      </c>
      <c r="F131" s="37">
        <f>IF(F$5&lt;=$C$72,$C$92,0)</f>
        <v>222.73098961479215</v>
      </c>
      <c r="G131" s="37">
        <f>IF(G$5&lt;=$C$72,$C$92,0)</f>
        <v>222.73098961479215</v>
      </c>
      <c r="H131" s="37">
        <f>IF(H$5&lt;=$C$72,$C$92,0)</f>
        <v>222.73098961479215</v>
      </c>
      <c r="I131" s="37">
        <f>IF(I$5&lt;=$C$72,$C$92,0)</f>
        <v>222.73098961479215</v>
      </c>
      <c r="J131" s="37">
        <f>IF(J$5&lt;=$C$72,$C$92,0)</f>
        <v>222.73098961479215</v>
      </c>
      <c r="K131" s="37">
        <f>IF(K$5&lt;=$C$72,$C$92,0)</f>
        <v>222.73098961479215</v>
      </c>
      <c r="L131" s="37">
        <f>IF(L$5&lt;=$C$72,$C$92,0)</f>
        <v>222.73098961479215</v>
      </c>
      <c r="M131" s="37">
        <f>IF(M$5&lt;=$C$72,$C$92,0)</f>
        <v>222.73098961479215</v>
      </c>
      <c r="N131" s="37">
        <f>IF(N$5&lt;=$C$72,$C$92,0)</f>
        <v>222.73098961479215</v>
      </c>
      <c r="O131" s="37">
        <f>IF(O$5&lt;=$C$72,$C$92,0)</f>
        <v>222.73098961479215</v>
      </c>
      <c r="P131" s="37">
        <f>IF(P$5&lt;=$C$72,$C$92,0)</f>
        <v>222.73098961479215</v>
      </c>
      <c r="Q131" s="37">
        <f>IF(Q$5&lt;=$C$72,$C$92,0)</f>
        <v>222.73098961479215</v>
      </c>
      <c r="R131" s="37">
        <f>IF(R$5&lt;=$C$72,$C$92,0)</f>
        <v>222.73098961479215</v>
      </c>
      <c r="S131" s="37">
        <f>IF(S$5&lt;=$C$72,$C$92,0)</f>
        <v>222.73098961479215</v>
      </c>
      <c r="T131" s="37">
        <f>IF(T$5&lt;=$C$72,$C$92,0)</f>
        <v>222.73098961479215</v>
      </c>
      <c r="U131" s="37">
        <f>IF(U$5&lt;=$C$72,$C$92,0)</f>
        <v>222.73098961479215</v>
      </c>
      <c r="V131" s="37">
        <f>IF(V$5&lt;=$C$72,$C$92,0)</f>
        <v>222.73098961479215</v>
      </c>
      <c r="W131" s="37">
        <f>IF(W$5&lt;=$C$72,$C$92,0)</f>
        <v>222.73098961479215</v>
      </c>
      <c r="X131" s="37">
        <f>IF(X$5&lt;=$C$72,$C$92,0)</f>
        <v>222.73098961479215</v>
      </c>
      <c r="Y131" s="37">
        <f>IF(Y$5&lt;=$C$72,$C$92,0)</f>
        <v>222.73098961479215</v>
      </c>
      <c r="Z131" s="37">
        <f>IF(Z$5&lt;=$C$72,$C$92,0)</f>
        <v>222.73098961479215</v>
      </c>
      <c r="AA131" s="37">
        <f>IF(AA$5&lt;=$C$72,$C$92,0)</f>
        <v>222.73098961479215</v>
      </c>
      <c r="AB131" s="37">
        <f>IF(AB$5&lt;=$C$72,$C$92,0)</f>
        <v>222.73098961479215</v>
      </c>
      <c r="AC131" s="37">
        <f>IF(AC$5&lt;=$C$72,$C$92,0)</f>
        <v>222.73098961479215</v>
      </c>
    </row>
    <row r="132" spans="1:29" x14ac:dyDescent="0.25">
      <c r="A132" s="33" t="s">
        <v>203</v>
      </c>
      <c r="B132" s="26" t="s">
        <v>86</v>
      </c>
      <c r="E132" s="37">
        <f>E128/MAX(1,$C$87-E$5+1)</f>
        <v>0</v>
      </c>
      <c r="F132" s="37">
        <f>F128/MAX(1,$C$87-F$5+1)</f>
        <v>1.6864048530875237</v>
      </c>
      <c r="G132" s="37">
        <f>G128/MAX(1,$C$87-G$5+1)</f>
        <v>1.759726803221764</v>
      </c>
      <c r="H132" s="37">
        <f>H128/MAX(1,$C$87-H$5+1)</f>
        <v>1.8397143851863895</v>
      </c>
      <c r="I132" s="37">
        <f>I128/MAX(1,$C$87-I$5+1)</f>
        <v>1.927319832100027</v>
      </c>
      <c r="J132" s="37">
        <f>J128/MAX(1,$C$87-J$5+1)</f>
        <v>2.0236858237050286</v>
      </c>
      <c r="K132" s="37">
        <f>K128/MAX(1,$C$87-K$5+1)</f>
        <v>2.13019560390003</v>
      </c>
      <c r="L132" s="37">
        <f>L128/MAX(1,$C$87-L$5+1)</f>
        <v>2.248539804116698</v>
      </c>
      <c r="M132" s="37">
        <f>M128/MAX(1,$C$87-M$5+1)</f>
        <v>2.3808068514176806</v>
      </c>
      <c r="N132" s="37">
        <f>N128/MAX(1,$C$87-N$5+1)</f>
        <v>2.5296072796312856</v>
      </c>
      <c r="O132" s="37">
        <f>O128/MAX(1,$C$87-O$5+1)</f>
        <v>2.698247764940038</v>
      </c>
      <c r="P132" s="37">
        <f>P128/MAX(1,$C$87-P$5+1)</f>
        <v>2.8909797481500408</v>
      </c>
      <c r="Q132" s="37">
        <f>Q128/MAX(1,$C$87-Q$5+1)</f>
        <v>3.113362805700044</v>
      </c>
      <c r="R132" s="37">
        <f>R128/MAX(1,$C$87-R$5+1)</f>
        <v>3.3728097061750475</v>
      </c>
      <c r="S132" s="37">
        <f>S128/MAX(1,$C$87-S$5+1)</f>
        <v>3.679428770372779</v>
      </c>
      <c r="T132" s="37">
        <f>T128/MAX(1,$C$87-T$5+1)</f>
        <v>4.047371647410057</v>
      </c>
      <c r="U132" s="37">
        <f>U128/MAX(1,$C$87-U$5+1)</f>
        <v>4.497079608233396</v>
      </c>
      <c r="V132" s="37">
        <f>V128/MAX(1,$C$87-V$5+1)</f>
        <v>5.059214559262571</v>
      </c>
      <c r="W132" s="37">
        <f>W128/MAX(1,$C$87-W$5+1)</f>
        <v>5.7819594963000815</v>
      </c>
      <c r="X132" s="37">
        <f>X128/MAX(1,$C$87-X$5+1)</f>
        <v>6.745619412350095</v>
      </c>
      <c r="Y132" s="37">
        <f>Y128/MAX(1,$C$87-Y$5+1)</f>
        <v>8.094743294820114</v>
      </c>
      <c r="Z132" s="37">
        <f>Z128/MAX(1,$C$87-Z$5+1)</f>
        <v>10.118429118525142</v>
      </c>
      <c r="AA132" s="37">
        <f>AA128/MAX(1,$C$87-AA$5+1)</f>
        <v>13.49123882470019</v>
      </c>
      <c r="AB132" s="37">
        <f>AB128/MAX(1,$C$87-AB$5+1)</f>
        <v>20.236858237050285</v>
      </c>
      <c r="AC132" s="37">
        <f>AC128/MAX(1,$C$87-AC$5+1)</f>
        <v>40.47371647410057</v>
      </c>
    </row>
    <row r="133" spans="1:29" x14ac:dyDescent="0.25">
      <c r="A133" s="33" t="s">
        <v>204</v>
      </c>
      <c r="B133" s="26" t="s">
        <v>86</v>
      </c>
      <c r="C133" s="57">
        <f>SUM(E133:AC133)</f>
        <v>971.3691953784137</v>
      </c>
      <c r="E133" s="37">
        <f>E132</f>
        <v>0</v>
      </c>
      <c r="F133" s="37">
        <f>E133+F132</f>
        <v>1.6864048530875237</v>
      </c>
      <c r="G133" s="37">
        <f>F133+G132</f>
        <v>3.4461316563092876</v>
      </c>
      <c r="H133" s="37">
        <f>G133+H132</f>
        <v>5.285846041495677</v>
      </c>
      <c r="I133" s="37">
        <f>H133+I132</f>
        <v>7.213165873595704</v>
      </c>
      <c r="J133" s="37">
        <f>I133+J132</f>
        <v>9.236851697300732</v>
      </c>
      <c r="K133" s="37">
        <f>J133+K132</f>
        <v>11.367047301200763</v>
      </c>
      <c r="L133" s="37">
        <f>K133+L132</f>
        <v>13.615587105317461</v>
      </c>
      <c r="M133" s="37">
        <f>L133+M132</f>
        <v>15.996393956735142</v>
      </c>
      <c r="N133" s="37">
        <f>M133+N132</f>
        <v>18.526001236366426</v>
      </c>
      <c r="O133" s="37">
        <f>N133+O132</f>
        <v>21.224249001306465</v>
      </c>
      <c r="P133" s="37">
        <f>O133+P132</f>
        <v>24.115228749456506</v>
      </c>
      <c r="Q133" s="37">
        <f>P133+Q132</f>
        <v>27.228591555156548</v>
      </c>
      <c r="R133" s="37">
        <f>Q133+R132</f>
        <v>30.601401261331596</v>
      </c>
      <c r="S133" s="37">
        <f>R133+S132</f>
        <v>34.280830031704376</v>
      </c>
      <c r="T133" s="37">
        <f>S133+T132</f>
        <v>38.328201679114436</v>
      </c>
      <c r="U133" s="37">
        <f>T133+U132</f>
        <v>42.825281287347835</v>
      </c>
      <c r="V133" s="37">
        <f>U133+V132</f>
        <v>47.884495846610406</v>
      </c>
      <c r="W133" s="37">
        <f>V133+W132</f>
        <v>53.66645534291049</v>
      </c>
      <c r="X133" s="37">
        <f>W133+X132</f>
        <v>60.41207475526058</v>
      </c>
      <c r="Y133" s="37">
        <f>X133+Y132</f>
        <v>68.5068180500807</v>
      </c>
      <c r="Z133" s="37">
        <f>Y133+Z132</f>
        <v>78.62524716860584</v>
      </c>
      <c r="AA133" s="37">
        <f>Z133+AA132</f>
        <v>92.11648599330603</v>
      </c>
      <c r="AB133" s="37">
        <f>AA133+AB132</f>
        <v>112.35334423035631</v>
      </c>
      <c r="AC133" s="37">
        <f>AB133+AC132</f>
        <v>152.82706070445687</v>
      </c>
    </row>
    <row r="134" spans="1:29" x14ac:dyDescent="0.25">
      <c r="A134" s="61" t="s">
        <v>201</v>
      </c>
      <c r="B134" s="62" t="s">
        <v>86</v>
      </c>
      <c r="C134" s="63">
        <f>SUM(E134:AC134)</f>
        <v>6539.643935748218</v>
      </c>
      <c r="D134" s="64"/>
      <c r="E134" s="63">
        <f>E131+E133</f>
        <v>222.73098961479215</v>
      </c>
      <c r="F134" s="63">
        <f>F131+F133</f>
        <v>224.41739446787966</v>
      </c>
      <c r="G134" s="63">
        <f>G131+G133</f>
        <v>226.17712127110144</v>
      </c>
      <c r="H134" s="63">
        <f>H131+H133</f>
        <v>228.01683565628784</v>
      </c>
      <c r="I134" s="63">
        <f>I131+I133</f>
        <v>229.94415548838785</v>
      </c>
      <c r="J134" s="63">
        <f>J131+J133</f>
        <v>231.96784131209287</v>
      </c>
      <c r="K134" s="63">
        <f>K131+K133</f>
        <v>234.0980369159929</v>
      </c>
      <c r="L134" s="63">
        <f>L131+L133</f>
        <v>236.34657672010962</v>
      </c>
      <c r="M134" s="63">
        <f>M131+M133</f>
        <v>238.7273835715273</v>
      </c>
      <c r="N134" s="63">
        <f>N131+N133</f>
        <v>241.25699085115858</v>
      </c>
      <c r="O134" s="63">
        <f>O131+O133</f>
        <v>243.95523861609863</v>
      </c>
      <c r="P134" s="63">
        <f>P131+P133</f>
        <v>246.84621836424867</v>
      </c>
      <c r="Q134" s="63">
        <f>Q131+Q133</f>
        <v>249.9595811699487</v>
      </c>
      <c r="R134" s="63">
        <f>R131+R133</f>
        <v>253.33239087612375</v>
      </c>
      <c r="S134" s="63">
        <f>S131+S133</f>
        <v>257.0118196464965</v>
      </c>
      <c r="T134" s="63">
        <f>T131+T133</f>
        <v>261.05919129390657</v>
      </c>
      <c r="U134" s="63">
        <f>U131+U133</f>
        <v>265.55627090214</v>
      </c>
      <c r="V134" s="63">
        <f>V131+V133</f>
        <v>270.61548546140256</v>
      </c>
      <c r="W134" s="63">
        <f>W131+W133</f>
        <v>276.39744495770265</v>
      </c>
      <c r="X134" s="63">
        <f>X131+X133</f>
        <v>283.14306437005274</v>
      </c>
      <c r="Y134" s="63">
        <f>Y131+Y133</f>
        <v>291.23780766487283</v>
      </c>
      <c r="Z134" s="63">
        <f>Z131+Z133</f>
        <v>301.356236783398</v>
      </c>
      <c r="AA134" s="63">
        <f>AA131+AA133</f>
        <v>314.8474756080982</v>
      </c>
      <c r="AB134" s="63">
        <f>AB131+AB133</f>
        <v>335.0843338451485</v>
      </c>
      <c r="AC134" s="63">
        <f>AC131+AC133</f>
        <v>375.558050319249</v>
      </c>
    </row>
    <row r="136" ht="20" customHeight="1" spans="1:29" x14ac:dyDescent="0.25">
      <c r="A136" s="21" t="s">
        <v>94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1:29" x14ac:dyDescent="0.25">
      <c r="A137" s="33" t="s">
        <v>205</v>
      </c>
      <c r="B137" s="26" t="s">
        <v>86</v>
      </c>
      <c r="E137" s="37">
        <f>$C$85</f>
        <v>4330.880353620958</v>
      </c>
      <c r="F137" s="37">
        <f>E140</f>
        <v>4042.154996712894</v>
      </c>
      <c r="G137" s="37">
        <f>F140</f>
        <v>3753.42963980483</v>
      </c>
      <c r="H137" s="37">
        <f>G140</f>
        <v>3464.704282896766</v>
      </c>
      <c r="I137" s="37">
        <f>H140</f>
        <v>3175.978925988702</v>
      </c>
      <c r="J137" s="37">
        <f>I140</f>
        <v>2887.253569080638</v>
      </c>
      <c r="K137" s="37">
        <f>J140</f>
        <v>2598.528212172574</v>
      </c>
      <c r="L137" s="37">
        <f>K140</f>
        <v>2309.80285526451</v>
      </c>
      <c r="M137" s="37">
        <f>L140</f>
        <v>2021.077498356446</v>
      </c>
      <c r="N137" s="37">
        <f>M140</f>
        <v>1732.352141448382</v>
      </c>
      <c r="O137" s="37">
        <f>N140</f>
        <v>1443.626784540318</v>
      </c>
      <c r="P137" s="37">
        <f>O140</f>
        <v>1154.9014276322541</v>
      </c>
      <c r="Q137" s="37">
        <f>P140</f>
        <v>866.1760707241903</v>
      </c>
      <c r="R137" s="37">
        <f>Q140</f>
        <v>577.4507138161264</v>
      </c>
      <c r="S137" s="37">
        <f>R140</f>
        <v>288.7253569080625</v>
      </c>
      <c r="T137" s="37">
        <f>S140</f>
        <v>0</v>
      </c>
      <c r="U137" s="37">
        <f>T140</f>
        <v>0</v>
      </c>
      <c r="V137" s="37">
        <f>U140</f>
        <v>0</v>
      </c>
      <c r="W137" s="37">
        <f>V140</f>
        <v>0</v>
      </c>
      <c r="X137" s="37">
        <f>W140</f>
        <v>0</v>
      </c>
      <c r="Y137" s="37">
        <f>X140</f>
        <v>0</v>
      </c>
      <c r="Z137" s="37">
        <f>Y140</f>
        <v>0</v>
      </c>
      <c r="AA137" s="37">
        <f>Z140</f>
        <v>0</v>
      </c>
      <c r="AB137" s="37">
        <f>AA140</f>
        <v>0</v>
      </c>
      <c r="AC137" s="37">
        <f>AB140</f>
        <v>0</v>
      </c>
    </row>
    <row r="138" spans="1:29" x14ac:dyDescent="0.25">
      <c r="A138" s="33" t="s">
        <v>206</v>
      </c>
      <c r="B138" s="26" t="s">
        <v>86</v>
      </c>
      <c r="C138" s="57">
        <f>SUM(E138:AC138)</f>
        <v>3118.2338546070887</v>
      </c>
      <c r="E138" s="37">
        <f>E137*$C$63</f>
        <v>389.7792318258862</v>
      </c>
      <c r="F138" s="37">
        <f>F137*$C$63</f>
        <v>363.79394970416047</v>
      </c>
      <c r="G138" s="37">
        <f>G137*$C$63</f>
        <v>337.8086675824347</v>
      </c>
      <c r="H138" s="37">
        <f>H137*$C$63</f>
        <v>311.82338546070895</v>
      </c>
      <c r="I138" s="37">
        <f>I137*$C$63</f>
        <v>285.83810333898316</v>
      </c>
      <c r="J138" s="37">
        <f>J137*$C$63</f>
        <v>259.85282121725743</v>
      </c>
      <c r="K138" s="37">
        <f>K137*$C$63</f>
        <v>233.86753909553167</v>
      </c>
      <c r="L138" s="37">
        <f>L137*$C$63</f>
        <v>207.8822569738059</v>
      </c>
      <c r="M138" s="37">
        <f>M137*$C$63</f>
        <v>181.89697485208015</v>
      </c>
      <c r="N138" s="37">
        <f>N137*$C$63</f>
        <v>155.9116927303544</v>
      </c>
      <c r="O138" s="37">
        <f>O137*$C$63</f>
        <v>129.92641060862863</v>
      </c>
      <c r="P138" s="37">
        <f>P137*$C$63</f>
        <v>103.94112848690287</v>
      </c>
      <c r="Q138" s="37">
        <f>Q137*$C$63</f>
        <v>77.95584636517712</v>
      </c>
      <c r="R138" s="37">
        <f>R137*$C$63</f>
        <v>51.97056424345137</v>
      </c>
      <c r="S138" s="37">
        <f>S137*$C$63</f>
        <v>25.985282121725625</v>
      </c>
      <c r="T138" s="37">
        <f>T137*$C$63</f>
        <v>0</v>
      </c>
      <c r="U138" s="37">
        <f>U137*$C$63</f>
        <v>0</v>
      </c>
      <c r="V138" s="37">
        <f>V137*$C$63</f>
        <v>0</v>
      </c>
      <c r="W138" s="37">
        <f>W137*$C$63</f>
        <v>0</v>
      </c>
      <c r="X138" s="37">
        <f>X137*$C$63</f>
        <v>0</v>
      </c>
      <c r="Y138" s="37">
        <f>Y137*$C$63</f>
        <v>0</v>
      </c>
      <c r="Z138" s="37">
        <f>Z137*$C$63</f>
        <v>0</v>
      </c>
      <c r="AA138" s="37">
        <f>AA137*$C$63</f>
        <v>0</v>
      </c>
      <c r="AB138" s="37">
        <f>AB137*$C$63</f>
        <v>0</v>
      </c>
      <c r="AC138" s="37">
        <f>AC137*$C$63</f>
        <v>0</v>
      </c>
    </row>
    <row r="139" spans="1:29" x14ac:dyDescent="0.25">
      <c r="A139" s="33" t="s">
        <v>207</v>
      </c>
      <c r="B139" s="26" t="s">
        <v>86</v>
      </c>
      <c r="C139" s="57">
        <f>SUM(E139:AC139)</f>
        <v>4330.880353620958</v>
      </c>
      <c r="E139" s="37">
        <f>IF(AND(E$5&lt;=$C$88,E137&gt;1E-9),IF($C$65="annuity",MIN(E137,$C$89-E138),MIN(E137,$C$90)),0)</f>
        <v>288.7253569080639</v>
      </c>
      <c r="F139" s="37">
        <f>IF(AND(F$5&lt;=$C$88,F137&gt;1E-9),IF($C$65="annuity",MIN(F137,$C$89-F138),MIN(F137,$C$90)),0)</f>
        <v>288.7253569080639</v>
      </c>
      <c r="G139" s="37">
        <f>IF(AND(G$5&lt;=$C$88,G137&gt;1E-9),IF($C$65="annuity",MIN(G137,$C$89-G138),MIN(G137,$C$90)),0)</f>
        <v>288.7253569080639</v>
      </c>
      <c r="H139" s="37">
        <f>IF(AND(H$5&lt;=$C$88,H137&gt;1E-9),IF($C$65="annuity",MIN(H137,$C$89-H138),MIN(H137,$C$90)),0)</f>
        <v>288.7253569080639</v>
      </c>
      <c r="I139" s="37">
        <f>IF(AND(I$5&lt;=$C$88,I137&gt;1E-9),IF($C$65="annuity",MIN(I137,$C$89-I138),MIN(I137,$C$90)),0)</f>
        <v>288.7253569080639</v>
      </c>
      <c r="J139" s="37">
        <f>IF(AND(J$5&lt;=$C$88,J137&gt;1E-9),IF($C$65="annuity",MIN(J137,$C$89-J138),MIN(J137,$C$90)),0)</f>
        <v>288.7253569080639</v>
      </c>
      <c r="K139" s="37">
        <f>IF(AND(K$5&lt;=$C$88,K137&gt;1E-9),IF($C$65="annuity",MIN(K137,$C$89-K138),MIN(K137,$C$90)),0)</f>
        <v>288.7253569080639</v>
      </c>
      <c r="L139" s="37">
        <f>IF(AND(L$5&lt;=$C$88,L137&gt;1E-9),IF($C$65="annuity",MIN(L137,$C$89-L138),MIN(L137,$C$90)),0)</f>
        <v>288.7253569080639</v>
      </c>
      <c r="M139" s="37">
        <f>IF(AND(M$5&lt;=$C$88,M137&gt;1E-9),IF($C$65="annuity",MIN(M137,$C$89-M138),MIN(M137,$C$90)),0)</f>
        <v>288.7253569080639</v>
      </c>
      <c r="N139" s="37">
        <f>IF(AND(N$5&lt;=$C$88,N137&gt;1E-9),IF($C$65="annuity",MIN(N137,$C$89-N138),MIN(N137,$C$90)),0)</f>
        <v>288.7253569080639</v>
      </c>
      <c r="O139" s="37">
        <f>IF(AND(O$5&lt;=$C$88,O137&gt;1E-9),IF($C$65="annuity",MIN(O137,$C$89-O138),MIN(O137,$C$90)),0)</f>
        <v>288.7253569080639</v>
      </c>
      <c r="P139" s="37">
        <f>IF(AND(P$5&lt;=$C$88,P137&gt;1E-9),IF($C$65="annuity",MIN(P137,$C$89-P138),MIN(P137,$C$90)),0)</f>
        <v>288.7253569080639</v>
      </c>
      <c r="Q139" s="37">
        <f>IF(AND(Q$5&lt;=$C$88,Q137&gt;1E-9),IF($C$65="annuity",MIN(Q137,$C$89-Q138),MIN(Q137,$C$90)),0)</f>
        <v>288.7253569080639</v>
      </c>
      <c r="R139" s="37">
        <f>IF(AND(R$5&lt;=$C$88,R137&gt;1E-9),IF($C$65="annuity",MIN(R137,$C$89-R138),MIN(R137,$C$90)),0)</f>
        <v>288.7253569080639</v>
      </c>
      <c r="S139" s="37">
        <f>IF(AND(S$5&lt;=$C$88,S137&gt;1E-9),IF($C$65="annuity",MIN(S137,$C$89-S138),MIN(S137,$C$90)),0)</f>
        <v>288.7253569080625</v>
      </c>
      <c r="T139" s="37">
        <f>IF(AND(T$5&lt;=$C$88,T137&gt;1E-9),IF($C$65="annuity",MIN(T137,$C$89-T138),MIN(T137,$C$90)),0)</f>
        <v>0</v>
      </c>
      <c r="U139" s="37">
        <f>IF(AND(U$5&lt;=$C$88,U137&gt;1E-9),IF($C$65="annuity",MIN(U137,$C$89-U138),MIN(U137,$C$90)),0)</f>
        <v>0</v>
      </c>
      <c r="V139" s="37">
        <f>IF(AND(V$5&lt;=$C$88,V137&gt;1E-9),IF($C$65="annuity",MIN(V137,$C$89-V138),MIN(V137,$C$90)),0)</f>
        <v>0</v>
      </c>
      <c r="W139" s="37">
        <f>IF(AND(W$5&lt;=$C$88,W137&gt;1E-9),IF($C$65="annuity",MIN(W137,$C$89-W138),MIN(W137,$C$90)),0)</f>
        <v>0</v>
      </c>
      <c r="X139" s="37">
        <f>IF(AND(X$5&lt;=$C$88,X137&gt;1E-9),IF($C$65="annuity",MIN(X137,$C$89-X138),MIN(X137,$C$90)),0)</f>
        <v>0</v>
      </c>
      <c r="Y139" s="37">
        <f>IF(AND(Y$5&lt;=$C$88,Y137&gt;1E-9),IF($C$65="annuity",MIN(Y137,$C$89-Y138),MIN(Y137,$C$90)),0)</f>
        <v>0</v>
      </c>
      <c r="Z139" s="37">
        <f>IF(AND(Z$5&lt;=$C$88,Z137&gt;1E-9),IF($C$65="annuity",MIN(Z137,$C$89-Z138),MIN(Z137,$C$90)),0)</f>
        <v>0</v>
      </c>
      <c r="AA139" s="37">
        <f>IF(AND(AA$5&lt;=$C$88,AA137&gt;1E-9),IF($C$65="annuity",MIN(AA137,$C$89-AA138),MIN(AA137,$C$90)),0)</f>
        <v>0</v>
      </c>
      <c r="AB139" s="37">
        <f>IF(AND(AB$5&lt;=$C$88,AB137&gt;1E-9),IF($C$65="annuity",MIN(AB137,$C$89-AB138),MIN(AB137,$C$90)),0)</f>
        <v>0</v>
      </c>
      <c r="AC139" s="37">
        <f>IF(AND(AC$5&lt;=$C$88,AC137&gt;1E-9),IF($C$65="annuity",MIN(AC137,$C$89-AC138),MIN(AC137,$C$90)),0)</f>
        <v>0</v>
      </c>
    </row>
    <row r="140" spans="1:29" x14ac:dyDescent="0.25">
      <c r="A140" s="33" t="s">
        <v>208</v>
      </c>
      <c r="B140" s="26" t="s">
        <v>86</v>
      </c>
      <c r="E140" s="37">
        <f>E137-E139</f>
        <v>4042.154996712894</v>
      </c>
      <c r="F140" s="37">
        <f>F137-F139</f>
        <v>3753.42963980483</v>
      </c>
      <c r="G140" s="37">
        <f>G137-G139</f>
        <v>3464.704282896766</v>
      </c>
      <c r="H140" s="37">
        <f>H137-H139</f>
        <v>3175.978925988702</v>
      </c>
      <c r="I140" s="37">
        <f>I137-I139</f>
        <v>2887.253569080638</v>
      </c>
      <c r="J140" s="37">
        <f>J137-J139</f>
        <v>2598.528212172574</v>
      </c>
      <c r="K140" s="37">
        <f>K137-K139</f>
        <v>2309.80285526451</v>
      </c>
      <c r="L140" s="37">
        <f>L137-L139</f>
        <v>2021.077498356446</v>
      </c>
      <c r="M140" s="37">
        <f>M137-M139</f>
        <v>1732.352141448382</v>
      </c>
      <c r="N140" s="37">
        <f>N137-N139</f>
        <v>1443.626784540318</v>
      </c>
      <c r="O140" s="37">
        <f>O137-O139</f>
        <v>1154.9014276322541</v>
      </c>
      <c r="P140" s="37">
        <f>P137-P139</f>
        <v>866.1760707241903</v>
      </c>
      <c r="Q140" s="37">
        <f>Q137-Q139</f>
        <v>577.4507138161264</v>
      </c>
      <c r="R140" s="37">
        <f>R137-R139</f>
        <v>288.7253569080625</v>
      </c>
      <c r="S140" s="37">
        <f>S137-S139</f>
        <v>0</v>
      </c>
      <c r="T140" s="37">
        <f>T137-T139</f>
        <v>0</v>
      </c>
      <c r="U140" s="37">
        <f>U137-U139</f>
        <v>0</v>
      </c>
      <c r="V140" s="37">
        <f>V137-V139</f>
        <v>0</v>
      </c>
      <c r="W140" s="37">
        <f>W137-W139</f>
        <v>0</v>
      </c>
      <c r="X140" s="37">
        <f>X137-X139</f>
        <v>0</v>
      </c>
      <c r="Y140" s="37">
        <f>Y137-Y139</f>
        <v>0</v>
      </c>
      <c r="Z140" s="37">
        <f>Z137-Z139</f>
        <v>0</v>
      </c>
      <c r="AA140" s="37">
        <f>AA137-AA139</f>
        <v>0</v>
      </c>
      <c r="AB140" s="37">
        <f>AB137-AB139</f>
        <v>0</v>
      </c>
      <c r="AC140" s="37">
        <f>AC137-AC139</f>
        <v>0</v>
      </c>
    </row>
    <row r="141" spans="1:29" x14ac:dyDescent="0.25">
      <c r="A141" s="61" t="s">
        <v>209</v>
      </c>
      <c r="B141" s="62" t="s">
        <v>86</v>
      </c>
      <c r="C141" s="63">
        <f>SUM(E141:AC141)</f>
        <v>7449.114208228046</v>
      </c>
      <c r="D141" s="64"/>
      <c r="E141" s="63">
        <f>E138+E139</f>
        <v>678.5045887339501</v>
      </c>
      <c r="F141" s="63">
        <f>F138+F139</f>
        <v>652.5193066122243</v>
      </c>
      <c r="G141" s="63">
        <f>G138+G139</f>
        <v>626.5340244904985</v>
      </c>
      <c r="H141" s="63">
        <f>H138+H139</f>
        <v>600.5487423687728</v>
      </c>
      <c r="I141" s="63">
        <f>I138+I139</f>
        <v>574.563460247047</v>
      </c>
      <c r="J141" s="63">
        <f>J138+J139</f>
        <v>548.5781781253213</v>
      </c>
      <c r="K141" s="63">
        <f>K138+K139</f>
        <v>522.5928960035956</v>
      </c>
      <c r="L141" s="63">
        <f>L138+L139</f>
        <v>496.6076138818698</v>
      </c>
      <c r="M141" s="63">
        <f>M138+M139</f>
        <v>470.622331760144</v>
      </c>
      <c r="N141" s="63">
        <f>N138+N139</f>
        <v>444.63704963841826</v>
      </c>
      <c r="O141" s="63">
        <f>O138+O139</f>
        <v>418.65176751669253</v>
      </c>
      <c r="P141" s="63">
        <f>P138+P139</f>
        <v>392.66648539496674</v>
      </c>
      <c r="Q141" s="63">
        <f>Q138+Q139</f>
        <v>366.681203273241</v>
      </c>
      <c r="R141" s="63">
        <f>R138+R139</f>
        <v>340.6959211515152</v>
      </c>
      <c r="S141" s="63">
        <f>S138+S139</f>
        <v>314.7106390297881</v>
      </c>
      <c r="T141" s="63">
        <f>T138+T139</f>
        <v>0</v>
      </c>
      <c r="U141" s="63">
        <f>U138+U139</f>
        <v>0</v>
      </c>
      <c r="V141" s="63">
        <f>V138+V139</f>
        <v>0</v>
      </c>
      <c r="W141" s="63">
        <f>W138+W139</f>
        <v>0</v>
      </c>
      <c r="X141" s="63">
        <f>X138+X139</f>
        <v>0</v>
      </c>
      <c r="Y141" s="63">
        <f>Y138+Y139</f>
        <v>0</v>
      </c>
      <c r="Z141" s="63">
        <f>Z138+Z139</f>
        <v>0</v>
      </c>
      <c r="AA141" s="63">
        <f>AA138+AA139</f>
        <v>0</v>
      </c>
      <c r="AB141" s="63">
        <f>AB138+AB139</f>
        <v>0</v>
      </c>
      <c r="AC141" s="63">
        <f>AC138+AC139</f>
        <v>0</v>
      </c>
    </row>
    <row r="143" ht="20" customHeight="1" spans="1:29" x14ac:dyDescent="0.25">
      <c r="A143" s="21" t="s">
        <v>163</v>
      </c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1:29" x14ac:dyDescent="0.25">
      <c r="A144" s="33" t="s">
        <v>210</v>
      </c>
      <c r="B144" s="26" t="s">
        <v>86</v>
      </c>
      <c r="E144" s="37">
        <f>$C$84</f>
        <v>6186.971933744227</v>
      </c>
      <c r="F144" s="37">
        <f>E147</f>
        <v>3712.183160246536</v>
      </c>
      <c r="G144" s="37">
        <f>F147</f>
        <v>2251.5941260323816</v>
      </c>
      <c r="H144" s="37">
        <f>G147</f>
        <v>1375.2407055038893</v>
      </c>
      <c r="I144" s="37">
        <f>H147</f>
        <v>849.4286531867939</v>
      </c>
      <c r="J144" s="37">
        <f>I147</f>
        <v>533.9414217965366</v>
      </c>
      <c r="K144" s="37">
        <f>J147</f>
        <v>344.6490829623823</v>
      </c>
      <c r="L144" s="37">
        <f>K147</f>
        <v>231.0736796618897</v>
      </c>
      <c r="M144" s="37">
        <f>L147</f>
        <v>162.92843768159418</v>
      </c>
      <c r="N144" s="37">
        <f>M147</f>
        <v>122.04129249341685</v>
      </c>
      <c r="O144" s="37">
        <f>N147</f>
        <v>97.50900538051044</v>
      </c>
      <c r="P144" s="37">
        <f>O147</f>
        <v>82.78963311276661</v>
      </c>
      <c r="Q144" s="37">
        <f>P147</f>
        <v>73.9580097521203</v>
      </c>
      <c r="R144" s="37">
        <f>Q147</f>
        <v>68.65903573573252</v>
      </c>
      <c r="S144" s="37">
        <f>R147</f>
        <v>65.47965132589985</v>
      </c>
      <c r="T144" s="37">
        <f>S147</f>
        <v>63.57202068000025</v>
      </c>
      <c r="U144" s="37">
        <f>T147</f>
        <v>62.42744229246049</v>
      </c>
      <c r="V144" s="37">
        <f>U147</f>
        <v>61.74069525993663</v>
      </c>
      <c r="W144" s="37">
        <f>V147</f>
        <v>61.32864704042232</v>
      </c>
      <c r="X144" s="37">
        <f>W147</f>
        <v>61.08141810871373</v>
      </c>
      <c r="Y144" s="37">
        <f>X147</f>
        <v>60.93308074968858</v>
      </c>
      <c r="Z144" s="37">
        <f>Y147</f>
        <v>60.84407833427348</v>
      </c>
      <c r="AA144" s="37">
        <f>Z147</f>
        <v>60.79067688502443</v>
      </c>
      <c r="AB144" s="37">
        <f>AA147</f>
        <v>60.75863601547499</v>
      </c>
      <c r="AC144" s="37">
        <f>AB147</f>
        <v>60.73941149374534</v>
      </c>
    </row>
    <row r="145" spans="1:29" x14ac:dyDescent="0.25">
      <c r="A145" s="33" t="s">
        <v>211</v>
      </c>
      <c r="B145" s="26" t="s">
        <v>86</v>
      </c>
      <c r="C145" s="57">
        <f>SUM(E145:AC145)</f>
        <v>971.3691953784137</v>
      </c>
      <c r="E145" s="37">
        <f>E128</f>
        <v>0</v>
      </c>
      <c r="F145" s="37">
        <f>F128</f>
        <v>40.47371647410057</v>
      </c>
      <c r="G145" s="37">
        <f>G128</f>
        <v>40.47371647410057</v>
      </c>
      <c r="H145" s="37">
        <f>H128</f>
        <v>40.47371647410057</v>
      </c>
      <c r="I145" s="37">
        <f>I128</f>
        <v>40.47371647410057</v>
      </c>
      <c r="J145" s="37">
        <f>J128</f>
        <v>40.47371647410057</v>
      </c>
      <c r="K145" s="37">
        <f>K128</f>
        <v>40.47371647410057</v>
      </c>
      <c r="L145" s="37">
        <f>L128</f>
        <v>40.47371647410057</v>
      </c>
      <c r="M145" s="37">
        <f>M128</f>
        <v>40.47371647410057</v>
      </c>
      <c r="N145" s="37">
        <f>N128</f>
        <v>40.47371647410057</v>
      </c>
      <c r="O145" s="37">
        <f>O128</f>
        <v>40.47371647410057</v>
      </c>
      <c r="P145" s="37">
        <f>P128</f>
        <v>40.47371647410057</v>
      </c>
      <c r="Q145" s="37">
        <f>Q128</f>
        <v>40.47371647410057</v>
      </c>
      <c r="R145" s="37">
        <f>R128</f>
        <v>40.47371647410057</v>
      </c>
      <c r="S145" s="37">
        <f>S128</f>
        <v>40.47371647410057</v>
      </c>
      <c r="T145" s="37">
        <f>T128</f>
        <v>40.47371647410057</v>
      </c>
      <c r="U145" s="37">
        <f>U128</f>
        <v>40.47371647410057</v>
      </c>
      <c r="V145" s="37">
        <f>V128</f>
        <v>40.47371647410057</v>
      </c>
      <c r="W145" s="37">
        <f>W128</f>
        <v>40.47371647410057</v>
      </c>
      <c r="X145" s="37">
        <f>X128</f>
        <v>40.47371647410057</v>
      </c>
      <c r="Y145" s="37">
        <f>Y128</f>
        <v>40.47371647410057</v>
      </c>
      <c r="Z145" s="37">
        <f>Z128</f>
        <v>40.47371647410057</v>
      </c>
      <c r="AA145" s="37">
        <f>AA128</f>
        <v>40.47371647410057</v>
      </c>
      <c r="AB145" s="37">
        <f>AB128</f>
        <v>40.47371647410057</v>
      </c>
      <c r="AC145" s="37">
        <f>AC128</f>
        <v>40.47371647410057</v>
      </c>
    </row>
    <row r="146" spans="1:29" x14ac:dyDescent="0.25">
      <c r="A146" s="61" t="s">
        <v>163</v>
      </c>
      <c r="B146" s="62" t="s">
        <v>86</v>
      </c>
      <c r="C146" s="63">
        <f>SUM(E146:AC146)</f>
        <v>7097.613252341933</v>
      </c>
      <c r="D146" s="64"/>
      <c r="E146" s="63">
        <f>IF($C$70="wdv",(E144+E145)*$C$71,E134)</f>
        <v>2474.7887734976907</v>
      </c>
      <c r="F146" s="63">
        <f>IF($C$70="wdv",(F144+F145)*$C$71,F134)</f>
        <v>1501.0627506882547</v>
      </c>
      <c r="G146" s="63">
        <f>IF($C$70="wdv",(G144+G145)*$C$71,G134)</f>
        <v>916.8271370025928</v>
      </c>
      <c r="H146" s="63">
        <f>IF($C$70="wdv",(H144+H145)*$C$71,H134)</f>
        <v>566.2857687911959</v>
      </c>
      <c r="I146" s="63">
        <f>IF($C$70="wdv",(I144+I145)*$C$71,I134)</f>
        <v>355.9609478643578</v>
      </c>
      <c r="J146" s="63">
        <f>IF($C$70="wdv",(J144+J145)*$C$71,J134)</f>
        <v>229.76605530825486</v>
      </c>
      <c r="K146" s="63">
        <f>IF($C$70="wdv",(K144+K145)*$C$71,K134)</f>
        <v>154.04911977459315</v>
      </c>
      <c r="L146" s="63">
        <f>IF($C$70="wdv",(L144+L145)*$C$71,L134)</f>
        <v>108.61895845439614</v>
      </c>
      <c r="M146" s="63">
        <f>IF($C$70="wdv",(M144+M145)*$C$71,M134)</f>
        <v>81.3608616622779</v>
      </c>
      <c r="N146" s="63">
        <f>IF($C$70="wdv",(N144+N145)*$C$71,N134)</f>
        <v>65.00600358700697</v>
      </c>
      <c r="O146" s="63">
        <f>IF($C$70="wdv",(O144+O145)*$C$71,O134)</f>
        <v>55.193088741844406</v>
      </c>
      <c r="P146" s="63">
        <f>IF($C$70="wdv",(P144+P145)*$C$71,P134)</f>
        <v>49.305339834746874</v>
      </c>
      <c r="Q146" s="63">
        <f>IF($C$70="wdv",(Q144+Q145)*$C$71,Q134)</f>
        <v>45.77269049048835</v>
      </c>
      <c r="R146" s="63">
        <f>IF($C$70="wdv",(R144+R145)*$C$71,R134)</f>
        <v>43.653100883933234</v>
      </c>
      <c r="S146" s="63">
        <f>IF($C$70="wdv",(S144+S145)*$C$71,S134)</f>
        <v>42.38134712000017</v>
      </c>
      <c r="T146" s="63">
        <f>IF($C$70="wdv",(T144+T145)*$C$71,T134)</f>
        <v>41.61829486164033</v>
      </c>
      <c r="U146" s="63">
        <f>IF($C$70="wdv",(U144+U145)*$C$71,U134)</f>
        <v>41.160463506624424</v>
      </c>
      <c r="V146" s="63">
        <f>IF($C$70="wdv",(V144+V145)*$C$71,V134)</f>
        <v>40.88576469361488</v>
      </c>
      <c r="W146" s="63">
        <f>IF($C$70="wdv",(W144+W145)*$C$71,W134)</f>
        <v>40.720945405809154</v>
      </c>
      <c r="X146" s="63">
        <f>IF($C$70="wdv",(X144+X145)*$C$71,X134)</f>
        <v>40.622053833125726</v>
      </c>
      <c r="Y146" s="63">
        <f>IF($C$70="wdv",(Y144+Y145)*$C$71,Y134)</f>
        <v>40.56271888951566</v>
      </c>
      <c r="Z146" s="63">
        <f>IF($C$70="wdv",(Z144+Z145)*$C$71,Z134)</f>
        <v>40.52711792334963</v>
      </c>
      <c r="AA146" s="63">
        <f>IF($C$70="wdv",(AA144+AA145)*$C$71,AA134)</f>
        <v>40.505757343650004</v>
      </c>
      <c r="AB146" s="63">
        <f>IF($C$70="wdv",(AB144+AB145)*$C$71,AB134)</f>
        <v>40.492940995830224</v>
      </c>
      <c r="AC146" s="63">
        <f>IF($C$70="wdv",(AC144+AC145)*$C$71,AC134)</f>
        <v>40.48525118713837</v>
      </c>
    </row>
    <row r="147" spans="1:29" x14ac:dyDescent="0.25">
      <c r="A147" s="33" t="s">
        <v>212</v>
      </c>
      <c r="B147" s="26" t="s">
        <v>86</v>
      </c>
      <c r="E147" s="37">
        <f>E144+E145-IF($C$70="wdv",E146,0)</f>
        <v>3712.183160246536</v>
      </c>
      <c r="F147" s="37">
        <f>F144+F145-IF($C$70="wdv",F146,0)</f>
        <v>2251.5941260323816</v>
      </c>
      <c r="G147" s="37">
        <f>G144+G145-IF($C$70="wdv",G146,0)</f>
        <v>1375.2407055038893</v>
      </c>
      <c r="H147" s="37">
        <f>H144+H145-IF($C$70="wdv",H146,0)</f>
        <v>849.4286531867939</v>
      </c>
      <c r="I147" s="37">
        <f>I144+I145-IF($C$70="wdv",I146,0)</f>
        <v>533.9414217965366</v>
      </c>
      <c r="J147" s="37">
        <f>J144+J145-IF($C$70="wdv",J146,0)</f>
        <v>344.6490829623823</v>
      </c>
      <c r="K147" s="37">
        <f>K144+K145-IF($C$70="wdv",K146,0)</f>
        <v>231.0736796618897</v>
      </c>
      <c r="L147" s="37">
        <f>L144+L145-IF($C$70="wdv",L146,0)</f>
        <v>162.92843768159418</v>
      </c>
      <c r="M147" s="37">
        <f>M144+M145-IF($C$70="wdv",M146,0)</f>
        <v>122.04129249341685</v>
      </c>
      <c r="N147" s="37">
        <f>N144+N145-IF($C$70="wdv",N146,0)</f>
        <v>97.50900538051044</v>
      </c>
      <c r="O147" s="37">
        <f>O144+O145-IF($C$70="wdv",O146,0)</f>
        <v>82.78963311276661</v>
      </c>
      <c r="P147" s="37">
        <f>P144+P145-IF($C$70="wdv",P146,0)</f>
        <v>73.9580097521203</v>
      </c>
      <c r="Q147" s="37">
        <f>Q144+Q145-IF($C$70="wdv",Q146,0)</f>
        <v>68.65903573573252</v>
      </c>
      <c r="R147" s="37">
        <f>R144+R145-IF($C$70="wdv",R146,0)</f>
        <v>65.47965132589985</v>
      </c>
      <c r="S147" s="37">
        <f>S144+S145-IF($C$70="wdv",S146,0)</f>
        <v>63.57202068000025</v>
      </c>
      <c r="T147" s="37">
        <f>T144+T145-IF($C$70="wdv",T146,0)</f>
        <v>62.42744229246049</v>
      </c>
      <c r="U147" s="37">
        <f>U144+U145-IF($C$70="wdv",U146,0)</f>
        <v>61.74069525993663</v>
      </c>
      <c r="V147" s="37">
        <f>V144+V145-IF($C$70="wdv",V146,0)</f>
        <v>61.32864704042232</v>
      </c>
      <c r="W147" s="37">
        <f>W144+W145-IF($C$70="wdv",W146,0)</f>
        <v>61.08141810871373</v>
      </c>
      <c r="X147" s="37">
        <f>X144+X145-IF($C$70="wdv",X146,0)</f>
        <v>60.93308074968858</v>
      </c>
      <c r="Y147" s="37">
        <f>Y144+Y145-IF($C$70="wdv",Y146,0)</f>
        <v>60.84407833427348</v>
      </c>
      <c r="Z147" s="37">
        <f>Z144+Z145-IF($C$70="wdv",Z146,0)</f>
        <v>60.79067688502443</v>
      </c>
      <c r="AA147" s="37">
        <f>AA144+AA145-IF($C$70="wdv",AA146,0)</f>
        <v>60.75863601547499</v>
      </c>
      <c r="AB147" s="37">
        <f>AB144+AB145-IF($C$70="wdv",AB146,0)</f>
        <v>60.73941149374534</v>
      </c>
      <c r="AC147" s="37">
        <f>AC144+AC145-IF($C$70="wdv",AC146,0)</f>
        <v>60.72787678070754</v>
      </c>
    </row>
    <row r="149" ht="20" customHeight="1" spans="1:29" x14ac:dyDescent="0.25">
      <c r="A149" s="21" t="s">
        <v>213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1:29" x14ac:dyDescent="0.25">
      <c r="A150" s="33" t="s">
        <v>198</v>
      </c>
      <c r="B150" s="26" t="s">
        <v>86</v>
      </c>
      <c r="C150" s="57">
        <f>SUM(E150:AC150)</f>
        <v>20192.31203011607</v>
      </c>
      <c r="E150" s="37">
        <f>E124</f>
        <v>889.8565861542061</v>
      </c>
      <c r="F150" s="37">
        <f>F124</f>
        <v>884.7082134640087</v>
      </c>
      <c r="G150" s="37">
        <f>G124</f>
        <v>879.3949694460715</v>
      </c>
      <c r="H150" s="37">
        <f>H124</f>
        <v>873.9086105340074</v>
      </c>
      <c r="I150" s="37">
        <f>I124</f>
        <v>868.2404809831099</v>
      </c>
      <c r="J150" s="37">
        <f>J124</f>
        <v>862.3814922614373</v>
      </c>
      <c r="K150" s="37">
        <f>K124</f>
        <v>856.322101410451</v>
      </c>
      <c r="L150" s="37">
        <f>L124</f>
        <v>850.052288323685</v>
      </c>
      <c r="M150" s="37">
        <f>M124</f>
        <v>843.561531889351</v>
      </c>
      <c r="N150" s="37">
        <f>N124</f>
        <v>836.83878494007</v>
      </c>
      <c r="O150" s="37">
        <f>O124</f>
        <v>829.8724479500949</v>
      </c>
      <c r="P150" s="37">
        <f>P124</f>
        <v>822.6503414173908</v>
      </c>
      <c r="Q150" s="37">
        <f>Q124</f>
        <v>815.159676864821</v>
      </c>
      <c r="R150" s="37">
        <f>R124</f>
        <v>807.3870263913931</v>
      </c>
      <c r="S150" s="37">
        <f>S124</f>
        <v>799.3182907010635</v>
      </c>
      <c r="T150" s="37">
        <f>T124</f>
        <v>790.9386655329872</v>
      </c>
      <c r="U150" s="37">
        <f>U124</f>
        <v>782.2326064132772</v>
      </c>
      <c r="V150" s="37">
        <f>V124</f>
        <v>773.1837916443512</v>
      </c>
      <c r="W150" s="37">
        <f>W124</f>
        <v>763.7750834437489</v>
      </c>
      <c r="X150" s="37">
        <f>X124</f>
        <v>753.9884871398865</v>
      </c>
      <c r="Y150" s="37">
        <f>Y124</f>
        <v>743.8051083276008</v>
      </c>
      <c r="Z150" s="37">
        <f>Z124</f>
        <v>733.2051078814706</v>
      </c>
      <c r="AA150" s="37">
        <f>AA124</f>
        <v>722.1676547198037</v>
      </c>
      <c r="AB150" s="37">
        <f>AB124</f>
        <v>710.6708762068234</v>
      </c>
      <c r="AC150" s="37">
        <f>AC124</f>
        <v>698.6918060749638</v>
      </c>
    </row>
    <row r="151" spans="1:29" x14ac:dyDescent="0.25">
      <c r="A151" s="33" t="s">
        <v>214</v>
      </c>
      <c r="B151" s="26" t="s">
        <v>86</v>
      </c>
      <c r="C151" s="57">
        <f>SUM(E151:AC151)</f>
        <v>6539.643935748218</v>
      </c>
      <c r="E151" s="37">
        <f>E134</f>
        <v>222.73098961479215</v>
      </c>
      <c r="F151" s="37">
        <f>F134</f>
        <v>224.41739446787966</v>
      </c>
      <c r="G151" s="37">
        <f>G134</f>
        <v>226.17712127110144</v>
      </c>
      <c r="H151" s="37">
        <f>H134</f>
        <v>228.01683565628784</v>
      </c>
      <c r="I151" s="37">
        <f>I134</f>
        <v>229.94415548838785</v>
      </c>
      <c r="J151" s="37">
        <f>J134</f>
        <v>231.96784131209287</v>
      </c>
      <c r="K151" s="37">
        <f>K134</f>
        <v>234.0980369159929</v>
      </c>
      <c r="L151" s="37">
        <f>L134</f>
        <v>236.34657672010962</v>
      </c>
      <c r="M151" s="37">
        <f>M134</f>
        <v>238.7273835715273</v>
      </c>
      <c r="N151" s="37">
        <f>N134</f>
        <v>241.25699085115858</v>
      </c>
      <c r="O151" s="37">
        <f>O134</f>
        <v>243.95523861609863</v>
      </c>
      <c r="P151" s="37">
        <f>P134</f>
        <v>246.84621836424867</v>
      </c>
      <c r="Q151" s="37">
        <f>Q134</f>
        <v>249.9595811699487</v>
      </c>
      <c r="R151" s="37">
        <f>R134</f>
        <v>253.33239087612375</v>
      </c>
      <c r="S151" s="37">
        <f>S134</f>
        <v>257.0118196464965</v>
      </c>
      <c r="T151" s="37">
        <f>T134</f>
        <v>261.05919129390657</v>
      </c>
      <c r="U151" s="37">
        <f>U134</f>
        <v>265.55627090214</v>
      </c>
      <c r="V151" s="37">
        <f>V134</f>
        <v>270.61548546140256</v>
      </c>
      <c r="W151" s="37">
        <f>W134</f>
        <v>276.39744495770265</v>
      </c>
      <c r="X151" s="37">
        <f>X134</f>
        <v>283.14306437005274</v>
      </c>
      <c r="Y151" s="37">
        <f>Y134</f>
        <v>291.23780766487283</v>
      </c>
      <c r="Z151" s="37">
        <f>Z134</f>
        <v>301.356236783398</v>
      </c>
      <c r="AA151" s="37">
        <f>AA134</f>
        <v>314.8474756080982</v>
      </c>
      <c r="AB151" s="37">
        <f>AB134</f>
        <v>335.0843338451485</v>
      </c>
      <c r="AC151" s="37">
        <f>AC134</f>
        <v>375.558050319249</v>
      </c>
    </row>
    <row r="152" spans="1:29" x14ac:dyDescent="0.25">
      <c r="A152" s="33" t="s">
        <v>215</v>
      </c>
      <c r="B152" s="26" t="s">
        <v>86</v>
      </c>
      <c r="C152" s="57">
        <f>SUM(E152:AC152)</f>
        <v>3118.2338546070887</v>
      </c>
      <c r="E152" s="37">
        <f>E138</f>
        <v>389.7792318258862</v>
      </c>
      <c r="F152" s="37">
        <f>F138</f>
        <v>363.79394970416047</v>
      </c>
      <c r="G152" s="37">
        <f>G138</f>
        <v>337.8086675824347</v>
      </c>
      <c r="H152" s="37">
        <f>H138</f>
        <v>311.82338546070895</v>
      </c>
      <c r="I152" s="37">
        <f>I138</f>
        <v>285.83810333898316</v>
      </c>
      <c r="J152" s="37">
        <f>J138</f>
        <v>259.85282121725743</v>
      </c>
      <c r="K152" s="37">
        <f>K138</f>
        <v>233.86753909553167</v>
      </c>
      <c r="L152" s="37">
        <f>L138</f>
        <v>207.8822569738059</v>
      </c>
      <c r="M152" s="37">
        <f>M138</f>
        <v>181.89697485208015</v>
      </c>
      <c r="N152" s="37">
        <f>N138</f>
        <v>155.9116927303544</v>
      </c>
      <c r="O152" s="37">
        <f>O138</f>
        <v>129.92641060862863</v>
      </c>
      <c r="P152" s="37">
        <f>P138</f>
        <v>103.94112848690287</v>
      </c>
      <c r="Q152" s="37">
        <f>Q138</f>
        <v>77.95584636517712</v>
      </c>
      <c r="R152" s="37">
        <f>R138</f>
        <v>51.97056424345137</v>
      </c>
      <c r="S152" s="37">
        <f>S138</f>
        <v>25.985282121725625</v>
      </c>
      <c r="T152" s="37">
        <f>T138</f>
        <v>0</v>
      </c>
      <c r="U152" s="37">
        <f>U138</f>
        <v>0</v>
      </c>
      <c r="V152" s="37">
        <f>V138</f>
        <v>0</v>
      </c>
      <c r="W152" s="37">
        <f>W138</f>
        <v>0</v>
      </c>
      <c r="X152" s="37">
        <f>X138</f>
        <v>0</v>
      </c>
      <c r="Y152" s="37">
        <f>Y138</f>
        <v>0</v>
      </c>
      <c r="Z152" s="37">
        <f>Z138</f>
        <v>0</v>
      </c>
      <c r="AA152" s="37">
        <f>AA138</f>
        <v>0</v>
      </c>
      <c r="AB152" s="37">
        <f>AB138</f>
        <v>0</v>
      </c>
      <c r="AC152" s="37">
        <f>AC138</f>
        <v>0</v>
      </c>
    </row>
    <row r="153" spans="1:29" x14ac:dyDescent="0.25">
      <c r="A153" s="61" t="s">
        <v>216</v>
      </c>
      <c r="B153" s="62" t="s">
        <v>86</v>
      </c>
      <c r="C153" s="63">
        <f>SUM(E153:AC153)</f>
        <v>10534.434239760769</v>
      </c>
      <c r="D153" s="64"/>
      <c r="E153" s="63">
        <f>E150-E151-E152</f>
        <v>277.3463647135277</v>
      </c>
      <c r="F153" s="63">
        <f>F150-F151-F152</f>
        <v>296.49686929196855</v>
      </c>
      <c r="G153" s="63">
        <f>G150-G151-G152</f>
        <v>315.4091805925354</v>
      </c>
      <c r="H153" s="63">
        <f>H150-H151-H152</f>
        <v>334.06838941701056</v>
      </c>
      <c r="I153" s="63">
        <f>I150-I151-I152</f>
        <v>352.4582221557389</v>
      </c>
      <c r="J153" s="63">
        <f>J150-J151-J152</f>
        <v>370.560829732087</v>
      </c>
      <c r="K153" s="63">
        <f>K150-K151-K152</f>
        <v>388.35652539892635</v>
      </c>
      <c r="L153" s="63">
        <f>L150-L151-L152</f>
        <v>405.8234546297695</v>
      </c>
      <c r="M153" s="63">
        <f>M150-M151-M152</f>
        <v>422.9371734657436</v>
      </c>
      <c r="N153" s="63">
        <f>N150-N151-N152</f>
        <v>439.6701013585571</v>
      </c>
      <c r="O153" s="63">
        <f>O150-O151-O152</f>
        <v>455.99079872536754</v>
      </c>
      <c r="P153" s="63">
        <f>P150-P151-P152</f>
        <v>471.86299456623925</v>
      </c>
      <c r="Q153" s="63">
        <f>Q150-Q151-Q152</f>
        <v>487.24424932969515</v>
      </c>
      <c r="R153" s="63">
        <f>R150-R151-R152</f>
        <v>502.08407127181795</v>
      </c>
      <c r="S153" s="63">
        <f>S150-S151-S152</f>
        <v>516.3211889328413</v>
      </c>
      <c r="T153" s="63">
        <f>T150-T151-T152</f>
        <v>529.8794742390807</v>
      </c>
      <c r="U153" s="63">
        <f>U150-U151-U152</f>
        <v>516.6763355111372</v>
      </c>
      <c r="V153" s="63">
        <f>V150-V151-V152</f>
        <v>502.5683061829487</v>
      </c>
      <c r="W153" s="63">
        <f>W150-W151-W152</f>
        <v>487.3776384860463</v>
      </c>
      <c r="X153" s="63">
        <f>X150-X151-X152</f>
        <v>470.84542276983376</v>
      </c>
      <c r="Y153" s="63">
        <f>Y150-Y151-Y152</f>
        <v>452.567300662728</v>
      </c>
      <c r="Z153" s="63">
        <f>Z150-Z151-Z152</f>
        <v>431.84887109807255</v>
      </c>
      <c r="AA153" s="63">
        <f>AA150-AA151-AA152</f>
        <v>407.32017911170556</v>
      </c>
      <c r="AB153" s="63">
        <f>AB150-AB151-AB152</f>
        <v>375.58654236167496</v>
      </c>
      <c r="AC153" s="63">
        <f>AC150-AC151-AC152</f>
        <v>323.1337557557148</v>
      </c>
    </row>
    <row r="154" spans="1:29" x14ac:dyDescent="0.25">
      <c r="A154" s="33" t="s">
        <v>217</v>
      </c>
      <c r="B154" s="26" t="s">
        <v>86</v>
      </c>
      <c r="E154" s="37">
        <f>E124-E138-E146</f>
        <v>-1974.7114191693709</v>
      </c>
      <c r="F154" s="37">
        <f>F124-F138-F146</f>
        <v>-980.1484869284064</v>
      </c>
      <c r="G154" s="37">
        <f>G124-G138-G146</f>
        <v>-375.24083513895596</v>
      </c>
      <c r="H154" s="37">
        <f>H124-H138-H146</f>
        <v>-4.200543717897403</v>
      </c>
      <c r="I154" s="37">
        <f>I124-I138-I146</f>
        <v>226.44142977976895</v>
      </c>
      <c r="J154" s="37">
        <f>J124-J138-J146</f>
        <v>372.762615735925</v>
      </c>
      <c r="K154" s="37">
        <f>K124-K138-K146</f>
        <v>468.40544254032613</v>
      </c>
      <c r="L154" s="37">
        <f>L124-L138-L146</f>
        <v>533.551072895483</v>
      </c>
      <c r="M154" s="37">
        <f>M124-M138-M146</f>
        <v>580.303695374993</v>
      </c>
      <c r="N154" s="37">
        <f>N124-N138-N146</f>
        <v>615.9210886227087</v>
      </c>
      <c r="O154" s="37">
        <f>O124-O138-O146</f>
        <v>644.7529485996217</v>
      </c>
      <c r="P154" s="37">
        <f>P124-P138-P146</f>
        <v>669.403873095741</v>
      </c>
      <c r="Q154" s="37">
        <f>Q124-Q138-Q146</f>
        <v>691.4311400091556</v>
      </c>
      <c r="R154" s="37">
        <f>R124-R138-R146</f>
        <v>711.7633612640085</v>
      </c>
      <c r="S154" s="37">
        <f>S124-S138-S146</f>
        <v>730.9516614593376</v>
      </c>
      <c r="T154" s="37">
        <f>T124-T138-T146</f>
        <v>749.3203706713468</v>
      </c>
      <c r="U154" s="37">
        <f>U124-U138-U146</f>
        <v>741.0721429066527</v>
      </c>
      <c r="V154" s="37">
        <f>V124-V138-V146</f>
        <v>732.2980269507364</v>
      </c>
      <c r="W154" s="37">
        <f>W124-W138-W146</f>
        <v>723.0541380379398</v>
      </c>
      <c r="X154" s="37">
        <f>X124-X138-X146</f>
        <v>713.3664333067608</v>
      </c>
      <c r="Y154" s="37">
        <f>Y124-Y138-Y146</f>
        <v>703.2423894380852</v>
      </c>
      <c r="Z154" s="37">
        <f>Z124-Z138-Z146</f>
        <v>692.677989958121</v>
      </c>
      <c r="AA154" s="37">
        <f>AA124-AA138-AA146</f>
        <v>681.6618973761538</v>
      </c>
      <c r="AB154" s="37">
        <f>AB124-AB138-AB146</f>
        <v>670.1779352109932</v>
      </c>
      <c r="AC154" s="37">
        <f>AC124-AC138-AC146</f>
        <v>658.2065548878254</v>
      </c>
    </row>
    <row r="155" spans="1:29" x14ac:dyDescent="0.25">
      <c r="A155" s="33" t="s">
        <v>218</v>
      </c>
      <c r="B155" s="26" t="s">
        <v>86</v>
      </c>
      <c r="E155" s="37">
        <f>0</f>
        <v>0</v>
      </c>
      <c r="F155" s="37">
        <f>E158</f>
        <v>1974.7114191693709</v>
      </c>
      <c r="G155" s="37">
        <f>F158</f>
        <v>2954.859906097777</v>
      </c>
      <c r="H155" s="37">
        <f>G158</f>
        <v>3330.100741236733</v>
      </c>
      <c r="I155" s="37">
        <f>H158</f>
        <v>3334.3012849546303</v>
      </c>
      <c r="J155" s="37">
        <f>I158</f>
        <v>3107.8598551748614</v>
      </c>
      <c r="K155" s="37">
        <f>J158</f>
        <v>2735.0972394389364</v>
      </c>
      <c r="L155" s="37">
        <f>K158</f>
        <v>2266.6917968986104</v>
      </c>
      <c r="M155" s="37">
        <f>L158</f>
        <v>1733.1407240031274</v>
      </c>
      <c r="N155" s="37">
        <f>M158</f>
        <v>1152.8370286281342</v>
      </c>
      <c r="O155" s="37">
        <f>N158</f>
        <v>536.9159400054256</v>
      </c>
      <c r="P155" s="37">
        <f>O158</f>
        <v>0</v>
      </c>
      <c r="Q155" s="37">
        <f>P158</f>
        <v>0</v>
      </c>
      <c r="R155" s="37">
        <f>Q158</f>
        <v>0</v>
      </c>
      <c r="S155" s="37">
        <f>R158</f>
        <v>0</v>
      </c>
      <c r="T155" s="37">
        <f>S158</f>
        <v>0</v>
      </c>
      <c r="U155" s="37">
        <f>T158</f>
        <v>0</v>
      </c>
      <c r="V155" s="37">
        <f>U158</f>
        <v>0</v>
      </c>
      <c r="W155" s="37">
        <f>V158</f>
        <v>0</v>
      </c>
      <c r="X155" s="37">
        <f>W158</f>
        <v>0</v>
      </c>
      <c r="Y155" s="37">
        <f>X158</f>
        <v>0</v>
      </c>
      <c r="Z155" s="37">
        <f>Y158</f>
        <v>0</v>
      </c>
      <c r="AA155" s="37">
        <f>Z158</f>
        <v>0</v>
      </c>
      <c r="AB155" s="37">
        <f>AA158</f>
        <v>0</v>
      </c>
      <c r="AC155" s="37">
        <f>AB158</f>
        <v>0</v>
      </c>
    </row>
    <row r="156" spans="1:29" x14ac:dyDescent="0.25">
      <c r="A156" s="33" t="s">
        <v>219</v>
      </c>
      <c r="B156" s="26" t="s">
        <v>86</v>
      </c>
      <c r="C156" s="57">
        <f>SUM(E156:AC156)</f>
        <v>3334.3012849546303</v>
      </c>
      <c r="E156" s="37">
        <f>IF(E154&gt;0,MIN(E155,E154),0)</f>
        <v>0</v>
      </c>
      <c r="F156" s="37">
        <f>IF(F154&gt;0,MIN(F155,F154),0)</f>
        <v>0</v>
      </c>
      <c r="G156" s="37">
        <f>IF(G154&gt;0,MIN(G155,G154),0)</f>
        <v>0</v>
      </c>
      <c r="H156" s="37">
        <f>IF(H154&gt;0,MIN(H155,H154),0)</f>
        <v>0</v>
      </c>
      <c r="I156" s="37">
        <f>IF(I154&gt;0,MIN(I155,I154),0)</f>
        <v>226.44142977976895</v>
      </c>
      <c r="J156" s="37">
        <f>IF(J154&gt;0,MIN(J155,J154),0)</f>
        <v>372.762615735925</v>
      </c>
      <c r="K156" s="37">
        <f>IF(K154&gt;0,MIN(K155,K154),0)</f>
        <v>468.40544254032613</v>
      </c>
      <c r="L156" s="37">
        <f>IF(L154&gt;0,MIN(L155,L154),0)</f>
        <v>533.551072895483</v>
      </c>
      <c r="M156" s="37">
        <f>IF(M154&gt;0,MIN(M155,M154),0)</f>
        <v>580.303695374993</v>
      </c>
      <c r="N156" s="37">
        <f>IF(N154&gt;0,MIN(N155,N154),0)</f>
        <v>615.9210886227087</v>
      </c>
      <c r="O156" s="37">
        <f>IF(O154&gt;0,MIN(O155,O154),0)</f>
        <v>536.9159400054256</v>
      </c>
      <c r="P156" s="37">
        <f>IF(P154&gt;0,MIN(P155,P154),0)</f>
        <v>0</v>
      </c>
      <c r="Q156" s="37">
        <f>IF(Q154&gt;0,MIN(Q155,Q154),0)</f>
        <v>0</v>
      </c>
      <c r="R156" s="37">
        <f>IF(R154&gt;0,MIN(R155,R154),0)</f>
        <v>0</v>
      </c>
      <c r="S156" s="37">
        <f>IF(S154&gt;0,MIN(S155,S154),0)</f>
        <v>0</v>
      </c>
      <c r="T156" s="37">
        <f>IF(T154&gt;0,MIN(T155,T154),0)</f>
        <v>0</v>
      </c>
      <c r="U156" s="37">
        <f>IF(U154&gt;0,MIN(U155,U154),0)</f>
        <v>0</v>
      </c>
      <c r="V156" s="37">
        <f>IF(V154&gt;0,MIN(V155,V154),0)</f>
        <v>0</v>
      </c>
      <c r="W156" s="37">
        <f>IF(W154&gt;0,MIN(W155,W154),0)</f>
        <v>0</v>
      </c>
      <c r="X156" s="37">
        <f>IF(X154&gt;0,MIN(X155,X154),0)</f>
        <v>0</v>
      </c>
      <c r="Y156" s="37">
        <f>IF(Y154&gt;0,MIN(Y155,Y154),0)</f>
        <v>0</v>
      </c>
      <c r="Z156" s="37">
        <f>IF(Z154&gt;0,MIN(Z155,Z154),0)</f>
        <v>0</v>
      </c>
      <c r="AA156" s="37">
        <f>IF(AA154&gt;0,MIN(AA155,AA154),0)</f>
        <v>0</v>
      </c>
      <c r="AB156" s="37">
        <f>IF(AB154&gt;0,MIN(AB155,AB154),0)</f>
        <v>0</v>
      </c>
      <c r="AC156" s="37">
        <f>IF(AC154&gt;0,MIN(AC155,AC154),0)</f>
        <v>0</v>
      </c>
    </row>
    <row r="157" spans="1:29" x14ac:dyDescent="0.25">
      <c r="A157" s="33" t="s">
        <v>220</v>
      </c>
      <c r="B157" s="26" t="s">
        <v>86</v>
      </c>
      <c r="C157" s="57">
        <f>SUM(E157:AC157)</f>
        <v>9976.464923167054</v>
      </c>
      <c r="E157" s="37">
        <f>MAX(0,E154-E156)</f>
        <v>0</v>
      </c>
      <c r="F157" s="37">
        <f>MAX(0,F154-F156)</f>
        <v>0</v>
      </c>
      <c r="G157" s="37">
        <f>MAX(0,G154-G156)</f>
        <v>0</v>
      </c>
      <c r="H157" s="37">
        <f>MAX(0,H154-H156)</f>
        <v>0</v>
      </c>
      <c r="I157" s="37">
        <f>MAX(0,I154-I156)</f>
        <v>0</v>
      </c>
      <c r="J157" s="37">
        <f>MAX(0,J154-J156)</f>
        <v>0</v>
      </c>
      <c r="K157" s="37">
        <f>MAX(0,K154-K156)</f>
        <v>0</v>
      </c>
      <c r="L157" s="37">
        <f>MAX(0,L154-L156)</f>
        <v>0</v>
      </c>
      <c r="M157" s="37">
        <f>MAX(0,M154-M156)</f>
        <v>0</v>
      </c>
      <c r="N157" s="37">
        <f>MAX(0,N154-N156)</f>
        <v>0</v>
      </c>
      <c r="O157" s="37">
        <f>MAX(0,O154-O156)</f>
        <v>107.83700859419616</v>
      </c>
      <c r="P157" s="37">
        <f>MAX(0,P154-P156)</f>
        <v>669.403873095741</v>
      </c>
      <c r="Q157" s="37">
        <f>MAX(0,Q154-Q156)</f>
        <v>691.4311400091556</v>
      </c>
      <c r="R157" s="37">
        <f>MAX(0,R154-R156)</f>
        <v>711.7633612640085</v>
      </c>
      <c r="S157" s="37">
        <f>MAX(0,S154-S156)</f>
        <v>730.9516614593376</v>
      </c>
      <c r="T157" s="37">
        <f>MAX(0,T154-T156)</f>
        <v>749.3203706713468</v>
      </c>
      <c r="U157" s="37">
        <f>MAX(0,U154-U156)</f>
        <v>741.0721429066527</v>
      </c>
      <c r="V157" s="37">
        <f>MAX(0,V154-V156)</f>
        <v>732.2980269507364</v>
      </c>
      <c r="W157" s="37">
        <f>MAX(0,W154-W156)</f>
        <v>723.0541380379398</v>
      </c>
      <c r="X157" s="37">
        <f>MAX(0,X154-X156)</f>
        <v>713.3664333067608</v>
      </c>
      <c r="Y157" s="37">
        <f>MAX(0,Y154-Y156)</f>
        <v>703.2423894380852</v>
      </c>
      <c r="Z157" s="37">
        <f>MAX(0,Z154-Z156)</f>
        <v>692.677989958121</v>
      </c>
      <c r="AA157" s="37">
        <f>MAX(0,AA154-AA156)</f>
        <v>681.6618973761538</v>
      </c>
      <c r="AB157" s="37">
        <f>MAX(0,AB154-AB156)</f>
        <v>670.1779352109932</v>
      </c>
      <c r="AC157" s="37">
        <f>MAX(0,AC154-AC156)</f>
        <v>658.2065548878254</v>
      </c>
    </row>
    <row r="158" spans="1:29" x14ac:dyDescent="0.25">
      <c r="A158" s="33" t="s">
        <v>221</v>
      </c>
      <c r="B158" s="26" t="s">
        <v>86</v>
      </c>
      <c r="E158" s="37">
        <f>E155-E156+MAX(0,-E154)</f>
        <v>1974.7114191693709</v>
      </c>
      <c r="F158" s="37">
        <f>F155-F156+MAX(0,-F154)</f>
        <v>2954.859906097777</v>
      </c>
      <c r="G158" s="37">
        <f>G155-G156+MAX(0,-G154)</f>
        <v>3330.100741236733</v>
      </c>
      <c r="H158" s="37">
        <f>H155-H156+MAX(0,-H154)</f>
        <v>3334.3012849546303</v>
      </c>
      <c r="I158" s="37">
        <f>I155-I156+MAX(0,-I154)</f>
        <v>3107.8598551748614</v>
      </c>
      <c r="J158" s="37">
        <f>J155-J156+MAX(0,-J154)</f>
        <v>2735.0972394389364</v>
      </c>
      <c r="K158" s="37">
        <f>K155-K156+MAX(0,-K154)</f>
        <v>2266.6917968986104</v>
      </c>
      <c r="L158" s="37">
        <f>L155-L156+MAX(0,-L154)</f>
        <v>1733.1407240031274</v>
      </c>
      <c r="M158" s="37">
        <f>M155-M156+MAX(0,-M154)</f>
        <v>1152.8370286281342</v>
      </c>
      <c r="N158" s="37">
        <f>N155-N156+MAX(0,-N154)</f>
        <v>536.9159400054256</v>
      </c>
      <c r="O158" s="37">
        <f>O155-O156+MAX(0,-O154)</f>
        <v>0</v>
      </c>
      <c r="P158" s="37">
        <f>P155-P156+MAX(0,-P154)</f>
        <v>0</v>
      </c>
      <c r="Q158" s="37">
        <f>Q155-Q156+MAX(0,-Q154)</f>
        <v>0</v>
      </c>
      <c r="R158" s="37">
        <f>R155-R156+MAX(0,-R154)</f>
        <v>0</v>
      </c>
      <c r="S158" s="37">
        <f>S155-S156+MAX(0,-S154)</f>
        <v>0</v>
      </c>
      <c r="T158" s="37">
        <f>T155-T156+MAX(0,-T154)</f>
        <v>0</v>
      </c>
      <c r="U158" s="37">
        <f>U155-U156+MAX(0,-U154)</f>
        <v>0</v>
      </c>
      <c r="V158" s="37">
        <f>V155-V156+MAX(0,-V154)</f>
        <v>0</v>
      </c>
      <c r="W158" s="37">
        <f>W155-W156+MAX(0,-W154)</f>
        <v>0</v>
      </c>
      <c r="X158" s="37">
        <f>X155-X156+MAX(0,-X154)</f>
        <v>0</v>
      </c>
      <c r="Y158" s="37">
        <f>Y155-Y156+MAX(0,-Y154)</f>
        <v>0</v>
      </c>
      <c r="Z158" s="37">
        <f>Z155-Z156+MAX(0,-Z154)</f>
        <v>0</v>
      </c>
      <c r="AA158" s="37">
        <f>AA155-AA156+MAX(0,-AA154)</f>
        <v>0</v>
      </c>
      <c r="AB158" s="37">
        <f>AB155-AB156+MAX(0,-AB154)</f>
        <v>0</v>
      </c>
      <c r="AC158" s="37">
        <f>AC155-AC156+MAX(0,-AC154)</f>
        <v>0</v>
      </c>
    </row>
    <row r="159" spans="1:29" x14ac:dyDescent="0.25">
      <c r="A159" s="33" t="s">
        <v>222</v>
      </c>
      <c r="B159" s="26" t="s">
        <v>86</v>
      </c>
      <c r="C159" s="57">
        <f>SUM(E159:AC159)</f>
        <v>2511.0762211611473</v>
      </c>
      <c r="E159" s="37">
        <f>E157*$C$69</f>
        <v>0</v>
      </c>
      <c r="F159" s="37">
        <f>F157*$C$69</f>
        <v>0</v>
      </c>
      <c r="G159" s="37">
        <f>G157*$C$69</f>
        <v>0</v>
      </c>
      <c r="H159" s="37">
        <f>H157*$C$69</f>
        <v>0</v>
      </c>
      <c r="I159" s="37">
        <f>I157*$C$69</f>
        <v>0</v>
      </c>
      <c r="J159" s="37">
        <f>J157*$C$69</f>
        <v>0</v>
      </c>
      <c r="K159" s="37">
        <f>K157*$C$69</f>
        <v>0</v>
      </c>
      <c r="L159" s="37">
        <f>L157*$C$69</f>
        <v>0</v>
      </c>
      <c r="M159" s="37">
        <f>M157*$C$69</f>
        <v>0</v>
      </c>
      <c r="N159" s="37">
        <f>N157*$C$69</f>
        <v>0</v>
      </c>
      <c r="O159" s="37">
        <f>O157*$C$69</f>
        <v>27.14257506315917</v>
      </c>
      <c r="P159" s="37">
        <f>P157*$C$69</f>
        <v>168.48895485819799</v>
      </c>
      <c r="Q159" s="37">
        <f>Q157*$C$69</f>
        <v>174.03321794030444</v>
      </c>
      <c r="R159" s="37">
        <f>R157*$C$69</f>
        <v>179.15083803015094</v>
      </c>
      <c r="S159" s="37">
        <f>S157*$C$69</f>
        <v>183.98053318931525</v>
      </c>
      <c r="T159" s="37">
        <f>T157*$C$69</f>
        <v>188.60393729797798</v>
      </c>
      <c r="U159" s="37">
        <f>U157*$C$69</f>
        <v>186.52785836960447</v>
      </c>
      <c r="V159" s="37">
        <f>V157*$C$69</f>
        <v>184.31941338350032</v>
      </c>
      <c r="W159" s="37">
        <f>W157*$C$69</f>
        <v>181.99272654414943</v>
      </c>
      <c r="X159" s="37">
        <f>X157*$C$69</f>
        <v>179.55433126331167</v>
      </c>
      <c r="Y159" s="37">
        <f>Y157*$C$69</f>
        <v>177.00610942156604</v>
      </c>
      <c r="Z159" s="37">
        <f>Z157*$C$69</f>
        <v>174.34705007245904</v>
      </c>
      <c r="AA159" s="37">
        <f>AA157*$C$69</f>
        <v>171.5742995695779</v>
      </c>
      <c r="AB159" s="37">
        <f>AB157*$C$69</f>
        <v>168.68378629260695</v>
      </c>
      <c r="AC159" s="37">
        <f>AC157*$C$69</f>
        <v>165.67058986526564</v>
      </c>
    </row>
    <row r="160" spans="1:29" x14ac:dyDescent="0.25">
      <c r="A160" s="61" t="s">
        <v>223</v>
      </c>
      <c r="B160" s="62" t="s">
        <v>86</v>
      </c>
      <c r="C160" s="63">
        <f>SUM(E160:AC160)</f>
        <v>8023.358018599622</v>
      </c>
      <c r="D160" s="64"/>
      <c r="E160" s="63">
        <f>E153-E159</f>
        <v>277.3463647135277</v>
      </c>
      <c r="F160" s="63">
        <f>F153-F159</f>
        <v>296.49686929196855</v>
      </c>
      <c r="G160" s="63">
        <f>G153-G159</f>
        <v>315.4091805925354</v>
      </c>
      <c r="H160" s="63">
        <f>H153-H159</f>
        <v>334.06838941701056</v>
      </c>
      <c r="I160" s="63">
        <f>I153-I159</f>
        <v>352.4582221557389</v>
      </c>
      <c r="J160" s="63">
        <f>J153-J159</f>
        <v>370.560829732087</v>
      </c>
      <c r="K160" s="63">
        <f>K153-K159</f>
        <v>388.35652539892635</v>
      </c>
      <c r="L160" s="63">
        <f>L153-L159</f>
        <v>405.8234546297695</v>
      </c>
      <c r="M160" s="63">
        <f>M153-M159</f>
        <v>422.9371734657436</v>
      </c>
      <c r="N160" s="63">
        <f>N153-N159</f>
        <v>439.6701013585571</v>
      </c>
      <c r="O160" s="63">
        <f>O153-O159</f>
        <v>428.8482236622084</v>
      </c>
      <c r="P160" s="63">
        <f>P153-P159</f>
        <v>303.37403970804127</v>
      </c>
      <c r="Q160" s="63">
        <f>Q153-Q159</f>
        <v>313.2110313893907</v>
      </c>
      <c r="R160" s="63">
        <f>R153-R159</f>
        <v>322.93323324166704</v>
      </c>
      <c r="S160" s="63">
        <f>S153-S159</f>
        <v>332.3406557435261</v>
      </c>
      <c r="T160" s="63">
        <f>T153-T159</f>
        <v>341.2755369411027</v>
      </c>
      <c r="U160" s="63">
        <f>U153-U159</f>
        <v>330.1484771415327</v>
      </c>
      <c r="V160" s="63">
        <f>V153-V159</f>
        <v>318.24889279944836</v>
      </c>
      <c r="W160" s="63">
        <f>W153-W159</f>
        <v>305.38491194189686</v>
      </c>
      <c r="X160" s="63">
        <f>X153-X159</f>
        <v>291.2910915065221</v>
      </c>
      <c r="Y160" s="63">
        <f>Y153-Y159</f>
        <v>275.56119124116196</v>
      </c>
      <c r="Z160" s="63">
        <f>Z153-Z159</f>
        <v>257.5018210256135</v>
      </c>
      <c r="AA160" s="63">
        <f>AA153-AA159</f>
        <v>235.74587954212765</v>
      </c>
      <c r="AB160" s="63">
        <f>AB153-AB159</f>
        <v>206.902756069068</v>
      </c>
      <c r="AC160" s="63">
        <f>AC153-AC159</f>
        <v>157.46316589044915</v>
      </c>
    </row>
    <row r="162" ht="20" customHeight="1" spans="1:29" x14ac:dyDescent="0.25">
      <c r="A162" s="21" t="s">
        <v>224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1:29" x14ac:dyDescent="0.25">
      <c r="A163" s="33" t="s">
        <v>225</v>
      </c>
      <c r="B163" s="26" t="s">
        <v>86</v>
      </c>
      <c r="E163" s="37">
        <f>E115*$C$74/365</f>
        <v>120.01835094880008</v>
      </c>
      <c r="F163" s="37">
        <f>F115*$C$74/365</f>
        <v>119.79015211018945</v>
      </c>
      <c r="G163" s="37">
        <f>G115*$C$74/365</f>
        <v>119.56195327157883</v>
      </c>
      <c r="H163" s="37">
        <f>H115*$C$74/365</f>
        <v>119.33375443296819</v>
      </c>
      <c r="I163" s="37">
        <f>I115*$C$74/365</f>
        <v>119.10555559435758</v>
      </c>
      <c r="J163" s="37">
        <f>J115*$C$74/365</f>
        <v>118.87735675574696</v>
      </c>
      <c r="K163" s="37">
        <f>K115*$C$74/365</f>
        <v>118.64915791713634</v>
      </c>
      <c r="L163" s="37">
        <f>L115*$C$74/365</f>
        <v>118.4209590785257</v>
      </c>
      <c r="M163" s="37">
        <f>M115*$C$74/365</f>
        <v>118.1927602399151</v>
      </c>
      <c r="N163" s="37">
        <f>N115*$C$74/365</f>
        <v>117.96456140130448</v>
      </c>
      <c r="O163" s="37">
        <f>O115*$C$74/365</f>
        <v>117.73636256269387</v>
      </c>
      <c r="P163" s="37">
        <f>P115*$C$74/365</f>
        <v>117.50816372408325</v>
      </c>
      <c r="Q163" s="37">
        <f>Q115*$C$74/365</f>
        <v>117.27996488547258</v>
      </c>
      <c r="R163" s="37">
        <f>R115*$C$74/365</f>
        <v>117.05176604686199</v>
      </c>
      <c r="S163" s="37">
        <f>S115*$C$74/365</f>
        <v>116.82356720825136</v>
      </c>
      <c r="T163" s="37">
        <f>T115*$C$74/365</f>
        <v>116.59536836964074</v>
      </c>
      <c r="U163" s="37">
        <f>U115*$C$74/365</f>
        <v>116.36716953103011</v>
      </c>
      <c r="V163" s="37">
        <f>V115*$C$74/365</f>
        <v>116.13897069241949</v>
      </c>
      <c r="W163" s="37">
        <f>W115*$C$74/365</f>
        <v>115.91077185380887</v>
      </c>
      <c r="X163" s="37">
        <f>X115*$C$74/365</f>
        <v>115.68257301519824</v>
      </c>
      <c r="Y163" s="37">
        <f>Y115*$C$74/365</f>
        <v>115.45437417658762</v>
      </c>
      <c r="Z163" s="37">
        <f>Z115*$C$74/365</f>
        <v>115.226175337977</v>
      </c>
      <c r="AA163" s="37">
        <f>AA115*$C$74/365</f>
        <v>114.99797649936637</v>
      </c>
      <c r="AB163" s="37">
        <f>AB115*$C$74/365</f>
        <v>114.76977766075576</v>
      </c>
      <c r="AC163" s="37">
        <f>AC115*$C$74/365</f>
        <v>114.54157882214511</v>
      </c>
    </row>
    <row r="164" spans="1:29" x14ac:dyDescent="0.25">
      <c r="A164" s="33" t="s">
        <v>226</v>
      </c>
      <c r="B164" s="26" t="s">
        <v>86</v>
      </c>
      <c r="C164" s="57">
        <f>SUM(E164:AC164)</f>
        <v>114.54157882214511</v>
      </c>
      <c r="E164" s="37">
        <f>E163</f>
        <v>120.01835094880008</v>
      </c>
      <c r="F164" s="37">
        <f>F163-E163</f>
        <v>-0.2281988386106235</v>
      </c>
      <c r="G164" s="37">
        <f>G163-F163</f>
        <v>-0.2281988386106235</v>
      </c>
      <c r="H164" s="37">
        <f>H163-G163</f>
        <v>-0.22819883861063772</v>
      </c>
      <c r="I164" s="37">
        <f>I163-H163</f>
        <v>-0.2281988386106093</v>
      </c>
      <c r="J164" s="37">
        <f>J163-I163</f>
        <v>-0.2281988386106235</v>
      </c>
      <c r="K164" s="37">
        <f>K163-J163</f>
        <v>-0.2281988386106235</v>
      </c>
      <c r="L164" s="37">
        <f>L163-K163</f>
        <v>-0.22819883861063772</v>
      </c>
      <c r="M164" s="37">
        <f>M163-L163</f>
        <v>-0.2281988386105951</v>
      </c>
      <c r="N164" s="37">
        <f>N163-M163</f>
        <v>-0.2281988386106235</v>
      </c>
      <c r="O164" s="37">
        <f>O163-N163</f>
        <v>-0.2281988386106093</v>
      </c>
      <c r="P164" s="37">
        <f>P163-O163</f>
        <v>-0.2281988386106235</v>
      </c>
      <c r="Q164" s="37">
        <f>Q163-P163</f>
        <v>-0.22819883861066614</v>
      </c>
      <c r="R164" s="37">
        <f>R163-Q163</f>
        <v>-0.2281988386105951</v>
      </c>
      <c r="S164" s="37">
        <f>S163-R163</f>
        <v>-0.2281988386106235</v>
      </c>
      <c r="T164" s="37">
        <f>T163-S163</f>
        <v>-0.2281988386106235</v>
      </c>
      <c r="U164" s="37">
        <f>U163-T163</f>
        <v>-0.2281988386106235</v>
      </c>
      <c r="V164" s="37">
        <f>V163-U163</f>
        <v>-0.2281988386106235</v>
      </c>
      <c r="W164" s="37">
        <f>W163-V163</f>
        <v>-0.2281988386106235</v>
      </c>
      <c r="X164" s="37">
        <f>X163-W163</f>
        <v>-0.2281988386106235</v>
      </c>
      <c r="Y164" s="37">
        <f>Y163-X163</f>
        <v>-0.2281988386106235</v>
      </c>
      <c r="Z164" s="37">
        <f>Z163-Y163</f>
        <v>-0.2281988386106235</v>
      </c>
      <c r="AA164" s="37">
        <f>AA163-Z163</f>
        <v>-0.2281988386106235</v>
      </c>
      <c r="AB164" s="37">
        <f>AB163-AA163</f>
        <v>-0.2281988386106093</v>
      </c>
      <c r="AC164" s="37">
        <f>AC163-AB163</f>
        <v>-0.22819883861065193</v>
      </c>
    </row>
    <row r="165" spans="1:29" x14ac:dyDescent="0.25">
      <c r="A165" s="61" t="s">
        <v>227</v>
      </c>
      <c r="B165" s="62" t="s">
        <v>86</v>
      </c>
      <c r="C165" s="63">
        <f>SUM(E165:AC165)</f>
        <v>16595.32503475437</v>
      </c>
      <c r="D165" s="64"/>
      <c r="E165" s="63">
        <f>E124-E159-E164-E128</f>
        <v>769.838235205406</v>
      </c>
      <c r="F165" s="63">
        <f>F124-F159-F164-F128</f>
        <v>844.4626958285188</v>
      </c>
      <c r="G165" s="63">
        <f>G124-G159-G164-G128</f>
        <v>839.1494518105816</v>
      </c>
      <c r="H165" s="63">
        <f>H124-H159-H164-H128</f>
        <v>833.6630928985174</v>
      </c>
      <c r="I165" s="63">
        <f>I124-I159-I164-I128</f>
        <v>827.99496334762</v>
      </c>
      <c r="J165" s="63">
        <f>J124-J159-J164-J128</f>
        <v>822.1359746259474</v>
      </c>
      <c r="K165" s="63">
        <f>K124-K159-K164-K128</f>
        <v>816.076583774961</v>
      </c>
      <c r="L165" s="63">
        <f>L124-L159-L164-L128</f>
        <v>809.8067706881951</v>
      </c>
      <c r="M165" s="63">
        <f>M124-M159-M164-M128</f>
        <v>803.3160142538611</v>
      </c>
      <c r="N165" s="63">
        <f>N124-N159-N164-N128</f>
        <v>796.5932673045801</v>
      </c>
      <c r="O165" s="63">
        <f>O124-O159-O164-O128</f>
        <v>762.4843552514458</v>
      </c>
      <c r="P165" s="63">
        <f>P124-P159-P164-P128</f>
        <v>613.9158689237029</v>
      </c>
      <c r="Q165" s="63">
        <f>Q124-Q159-Q164-Q128</f>
        <v>600.8809412890266</v>
      </c>
      <c r="R165" s="63">
        <f>R124-R159-R164-R128</f>
        <v>587.9906707257522</v>
      </c>
      <c r="S165" s="63">
        <f>S124-S159-S164-S128</f>
        <v>575.0922398762583</v>
      </c>
      <c r="T165" s="63">
        <f>T124-T159-T164-T128</f>
        <v>562.0892105995193</v>
      </c>
      <c r="U165" s="63">
        <f>U124-U159-U164-U128</f>
        <v>555.4592304081827</v>
      </c>
      <c r="V165" s="63">
        <f>V124-V159-V164-V128</f>
        <v>548.618860625361</v>
      </c>
      <c r="W165" s="63">
        <f>W124-W159-W164-W128</f>
        <v>541.5368392641096</v>
      </c>
      <c r="X165" s="63">
        <f>X124-X159-X164-X128</f>
        <v>534.1886382410848</v>
      </c>
      <c r="Y165" s="63">
        <f>Y124-Y159-Y164-Y128</f>
        <v>526.5534812705448</v>
      </c>
      <c r="Z165" s="63">
        <f>Z124-Z159-Z164-Z128</f>
        <v>518.6125401735216</v>
      </c>
      <c r="AA165" s="63">
        <f>AA124-AA159-AA164-AA128</f>
        <v>510.34783751473594</v>
      </c>
      <c r="AB165" s="63">
        <f>AB124-AB159-AB164-AB128</f>
        <v>501.7415722787266</v>
      </c>
      <c r="AC165" s="63">
        <f>AC124-AC159-AC164-AC128</f>
        <v>492.77569857420826</v>
      </c>
    </row>
    <row r="166" spans="1:29" x14ac:dyDescent="0.25">
      <c r="A166" s="33" t="s">
        <v>228</v>
      </c>
      <c r="B166" s="26" t="s">
        <v>86</v>
      </c>
      <c r="C166" s="57">
        <f>SUM(E166:AC166)</f>
        <v>7449.114208228046</v>
      </c>
      <c r="E166" s="37">
        <f>E141</f>
        <v>678.5045887339501</v>
      </c>
      <c r="F166" s="37">
        <f>F141</f>
        <v>652.5193066122243</v>
      </c>
      <c r="G166" s="37">
        <f>G141</f>
        <v>626.5340244904985</v>
      </c>
      <c r="H166" s="37">
        <f>H141</f>
        <v>600.5487423687728</v>
      </c>
      <c r="I166" s="37">
        <f>I141</f>
        <v>574.563460247047</v>
      </c>
      <c r="J166" s="37">
        <f>J141</f>
        <v>548.5781781253213</v>
      </c>
      <c r="K166" s="37">
        <f>K141</f>
        <v>522.5928960035956</v>
      </c>
      <c r="L166" s="37">
        <f>L141</f>
        <v>496.6076138818698</v>
      </c>
      <c r="M166" s="37">
        <f>M141</f>
        <v>470.622331760144</v>
      </c>
      <c r="N166" s="37">
        <f>N141</f>
        <v>444.63704963841826</v>
      </c>
      <c r="O166" s="37">
        <f>O141</f>
        <v>418.65176751669253</v>
      </c>
      <c r="P166" s="37">
        <f>P141</f>
        <v>392.66648539496674</v>
      </c>
      <c r="Q166" s="37">
        <f>Q141</f>
        <v>366.681203273241</v>
      </c>
      <c r="R166" s="37">
        <f>R141</f>
        <v>340.6959211515152</v>
      </c>
      <c r="S166" s="37">
        <f>S141</f>
        <v>314.7106390297881</v>
      </c>
      <c r="T166" s="37">
        <f>T141</f>
        <v>0</v>
      </c>
      <c r="U166" s="37">
        <f>U141</f>
        <v>0</v>
      </c>
      <c r="V166" s="37">
        <f>V141</f>
        <v>0</v>
      </c>
      <c r="W166" s="37">
        <f>W141</f>
        <v>0</v>
      </c>
      <c r="X166" s="37">
        <f>X141</f>
        <v>0</v>
      </c>
      <c r="Y166" s="37">
        <f>Y141</f>
        <v>0</v>
      </c>
      <c r="Z166" s="37">
        <f>Z141</f>
        <v>0</v>
      </c>
      <c r="AA166" s="37">
        <f>AA141</f>
        <v>0</v>
      </c>
      <c r="AB166" s="37">
        <f>AB141</f>
        <v>0</v>
      </c>
      <c r="AC166" s="37">
        <f>AC141</f>
        <v>0</v>
      </c>
    </row>
    <row r="167" spans="1:29" x14ac:dyDescent="0.25">
      <c r="A167" s="33" t="s">
        <v>229</v>
      </c>
      <c r="B167" s="26" t="s">
        <v>88</v>
      </c>
      <c r="E167" s="40">
        <f>IF(E141&gt;1E-9,E165/E141,"")</f>
        <v>1.1346102119101054</v>
      </c>
      <c r="F167" s="40">
        <f>IF(F141&gt;1E-9,F165/F141,"")</f>
        <v>1.2941574100126383</v>
      </c>
      <c r="G167" s="40">
        <f>IF(G141&gt;1E-9,G165/G141,"")</f>
        <v>1.3393517654416027</v>
      </c>
      <c r="H167" s="40">
        <f>IF(H141&gt;1E-9,H165/H141,"")</f>
        <v>1.3881689096712795</v>
      </c>
      <c r="I167" s="40">
        <f>IF(I141&gt;1E-9,I165/I141,"")</f>
        <v>1.4410853119542342</v>
      </c>
      <c r="J167" s="40">
        <f>IF(J141&gt;1E-9,J165/J141,"")</f>
        <v>1.4986669310023712</v>
      </c>
      <c r="K167" s="40">
        <f>IF(K141&gt;1E-9,K165/K141,"")</f>
        <v>1.5615914223398595</v>
      </c>
      <c r="L167" s="40">
        <f>IF(L141&gt;1E-9,L165/L141,"")</f>
        <v>1.6306773155532557</v>
      </c>
      <c r="M167" s="40">
        <f>IF(M141&gt;1E-9,M165/M141,"")</f>
        <v>1.7069228552105276</v>
      </c>
      <c r="N167" s="40">
        <f>IF(N141&gt;1E-9,N165/N141,"")</f>
        <v>1.791558458640311</v>
      </c>
      <c r="O167" s="40">
        <f>IF(O141&gt;1E-9,O165/O141,"")</f>
        <v>1.8212854080952707</v>
      </c>
      <c r="P167" s="40">
        <f>IF(P141&gt;1E-9,P165/P141,"")</f>
        <v>1.563453698642477</v>
      </c>
      <c r="Q167" s="40">
        <f>IF(Q141&gt;1E-9,Q165/Q141,"")</f>
        <v>1.6387012367286966</v>
      </c>
      <c r="R167" s="40">
        <f>IF(R141&gt;1E-9,R165/R141,"")</f>
        <v>1.7258518057345906</v>
      </c>
      <c r="S167" s="40">
        <f>IF(S141&gt;1E-9,S165/S141,"")</f>
        <v>1.8273682823345048</v>
      </c>
      <c r="T167" s="40" t="str">
        <f>IF(T141&gt;1E-9,T165/T141,"")</f>
        <v/>
      </c>
      <c r="U167" s="40" t="str">
        <f>IF(U141&gt;1E-9,U165/U141,"")</f>
        <v/>
      </c>
      <c r="V167" s="40" t="str">
        <f>IF(V141&gt;1E-9,V165/V141,"")</f>
        <v/>
      </c>
      <c r="W167" s="40" t="str">
        <f>IF(W141&gt;1E-9,W165/W141,"")</f>
        <v/>
      </c>
      <c r="X167" s="40" t="str">
        <f>IF(X141&gt;1E-9,X165/X141,"")</f>
        <v/>
      </c>
      <c r="Y167" s="40" t="str">
        <f>IF(Y141&gt;1E-9,Y165/Y141,"")</f>
        <v/>
      </c>
      <c r="Z167" s="40" t="str">
        <f>IF(Z141&gt;1E-9,Z165/Z141,"")</f>
        <v/>
      </c>
      <c r="AA167" s="40" t="str">
        <f>IF(AA141&gt;1E-9,AA165/AA141,"")</f>
        <v/>
      </c>
      <c r="AB167" s="40" t="str">
        <f>IF(AB141&gt;1E-9,AB165/AB141,"")</f>
        <v/>
      </c>
      <c r="AC167" s="40" t="str">
        <f>IF(AC141&gt;1E-9,AC165/AC141,"")</f>
        <v/>
      </c>
    </row>
    <row r="168" spans="1:29" x14ac:dyDescent="0.25">
      <c r="A168" s="33" t="s">
        <v>230</v>
      </c>
      <c r="B168" s="26" t="s">
        <v>86</v>
      </c>
      <c r="C168" s="57">
        <f>SUM(E168:AC168)</f>
        <v>733.2387721965678</v>
      </c>
      <c r="E168" s="37">
        <f>IF(E$5=$C$87,$C$84*$C$73+E163,0)</f>
        <v>0</v>
      </c>
      <c r="F168" s="37">
        <f>IF(F$5=$C$87,$C$84*$C$73+F163,0)</f>
        <v>0</v>
      </c>
      <c r="G168" s="37">
        <f>IF(G$5=$C$87,$C$84*$C$73+G163,0)</f>
        <v>0</v>
      </c>
      <c r="H168" s="37">
        <f>IF(H$5=$C$87,$C$84*$C$73+H163,0)</f>
        <v>0</v>
      </c>
      <c r="I168" s="37">
        <f>IF(I$5=$C$87,$C$84*$C$73+I163,0)</f>
        <v>0</v>
      </c>
      <c r="J168" s="37">
        <f>IF(J$5=$C$87,$C$84*$C$73+J163,0)</f>
        <v>0</v>
      </c>
      <c r="K168" s="37">
        <f>IF(K$5=$C$87,$C$84*$C$73+K163,0)</f>
        <v>0</v>
      </c>
      <c r="L168" s="37">
        <f>IF(L$5=$C$87,$C$84*$C$73+L163,0)</f>
        <v>0</v>
      </c>
      <c r="M168" s="37">
        <f>IF(M$5=$C$87,$C$84*$C$73+M163,0)</f>
        <v>0</v>
      </c>
      <c r="N168" s="37">
        <f>IF(N$5=$C$87,$C$84*$C$73+N163,0)</f>
        <v>0</v>
      </c>
      <c r="O168" s="37">
        <f>IF(O$5=$C$87,$C$84*$C$73+O163,0)</f>
        <v>0</v>
      </c>
      <c r="P168" s="37">
        <f>IF(P$5=$C$87,$C$84*$C$73+P163,0)</f>
        <v>0</v>
      </c>
      <c r="Q168" s="37">
        <f>IF(Q$5=$C$87,$C$84*$C$73+Q163,0)</f>
        <v>0</v>
      </c>
      <c r="R168" s="37">
        <f>IF(R$5=$C$87,$C$84*$C$73+R163,0)</f>
        <v>0</v>
      </c>
      <c r="S168" s="37">
        <f>IF(S$5=$C$87,$C$84*$C$73+S163,0)</f>
        <v>0</v>
      </c>
      <c r="T168" s="37">
        <f>IF(T$5=$C$87,$C$84*$C$73+T163,0)</f>
        <v>0</v>
      </c>
      <c r="U168" s="37">
        <f>IF(U$5=$C$87,$C$84*$C$73+U163,0)</f>
        <v>0</v>
      </c>
      <c r="V168" s="37">
        <f>IF(V$5=$C$87,$C$84*$C$73+V163,0)</f>
        <v>0</v>
      </c>
      <c r="W168" s="37">
        <f>IF(W$5=$C$87,$C$84*$C$73+W163,0)</f>
        <v>0</v>
      </c>
      <c r="X168" s="37">
        <f>IF(X$5=$C$87,$C$84*$C$73+X163,0)</f>
        <v>0</v>
      </c>
      <c r="Y168" s="37">
        <f>IF(Y$5=$C$87,$C$84*$C$73+Y163,0)</f>
        <v>0</v>
      </c>
      <c r="Z168" s="37">
        <f>IF(Z$5=$C$87,$C$84*$C$73+Z163,0)</f>
        <v>0</v>
      </c>
      <c r="AA168" s="37">
        <f>IF(AA$5=$C$87,$C$84*$C$73+AA163,0)</f>
        <v>0</v>
      </c>
      <c r="AB168" s="37">
        <f>IF(AB$5=$C$87,$C$84*$C$73+AB163,0)</f>
        <v>0</v>
      </c>
      <c r="AC168" s="37">
        <f>IF(AC$5=$C$87,$C$84*$C$73+AC163,0)</f>
        <v>733.2387721965678</v>
      </c>
    </row>
    <row r="169" spans="1:29" x14ac:dyDescent="0.25">
      <c r="A169" s="33" t="s">
        <v>231</v>
      </c>
      <c r="B169" s="26" t="s">
        <v>86</v>
      </c>
      <c r="C169" s="57">
        <f>SUM(E169:AC169)</f>
        <v>0</v>
      </c>
      <c r="E169" s="37">
        <f>IF(E$5=$C$87,E140,0)</f>
        <v>0</v>
      </c>
      <c r="F169" s="37">
        <f>IF(F$5=$C$87,F140,0)</f>
        <v>0</v>
      </c>
      <c r="G169" s="37">
        <f>IF(G$5=$C$87,G140,0)</f>
        <v>0</v>
      </c>
      <c r="H169" s="37">
        <f>IF(H$5=$C$87,H140,0)</f>
        <v>0</v>
      </c>
      <c r="I169" s="37">
        <f>IF(I$5=$C$87,I140,0)</f>
        <v>0</v>
      </c>
      <c r="J169" s="37">
        <f>IF(J$5=$C$87,J140,0)</f>
        <v>0</v>
      </c>
      <c r="K169" s="37">
        <f>IF(K$5=$C$87,K140,0)</f>
        <v>0</v>
      </c>
      <c r="L169" s="37">
        <f>IF(L$5=$C$87,L140,0)</f>
        <v>0</v>
      </c>
      <c r="M169" s="37">
        <f>IF(M$5=$C$87,M140,0)</f>
        <v>0</v>
      </c>
      <c r="N169" s="37">
        <f>IF(N$5=$C$87,N140,0)</f>
        <v>0</v>
      </c>
      <c r="O169" s="37">
        <f>IF(O$5=$C$87,O140,0)</f>
        <v>0</v>
      </c>
      <c r="P169" s="37">
        <f>IF(P$5=$C$87,P140,0)</f>
        <v>0</v>
      </c>
      <c r="Q169" s="37">
        <f>IF(Q$5=$C$87,Q140,0)</f>
        <v>0</v>
      </c>
      <c r="R169" s="37">
        <f>IF(R$5=$C$87,R140,0)</f>
        <v>0</v>
      </c>
      <c r="S169" s="37">
        <f>IF(S$5=$C$87,S140,0)</f>
        <v>0</v>
      </c>
      <c r="T169" s="37">
        <f>IF(T$5=$C$87,T140,0)</f>
        <v>0</v>
      </c>
      <c r="U169" s="37">
        <f>IF(U$5=$C$87,U140,0)</f>
        <v>0</v>
      </c>
      <c r="V169" s="37">
        <f>IF(V$5=$C$87,V140,0)</f>
        <v>0</v>
      </c>
      <c r="W169" s="37">
        <f>IF(W$5=$C$87,W140,0)</f>
        <v>0</v>
      </c>
      <c r="X169" s="37">
        <f>IF(X$5=$C$87,X140,0)</f>
        <v>0</v>
      </c>
      <c r="Y169" s="37">
        <f>IF(Y$5=$C$87,Y140,0)</f>
        <v>0</v>
      </c>
      <c r="Z169" s="37">
        <f>IF(Z$5=$C$87,Z140,0)</f>
        <v>0</v>
      </c>
      <c r="AA169" s="37">
        <f>IF(AA$5=$C$87,AA140,0)</f>
        <v>0</v>
      </c>
      <c r="AB169" s="37">
        <f>IF(AB$5=$C$87,AB140,0)</f>
        <v>0</v>
      </c>
      <c r="AC169" s="37">
        <f>IF(AC$5=$C$87,AC140,0)</f>
        <v>0</v>
      </c>
    </row>
    <row r="170" spans="1:29" x14ac:dyDescent="0.25">
      <c r="A170" s="61" t="s">
        <v>232</v>
      </c>
      <c r="B170" s="62" t="s">
        <v>86</v>
      </c>
      <c r="C170" s="63">
        <f>SUM(E170:AC170)</f>
        <v>9879.449598722891</v>
      </c>
      <c r="D170" s="63">
        <f>-$C$86</f>
        <v>-1856.0915801232686</v>
      </c>
      <c r="E170" s="63">
        <f>E165-E141+E168-E169</f>
        <v>91.33364647145595</v>
      </c>
      <c r="F170" s="63">
        <f>F165-F141+F168-F169</f>
        <v>191.94338921629446</v>
      </c>
      <c r="G170" s="63">
        <f>G165-G141+G168-G169</f>
        <v>212.61542732008309</v>
      </c>
      <c r="H170" s="63">
        <f>H165-H141+H168-H169</f>
        <v>233.11435052974468</v>
      </c>
      <c r="I170" s="63">
        <f>I165-I141+I168-I169</f>
        <v>253.43150310057297</v>
      </c>
      <c r="J170" s="63">
        <f>J165-J141+J168-J169</f>
        <v>273.55779650062607</v>
      </c>
      <c r="K170" s="63">
        <f>K165-K141+K168-K169</f>
        <v>293.48368777136545</v>
      </c>
      <c r="L170" s="63">
        <f>L165-L141+L168-L169</f>
        <v>313.19915680632533</v>
      </c>
      <c r="M170" s="63">
        <f>M165-M141+M168-M169</f>
        <v>332.6936824937171</v>
      </c>
      <c r="N170" s="63">
        <f>N165-N141+N168-N169</f>
        <v>351.9562176661618</v>
      </c>
      <c r="O170" s="63">
        <f>O165-O141+O168-O169</f>
        <v>343.83258773475325</v>
      </c>
      <c r="P170" s="63">
        <f>P165-P141+P168-P169</f>
        <v>221.24938352873613</v>
      </c>
      <c r="Q170" s="63">
        <f>Q165-Q141+Q168-Q169</f>
        <v>234.1997380157856</v>
      </c>
      <c r="R170" s="63">
        <f>R165-R141+R168-R169</f>
        <v>247.29474957423702</v>
      </c>
      <c r="S170" s="63">
        <f>S165-S141+S168-S169</f>
        <v>260.3816008464702</v>
      </c>
      <c r="T170" s="63">
        <f>T165-T141+T168-T169</f>
        <v>562.0892105995193</v>
      </c>
      <c r="U170" s="63">
        <f>U165-U141+U168-U169</f>
        <v>555.4592304081827</v>
      </c>
      <c r="V170" s="63">
        <f>V165-V141+V168-V169</f>
        <v>548.618860625361</v>
      </c>
      <c r="W170" s="63">
        <f>W165-W141+W168-W169</f>
        <v>541.5368392641096</v>
      </c>
      <c r="X170" s="63">
        <f>X165-X141+X168-X169</f>
        <v>534.1886382410848</v>
      </c>
      <c r="Y170" s="63">
        <f>Y165-Y141+Y168-Y169</f>
        <v>526.5534812705448</v>
      </c>
      <c r="Z170" s="63">
        <f>Z165-Z141+Z168-Z169</f>
        <v>518.6125401735216</v>
      </c>
      <c r="AA170" s="63">
        <f>AA165-AA141+AA168-AA169</f>
        <v>510.34783751473594</v>
      </c>
      <c r="AB170" s="63">
        <f>AB165-AB141+AB168-AB169</f>
        <v>501.7415722787266</v>
      </c>
      <c r="AC170" s="63">
        <f>AC165-AC141+AC168-AC169</f>
        <v>1226.014470770776</v>
      </c>
    </row>
    <row r="171" spans="1:29" x14ac:dyDescent="0.25">
      <c r="A171" s="33" t="s">
        <v>233</v>
      </c>
      <c r="B171" s="26" t="s">
        <v>86</v>
      </c>
      <c r="D171" s="37">
        <f>D170</f>
        <v>-1856.0915801232686</v>
      </c>
      <c r="E171" s="37">
        <f>D171+E170</f>
        <v>-1764.7579336518127</v>
      </c>
      <c r="F171" s="37">
        <f>E171+F170</f>
        <v>-1572.8145444355182</v>
      </c>
      <c r="G171" s="37">
        <f>F171+G170</f>
        <v>-1360.199117115435</v>
      </c>
      <c r="H171" s="37">
        <f>G171+H170</f>
        <v>-1127.0847665856904</v>
      </c>
      <c r="I171" s="37">
        <f>H171+I170</f>
        <v>-873.6532634851175</v>
      </c>
      <c r="J171" s="37">
        <f>I171+J170</f>
        <v>-600.0954669844914</v>
      </c>
      <c r="K171" s="37">
        <f>J171+K170</f>
        <v>-306.61177921312594</v>
      </c>
      <c r="L171" s="37">
        <f>K171+L170</f>
        <v>6.587377593199392</v>
      </c>
      <c r="M171" s="37">
        <f>L171+M170</f>
        <v>339.2810600869165</v>
      </c>
      <c r="N171" s="37">
        <f>M171+N170</f>
        <v>691.2372777530784</v>
      </c>
      <c r="O171" s="37">
        <f>N171+O170</f>
        <v>1035.0698654878315</v>
      </c>
      <c r="P171" s="37">
        <f>O171+P170</f>
        <v>1256.3192490165677</v>
      </c>
      <c r="Q171" s="37">
        <f>P171+Q170</f>
        <v>1490.5189870323534</v>
      </c>
      <c r="R171" s="37">
        <f>Q171+R170</f>
        <v>1737.8137366065903</v>
      </c>
      <c r="S171" s="37">
        <f>R171+S170</f>
        <v>1998.1953374530603</v>
      </c>
      <c r="T171" s="37">
        <f>S171+T170</f>
        <v>2560.28454805258</v>
      </c>
      <c r="U171" s="37">
        <f>T171+U170</f>
        <v>3115.7437784607628</v>
      </c>
      <c r="V171" s="37">
        <f>U171+V170</f>
        <v>3664.3626390861236</v>
      </c>
      <c r="W171" s="37">
        <f>V171+W170</f>
        <v>4205.899478350233</v>
      </c>
      <c r="X171" s="37">
        <f>W171+X170</f>
        <v>4740.088116591318</v>
      </c>
      <c r="Y171" s="37">
        <f>X171+Y170</f>
        <v>5266.6415978618625</v>
      </c>
      <c r="Z171" s="37">
        <f>Y171+Z170</f>
        <v>5785.254138035384</v>
      </c>
      <c r="AA171" s="37">
        <f>Z171+AA170</f>
        <v>6295.60197555012</v>
      </c>
      <c r="AB171" s="37">
        <f>AA171+AB170</f>
        <v>6797.343547828847</v>
      </c>
      <c r="AC171" s="37">
        <f>AB171+AC170</f>
        <v>8023.3580185996225</v>
      </c>
    </row>
    <row r="172" spans="1:29" x14ac:dyDescent="0.25">
      <c r="A172" s="33" t="s">
        <v>234</v>
      </c>
      <c r="B172" s="26" t="s">
        <v>92</v>
      </c>
      <c r="E172" s="44" t="str">
        <f>IF(E171&gt;=0,E$5,"")</f>
        <v/>
      </c>
      <c r="F172" s="44" t="str">
        <f>IF(F171&gt;=0,F$5,"")</f>
        <v/>
      </c>
      <c r="G172" s="44" t="str">
        <f>IF(G171&gt;=0,G$5,"")</f>
        <v/>
      </c>
      <c r="H172" s="44" t="str">
        <f>IF(H171&gt;=0,H$5,"")</f>
        <v/>
      </c>
      <c r="I172" s="44" t="str">
        <f>IF(I171&gt;=0,I$5,"")</f>
        <v/>
      </c>
      <c r="J172" s="44" t="str">
        <f>IF(J171&gt;=0,J$5,"")</f>
        <v/>
      </c>
      <c r="K172" s="44" t="str">
        <f>IF(K171&gt;=0,K$5,"")</f>
        <v/>
      </c>
      <c r="L172" s="44">
        <f>IF(L171&gt;=0,L$5,"")</f>
        <v>8</v>
      </c>
      <c r="M172" s="44">
        <f>IF(M171&gt;=0,M$5,"")</f>
        <v>9</v>
      </c>
      <c r="N172" s="44">
        <f>IF(N171&gt;=0,N$5,"")</f>
        <v>10</v>
      </c>
      <c r="O172" s="44">
        <f>IF(O171&gt;=0,O$5,"")</f>
        <v>11</v>
      </c>
      <c r="P172" s="44">
        <f>IF(P171&gt;=0,P$5,"")</f>
        <v>12</v>
      </c>
      <c r="Q172" s="44">
        <f>IF(Q171&gt;=0,Q$5,"")</f>
        <v>13</v>
      </c>
      <c r="R172" s="44">
        <f>IF(R171&gt;=0,R$5,"")</f>
        <v>14</v>
      </c>
      <c r="S172" s="44">
        <f>IF(S171&gt;=0,S$5,"")</f>
        <v>15</v>
      </c>
      <c r="T172" s="44">
        <f>IF(T171&gt;=0,T$5,"")</f>
        <v>16</v>
      </c>
      <c r="U172" s="44">
        <f>IF(U171&gt;=0,U$5,"")</f>
        <v>17</v>
      </c>
      <c r="V172" s="44">
        <f>IF(V171&gt;=0,V$5,"")</f>
        <v>18</v>
      </c>
      <c r="W172" s="44">
        <f>IF(W171&gt;=0,W$5,"")</f>
        <v>19</v>
      </c>
      <c r="X172" s="44">
        <f>IF(X171&gt;=0,X$5,"")</f>
        <v>20</v>
      </c>
      <c r="Y172" s="44">
        <f>IF(Y171&gt;=0,Y$5,"")</f>
        <v>21</v>
      </c>
      <c r="Z172" s="44">
        <f>IF(Z171&gt;=0,Z$5,"")</f>
        <v>22</v>
      </c>
      <c r="AA172" s="44">
        <f>IF(AA171&gt;=0,AA$5,"")</f>
        <v>23</v>
      </c>
      <c r="AB172" s="44">
        <f>IF(AB171&gt;=0,AB$5,"")</f>
        <v>24</v>
      </c>
      <c r="AC172" s="44">
        <f>IF(AC171&gt;=0,AC$5,"")</f>
        <v>25</v>
      </c>
    </row>
    <row r="173" spans="1:29" x14ac:dyDescent="0.25">
      <c r="A173" s="33" t="s">
        <v>235</v>
      </c>
      <c r="B173" s="26" t="s">
        <v>86</v>
      </c>
      <c r="C173" s="57">
        <f>SUM(E173:AC173)</f>
        <v>3859.4212275134255</v>
      </c>
      <c r="E173" s="37">
        <f>MAX(0,(E124-E146)*$C$69)</f>
        <v>0</v>
      </c>
      <c r="F173" s="37">
        <f>MAX(0,(F124-F146)*$C$69)</f>
        <v>0</v>
      </c>
      <c r="G173" s="37">
        <f>MAX(0,(G124-G146)*$C$69)</f>
        <v>0</v>
      </c>
      <c r="H173" s="37">
        <f>MAX(0,(H124-H146)*$C$69)</f>
        <v>77.42866926666565</v>
      </c>
      <c r="I173" s="37">
        <f>MAX(0,(I124-I146)*$C$69)</f>
        <v>128.9407584859899</v>
      </c>
      <c r="J173" s="37">
        <f>MAX(0,(J124-J146)*$C$69)</f>
        <v>159.229305481116</v>
      </c>
      <c r="K173" s="37">
        <f>MAX(0,(K124-K146)*$C$69)</f>
        <v>176.7621094777454</v>
      </c>
      <c r="L173" s="37">
        <f>MAX(0,(L124-L146)*$C$69)</f>
        <v>186.61876912809998</v>
      </c>
      <c r="M173" s="37">
        <f>MAX(0,(M124-M146)*$C$69)</f>
        <v>191.84590869615428</v>
      </c>
      <c r="N173" s="37">
        <f>MAX(0,(N124-N146)*$C$69)</f>
        <v>194.27031106656597</v>
      </c>
      <c r="O173" s="37">
        <f>MAX(0,(O124-O146)*$C$69)</f>
        <v>194.9867947127166</v>
      </c>
      <c r="P173" s="37">
        <f>MAX(0,(P124-P146)*$C$69)</f>
        <v>194.65093689835146</v>
      </c>
      <c r="Q173" s="37">
        <f>MAX(0,(Q124-Q146)*$C$69)</f>
        <v>193.65470447041952</v>
      </c>
      <c r="R173" s="37">
        <f>MAX(0,(R124-R146)*$C$69)</f>
        <v>192.23182905022762</v>
      </c>
      <c r="S173" s="37">
        <f>MAX(0,(S124-S146)*$C$69)</f>
        <v>190.5210286993536</v>
      </c>
      <c r="T173" s="37">
        <f>MAX(0,(T124-T146)*$C$69)</f>
        <v>188.60393729797798</v>
      </c>
      <c r="U173" s="37">
        <f>MAX(0,(U124-U146)*$C$69)</f>
        <v>186.52785836960447</v>
      </c>
      <c r="V173" s="37">
        <f>MAX(0,(V124-V146)*$C$69)</f>
        <v>184.31941338350032</v>
      </c>
      <c r="W173" s="37">
        <f>MAX(0,(W124-W146)*$C$69)</f>
        <v>181.99272654414943</v>
      </c>
      <c r="X173" s="37">
        <f>MAX(0,(X124-X146)*$C$69)</f>
        <v>179.55433126331167</v>
      </c>
      <c r="Y173" s="37">
        <f>MAX(0,(Y124-Y146)*$C$69)</f>
        <v>177.00610942156604</v>
      </c>
      <c r="Z173" s="37">
        <f>MAX(0,(Z124-Z146)*$C$69)</f>
        <v>174.34705007245904</v>
      </c>
      <c r="AA173" s="37">
        <f>MAX(0,(AA124-AA146)*$C$69)</f>
        <v>171.5742995695779</v>
      </c>
      <c r="AB173" s="37">
        <f>MAX(0,(AB124-AB146)*$C$69)</f>
        <v>168.68378629260695</v>
      </c>
      <c r="AC173" s="37">
        <f>MAX(0,(AC124-AC146)*$C$69)</f>
        <v>165.67058986526564</v>
      </c>
    </row>
    <row r="174" spans="1:29" x14ac:dyDescent="0.25">
      <c r="A174" s="61" t="s">
        <v>236</v>
      </c>
      <c r="B174" s="62" t="s">
        <v>86</v>
      </c>
      <c r="C174" s="63">
        <f>SUM(E174:AC174)</f>
        <v>15980.218800598657</v>
      </c>
      <c r="D174" s="63">
        <f>-$C$84</f>
        <v>-6186.971933744227</v>
      </c>
      <c r="E174" s="63">
        <f>E124-E173-E164-E128+E168</f>
        <v>769.838235205406</v>
      </c>
      <c r="F174" s="63">
        <f>F124-F173-F164-F128+F168</f>
        <v>844.4626958285188</v>
      </c>
      <c r="G174" s="63">
        <f>G124-G173-G164-G128+G168</f>
        <v>839.1494518105816</v>
      </c>
      <c r="H174" s="63">
        <f>H124-H173-H164-H128+H168</f>
        <v>756.2344236318518</v>
      </c>
      <c r="I174" s="63">
        <f>I124-I173-I164-I128+I168</f>
        <v>699.0542048616301</v>
      </c>
      <c r="J174" s="63">
        <f>J124-J173-J164-J128+J168</f>
        <v>662.9066691448313</v>
      </c>
      <c r="K174" s="63">
        <f>K124-K173-K164-K128+K168</f>
        <v>639.3144742972156</v>
      </c>
      <c r="L174" s="63">
        <f>L124-L173-L164-L128+L168</f>
        <v>623.1880015600951</v>
      </c>
      <c r="M174" s="63">
        <f>M124-M173-M164-M128+M168</f>
        <v>611.4701055577068</v>
      </c>
      <c r="N174" s="63">
        <f>N124-N173-N164-N128+N168</f>
        <v>602.3229562380141</v>
      </c>
      <c r="O174" s="63">
        <f>O124-O173-O164-O128+O168</f>
        <v>594.6401356018883</v>
      </c>
      <c r="P174" s="63">
        <f>P124-P173-P164-P128+P168</f>
        <v>587.7538868835494</v>
      </c>
      <c r="Q174" s="63">
        <f>Q124-Q173-Q164-Q128+Q168</f>
        <v>581.2594547589115</v>
      </c>
      <c r="R174" s="63">
        <f>R124-R173-R164-R128+R168</f>
        <v>574.9096797056756</v>
      </c>
      <c r="S174" s="63">
        <f>S124-S173-S164-S128+S168</f>
        <v>568.55174436622</v>
      </c>
      <c r="T174" s="63">
        <f>T124-T173-T164-T128+T168</f>
        <v>562.0892105995193</v>
      </c>
      <c r="U174" s="63">
        <f>U124-U173-U164-U128+U168</f>
        <v>555.4592304081827</v>
      </c>
      <c r="V174" s="63">
        <f>V124-V173-V164-V128+V168</f>
        <v>548.618860625361</v>
      </c>
      <c r="W174" s="63">
        <f>W124-W173-W164-W128+W168</f>
        <v>541.5368392641096</v>
      </c>
      <c r="X174" s="63">
        <f>X124-X173-X164-X128+X168</f>
        <v>534.1886382410848</v>
      </c>
      <c r="Y174" s="63">
        <f>Y124-Y173-Y164-Y128+Y168</f>
        <v>526.5534812705448</v>
      </c>
      <c r="Z174" s="63">
        <f>Z124-Z173-Z164-Z128+Z168</f>
        <v>518.6125401735216</v>
      </c>
      <c r="AA174" s="63">
        <f>AA124-AA173-AA164-AA128+AA168</f>
        <v>510.34783751473594</v>
      </c>
      <c r="AB174" s="63">
        <f>AB124-AB173-AB164-AB128+AB168</f>
        <v>501.7415722787266</v>
      </c>
      <c r="AC174" s="63">
        <f>AC124-AC173-AC164-AC128+AC168</f>
        <v>1226.014470770776</v>
      </c>
    </row>
    <row r="176" ht="20" customHeight="1" spans="1:29" x14ac:dyDescent="0.25">
      <c r="A176" s="21" t="s">
        <v>237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pans="1:29" x14ac:dyDescent="0.25">
      <c r="A177" s="33" t="s">
        <v>238</v>
      </c>
      <c r="B177" s="26" t="s">
        <v>86</v>
      </c>
      <c r="C177" s="57">
        <f>SUM(E177:AC177)</f>
        <v>4560.827822594285</v>
      </c>
      <c r="E177" s="37">
        <f>E123+E128</f>
        <v>83.62559376383908</v>
      </c>
      <c r="F177" s="37">
        <f>F123+F128</f>
        <v>127.39673679273957</v>
      </c>
      <c r="G177" s="37">
        <f>G123+G128</f>
        <v>130.85903467527947</v>
      </c>
      <c r="H177" s="37">
        <f>H123+H128</f>
        <v>134.49444745194643</v>
      </c>
      <c r="I177" s="37">
        <f>I123+I128</f>
        <v>138.3116308674467</v>
      </c>
      <c r="J177" s="37">
        <f>J123+J128</f>
        <v>142.31967345372198</v>
      </c>
      <c r="K177" s="37">
        <f>K123+K128</f>
        <v>146.528118169311</v>
      </c>
      <c r="L177" s="37">
        <f>L123+L128</f>
        <v>150.94698512067947</v>
      </c>
      <c r="M177" s="37">
        <f>M123+M128</f>
        <v>155.5867954196164</v>
      </c>
      <c r="N177" s="37">
        <f>N123+N128</f>
        <v>160.45859623350017</v>
      </c>
      <c r="O177" s="37">
        <f>O123+O128</f>
        <v>165.57398708807813</v>
      </c>
      <c r="P177" s="37">
        <f>P123+P128</f>
        <v>170.94514748538498</v>
      </c>
      <c r="Q177" s="37">
        <f>Q123+Q128</f>
        <v>176.5848659025572</v>
      </c>
      <c r="R177" s="37">
        <f>R123+R128</f>
        <v>182.506570240588</v>
      </c>
      <c r="S177" s="37">
        <f>S123+S128</f>
        <v>188.72435979552031</v>
      </c>
      <c r="T177" s="37">
        <f>T123+T128</f>
        <v>195.2530388281993</v>
      </c>
      <c r="U177" s="37">
        <f>U123+U128</f>
        <v>202.10815181251218</v>
      </c>
      <c r="V177" s="37">
        <f>V123+V128</f>
        <v>209.30602044604075</v>
      </c>
      <c r="W177" s="37">
        <f>W123+W128</f>
        <v>216.86378251124577</v>
      </c>
      <c r="X177" s="37">
        <f>X123+X128</f>
        <v>224.79943267971097</v>
      </c>
      <c r="Y177" s="37">
        <f>Y123+Y128</f>
        <v>233.13186535659943</v>
      </c>
      <c r="Z177" s="37">
        <f>Z123+Z128</f>
        <v>241.8809196673324</v>
      </c>
      <c r="AA177" s="37">
        <f>AA123+AA128</f>
        <v>251.06742669360193</v>
      </c>
      <c r="AB177" s="37">
        <f>AB123+AB128</f>
        <v>260.713259071185</v>
      </c>
      <c r="AC177" s="37">
        <f>AC123+AC128</f>
        <v>270.84138306764714</v>
      </c>
    </row>
    <row r="178" spans="1:29" x14ac:dyDescent="0.25">
      <c r="A178" s="33" t="s">
        <v>239</v>
      </c>
      <c r="B178" s="26" t="s">
        <v>86</v>
      </c>
      <c r="C178" s="57">
        <f>SUM(E178:AC178)</f>
        <v>1397.7729601425394</v>
      </c>
      <c r="E178" s="37">
        <f>E177*E107</f>
        <v>76.02326705803553</v>
      </c>
      <c r="F178" s="37">
        <f>F177*F107</f>
        <v>105.28655933284261</v>
      </c>
      <c r="G178" s="37">
        <f>G177*G107</f>
        <v>98.31632958323023</v>
      </c>
      <c r="H178" s="37">
        <f>H177*H107</f>
        <v>91.86151728156982</v>
      </c>
      <c r="I178" s="37">
        <f>I177*I107</f>
        <v>85.88064083268445</v>
      </c>
      <c r="J178" s="37">
        <f>J177*J107</f>
        <v>80.33574539839267</v>
      </c>
      <c r="K178" s="37">
        <f>K177*K107</f>
        <v>75.19209338765022</v>
      </c>
      <c r="L178" s="37">
        <f>L177*L107</f>
        <v>70.41788257920574</v>
      </c>
      <c r="M178" s="37">
        <f>M177*M107</f>
        <v>65.98398938766631</v>
      </c>
      <c r="N178" s="37">
        <f>N177*N107</f>
        <v>61.86373500910868</v>
      </c>
      <c r="O178" s="37">
        <f>O177*O107</f>
        <v>58.03267238718219</v>
      </c>
      <c r="P178" s="37">
        <f>P177*P107</f>
        <v>54.46839212688571</v>
      </c>
      <c r="Q178" s="37">
        <f>Q177*Q107</f>
        <v>51.1503456525504</v>
      </c>
      <c r="R178" s="37">
        <f>R177*R107</f>
        <v>48.05968406055468</v>
      </c>
      <c r="S178" s="37">
        <f>S177*S107</f>
        <v>45.17911125733294</v>
      </c>
      <c r="T178" s="37">
        <f>T177*T107</f>
        <v>42.492750100581326</v>
      </c>
      <c r="U178" s="37">
        <f>U177*U107</f>
        <v>39.98602037736468</v>
      </c>
      <c r="V178" s="37">
        <f>V177*V107</f>
        <v>37.645527558138006</v>
      </c>
      <c r="W178" s="37">
        <f>W177*W107</f>
        <v>35.458961361461405</v>
      </c>
      <c r="X178" s="37">
        <f>X177*X107</f>
        <v>33.41500325128143</v>
      </c>
      <c r="Y178" s="37">
        <f>Y177*Y107</f>
        <v>31.503242067855503</v>
      </c>
      <c r="Z178" s="37">
        <f>Z177*Z107</f>
        <v>29.714097065428653</v>
      </c>
      <c r="AA178" s="37">
        <f>AA177*AA107</f>
        <v>28.03874769528374</v>
      </c>
      <c r="AB178" s="37">
        <f>AB177*AB107</f>
        <v>26.469069532367566</v>
      </c>
      <c r="AC178" s="37">
        <f>AC177*AC107</f>
        <v>24.997575797885062</v>
      </c>
    </row>
    <row r="179" spans="1:29" x14ac:dyDescent="0.25">
      <c r="A179" s="33" t="s">
        <v>240</v>
      </c>
      <c r="B179" s="26" t="s">
        <v>182</v>
      </c>
      <c r="C179" s="58">
        <f>SUM(E179:AC179)</f>
        <v>14030.582265270781</v>
      </c>
      <c r="E179" s="59">
        <f>E96*E107</f>
        <v>1417.6959199248126</v>
      </c>
      <c r="F179" s="59">
        <f>F96*F107</f>
        <v>1287.2915259417412</v>
      </c>
      <c r="G179" s="59">
        <f>G96*G107</f>
        <v>1168.8805265677831</v>
      </c>
      <c r="H179" s="59">
        <f>H96*H107</f>
        <v>1061.360026865605</v>
      </c>
      <c r="I179" s="59">
        <f>I96*I107</f>
        <v>963.7285392864031</v>
      </c>
      <c r="J179" s="59">
        <f>J96*J107</f>
        <v>875.0766607970927</v>
      </c>
      <c r="K179" s="59">
        <f>K96*K107</f>
        <v>794.5786069976864</v>
      </c>
      <c r="L179" s="59">
        <f>L96*L107</f>
        <v>721.484524461006</v>
      </c>
      <c r="M179" s="59">
        <f>M96*M107</f>
        <v>655.1135097657248</v>
      </c>
      <c r="N179" s="59">
        <f>N96*N107</f>
        <v>594.8472702674285</v>
      </c>
      <c r="O179" s="59">
        <f>O96*O107</f>
        <v>540.1243676219983</v>
      </c>
      <c r="P179" s="59">
        <f>P96*P107</f>
        <v>490.4349904966675</v>
      </c>
      <c r="Q179" s="59">
        <f>Q96*Q107</f>
        <v>445.31620782700014</v>
      </c>
      <c r="R179" s="59">
        <f>R96*R107</f>
        <v>404.3476584485397</v>
      </c>
      <c r="S179" s="59">
        <f>S96*S107</f>
        <v>367.14763699155947</v>
      </c>
      <c r="T179" s="59">
        <f>T96*T107</f>
        <v>333.3695396139597</v>
      </c>
      <c r="U179" s="59">
        <f>U96*U107</f>
        <v>302.6986364951668</v>
      </c>
      <c r="V179" s="59">
        <f>V96*V107</f>
        <v>274.8491410540556</v>
      </c>
      <c r="W179" s="59">
        <f>W96*W107</f>
        <v>249.56154861467405</v>
      </c>
      <c r="X179" s="59">
        <f>X96*X107</f>
        <v>226.60021975060098</v>
      </c>
      <c r="Y179" s="59">
        <f>Y96*Y107</f>
        <v>205.75118581541173</v>
      </c>
      <c r="Z179" s="59">
        <f>Z96*Z107</f>
        <v>186.8201562341362</v>
      </c>
      <c r="AA179" s="59">
        <f>AA96*AA107</f>
        <v>169.63070900800653</v>
      </c>
      <c r="AB179" s="59">
        <f>AB96*AB107</f>
        <v>154.02264758965137</v>
      </c>
      <c r="AC179" s="59">
        <f>AC96*AC107</f>
        <v>139.8505088340715</v>
      </c>
    </row>
    <row r="180" spans="1:29" x14ac:dyDescent="0.25">
      <c r="A180" s="33" t="s">
        <v>241</v>
      </c>
      <c r="B180" s="26" t="s">
        <v>86</v>
      </c>
      <c r="C180" s="57">
        <f>SUM(E180:AC180)</f>
        <v>9629.15124981827</v>
      </c>
      <c r="E180" s="37">
        <f>E111*E107</f>
        <v>972.9609349853172</v>
      </c>
      <c r="F180" s="37">
        <f>F111*F107</f>
        <v>883.4647466188499</v>
      </c>
      <c r="G180" s="37">
        <f>G111*G107</f>
        <v>802.1995930381427</v>
      </c>
      <c r="H180" s="37">
        <f>H111*H107</f>
        <v>728.4085603843505</v>
      </c>
      <c r="I180" s="37">
        <f>I111*I107</f>
        <v>661.4043304193624</v>
      </c>
      <c r="J180" s="37">
        <f>J111*J107</f>
        <v>600.5627822630139</v>
      </c>
      <c r="K180" s="37">
        <f>K111*K107</f>
        <v>545.3171822803868</v>
      </c>
      <c r="L180" s="37">
        <f>L111*L107</f>
        <v>495.15290806102223</v>
      </c>
      <c r="M180" s="37">
        <f>M111*M107</f>
        <v>449.60265739988625</v>
      </c>
      <c r="N180" s="37">
        <f>N111*N107</f>
        <v>408.2420977014277</v>
      </c>
      <c r="O180" s="37">
        <f>O111*O107</f>
        <v>370.68591532500386</v>
      </c>
      <c r="P180" s="37">
        <f>P111*P107</f>
        <v>336.5842281103973</v>
      </c>
      <c r="Q180" s="37">
        <f>Q111*Q107</f>
        <v>305.6193277007191</v>
      </c>
      <c r="R180" s="37">
        <f>R111*R107</f>
        <v>277.5027213480867</v>
      </c>
      <c r="S180" s="37">
        <f>S111*S107</f>
        <v>251.97244567361284</v>
      </c>
      <c r="T180" s="37">
        <f>T111*T107</f>
        <v>228.7906273833567</v>
      </c>
      <c r="U180" s="37">
        <f>U111*U107</f>
        <v>207.7412682394809</v>
      </c>
      <c r="V180" s="37">
        <f>V111*V107</f>
        <v>188.62823367231508</v>
      </c>
      <c r="W180" s="37">
        <f>W111*W107</f>
        <v>171.27342631372917</v>
      </c>
      <c r="X180" s="37">
        <f>X111*X107</f>
        <v>155.5151274528009</v>
      </c>
      <c r="Y180" s="37">
        <f>Y111*Y107</f>
        <v>141.2064909772172</v>
      </c>
      <c r="Z180" s="37">
        <f>Z111*Z107</f>
        <v>128.21417578270822</v>
      </c>
      <c r="AA180" s="37">
        <f>AA111*AA107</f>
        <v>116.41710392127345</v>
      </c>
      <c r="AB180" s="37">
        <f>AB111*AB107</f>
        <v>105.7053329290028</v>
      </c>
      <c r="AC180" s="37">
        <f>AC111*AC107</f>
        <v>95.97903183680386</v>
      </c>
    </row>
    <row r="182" ht="20" customHeight="1" spans="1:29" x14ac:dyDescent="0.25">
      <c r="A182" s="21" t="s">
        <v>242</v>
      </c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pans="1:3" x14ac:dyDescent="0.25">
      <c r="A183" s="25" t="s">
        <v>7</v>
      </c>
      <c r="B183" s="26" t="s">
        <v>83</v>
      </c>
      <c r="C183" s="65">
        <f>IFERROR(IRR(D170:AC170),"n/a")</f>
        <v>0.1400000000002308</v>
      </c>
    </row>
    <row r="184" spans="1:3" x14ac:dyDescent="0.25">
      <c r="A184" s="33" t="s">
        <v>9</v>
      </c>
      <c r="B184" s="26" t="s">
        <v>83</v>
      </c>
      <c r="C184" s="32">
        <f>IFERROR(IRR(D174:AC174),"n/a")</f>
        <v>0.09960296861088525</v>
      </c>
    </row>
    <row r="185" spans="1:3" x14ac:dyDescent="0.25">
      <c r="A185" s="33" t="s">
        <v>85</v>
      </c>
      <c r="B185" s="26" t="s">
        <v>86</v>
      </c>
      <c r="C185" s="37">
        <f>D170+NPV($C$66,E170:AC170)</f>
        <v>6.394884621840902e-14</v>
      </c>
    </row>
    <row r="186" spans="1:3" x14ac:dyDescent="0.25">
      <c r="A186" s="33" t="s">
        <v>87</v>
      </c>
      <c r="B186" s="26" t="s">
        <v>86</v>
      </c>
      <c r="C186" s="37">
        <f>D174+NPV($C$67,E174:AC174)</f>
        <v>-17.28401181089538</v>
      </c>
    </row>
    <row r="187" spans="1:3" x14ac:dyDescent="0.25">
      <c r="A187" s="33" t="s">
        <v>11</v>
      </c>
      <c r="B187" s="26" t="s">
        <v>88</v>
      </c>
      <c r="C187" s="40">
        <f>IF(COUNT(E167:AC167)=0,"",MIN(E167:AC167))</f>
        <v>1.1346102119101054</v>
      </c>
    </row>
    <row r="188" spans="1:3" x14ac:dyDescent="0.25">
      <c r="A188" s="33" t="s">
        <v>12</v>
      </c>
      <c r="B188" s="26" t="s">
        <v>88</v>
      </c>
      <c r="C188" s="40">
        <f>IF(COUNT(E167:AC167)=0,"",AVERAGE(E167:AC167))</f>
        <v>1.5575634015514481</v>
      </c>
    </row>
    <row r="189" spans="1:3" x14ac:dyDescent="0.25">
      <c r="A189" s="33" t="s">
        <v>243</v>
      </c>
      <c r="B189" s="26" t="s">
        <v>82</v>
      </c>
      <c r="C189" s="29">
        <f>IF(C179&gt;0,($C$84+C178)*10/C179,"")</f>
        <v>5.405866093427154</v>
      </c>
    </row>
    <row r="190" spans="1:3" x14ac:dyDescent="0.25">
      <c r="A190" s="33" t="s">
        <v>90</v>
      </c>
      <c r="B190" s="26" t="s">
        <v>82</v>
      </c>
      <c r="C190" s="29">
        <f>IF(C179&gt;0,C180*10/C179,"")</f>
        <v>6.862973373281051</v>
      </c>
    </row>
    <row r="191" spans="1:3" x14ac:dyDescent="0.25">
      <c r="A191" s="33" t="s">
        <v>91</v>
      </c>
      <c r="B191" s="26" t="s">
        <v>92</v>
      </c>
      <c r="C191" s="44">
        <f>IF(COUNT(E172:AC172)=0,"beyond the term",MIN(E172:AC172))</f>
        <v>8</v>
      </c>
    </row>
    <row r="193" ht="20" customHeight="1" spans="1:29" x14ac:dyDescent="0.25">
      <c r="A193" s="21" t="s">
        <v>244</v>
      </c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pans="1:3" x14ac:dyDescent="0.25">
      <c r="A194" s="33" t="s">
        <v>245</v>
      </c>
      <c r="C194" s="66" t="str">
        <f>IF(ABS($C$85+$C$86-$C$84)&lt;0.001,"OK","CHECK")</f>
        <v>OK</v>
      </c>
    </row>
    <row r="195" spans="1:3" x14ac:dyDescent="0.25">
      <c r="A195" s="33" t="s">
        <v>246</v>
      </c>
      <c r="C195" s="66" t="str">
        <f>IF(ABS(INDEX(E140:AC140,1,$C$88))&lt;0.01,"OK","CHECK")</f>
        <v>OK</v>
      </c>
    </row>
    <row r="196" spans="1:3" x14ac:dyDescent="0.25">
      <c r="A196" s="33" t="s">
        <v>247</v>
      </c>
      <c r="C196" s="66" t="str">
        <f>IF(ABS(C115-C123-C124)&lt;0.01,"OK","CHECK")</f>
        <v>OK</v>
      </c>
    </row>
    <row r="197" spans="1:3" x14ac:dyDescent="0.25">
      <c r="A197" s="33" t="s">
        <v>248</v>
      </c>
      <c r="C197" s="66" t="str">
        <f>IF(MIN(E158:AC158)&gt;=-1E-9,"OK","CHECK")</f>
        <v>OK</v>
      </c>
    </row>
    <row r="198" spans="1:3" x14ac:dyDescent="0.25">
      <c r="A198" s="33" t="s">
        <v>249</v>
      </c>
      <c r="C198" s="66" t="str">
        <f>IF(ISNUMBER($C$10),IF($C$10&gt;=$C$66-1E-5,"OK","Below target"),"No IRR")</f>
        <v>OK</v>
      </c>
    </row>
    <row r="199" spans="1:3" x14ac:dyDescent="0.25">
      <c r="A199" s="33" t="s">
        <v>250</v>
      </c>
      <c r="C199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4:C199">
    <cfRule type="expression" dxfId="2" priority="3">
      <formula>C194="OK"</formula>
    </cfRule>
    <cfRule type="expression" dxfId="3" priority="4">
      <formula>C194&lt;&gt;"OK"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7">
      <formula1>"annual,oneTime,none"</formula1>
    </dataValidation>
    <dataValidation type="list" showErrorMessage="1" errorTitle="Choose from the list" error="One of: annuity, equal" sqref="C65">
      <formula1>"annuity,equal"</formula1>
    </dataValidation>
    <dataValidation type="list" showErrorMessage="1" errorTitle="Choose from the list" error="One of: wdv, slm" sqref="C70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251</v>
      </c>
      <c r="B1" s="67" t="s">
        <v>252</v>
      </c>
      <c r="C1" s="67" t="s">
        <v>253</v>
      </c>
      <c r="D1" s="67" t="s">
        <v>254</v>
      </c>
      <c r="E1" s="67" t="s">
        <v>255</v>
      </c>
      <c r="F1" s="67" t="s">
        <v>256</v>
      </c>
    </row>
    <row r="2" spans="1:6" s="68" customFormat="1" x14ac:dyDescent="0.25">
      <c r="A2" s="68" t="s">
        <v>257</v>
      </c>
      <c r="B2" s="68" t="s">
        <v>258</v>
      </c>
      <c r="C2" s="68">
        <v>1</v>
      </c>
      <c r="D2" s="68" t="s">
        <v>259</v>
      </c>
      <c r="E2" s="68" t="s">
        <v>260</v>
      </c>
      <c r="F2" s="69" t="s">
        <v>261</v>
      </c>
    </row>
    <row r="3" spans="1:6" s="68" customFormat="1" x14ac:dyDescent="0.25">
      <c r="A3" s="68" t="s">
        <v>262</v>
      </c>
      <c r="B3" s="68" t="s">
        <v>263</v>
      </c>
      <c r="C3" s="68">
        <v>2</v>
      </c>
      <c r="D3" s="68" t="s">
        <v>264</v>
      </c>
      <c r="E3" s="68" t="s">
        <v>265</v>
      </c>
      <c r="F3" s="70" t="s">
        <v>266</v>
      </c>
    </row>
    <row r="4" spans="1:6" s="68" customFormat="1" x14ac:dyDescent="0.25">
      <c r="A4" s="68" t="s">
        <v>267</v>
      </c>
      <c r="B4" s="68" t="s">
        <v>268</v>
      </c>
      <c r="C4" s="68">
        <v>2</v>
      </c>
      <c r="D4" s="68" t="s">
        <v>269</v>
      </c>
      <c r="E4" s="68" t="s">
        <v>270</v>
      </c>
      <c r="F4" s="70" t="s">
        <v>266</v>
      </c>
    </row>
    <row r="5" spans="1:6" s="68" customFormat="1" x14ac:dyDescent="0.25">
      <c r="A5" s="68" t="s">
        <v>271</v>
      </c>
      <c r="B5" s="68" t="s">
        <v>272</v>
      </c>
      <c r="C5" s="68">
        <v>2</v>
      </c>
      <c r="D5" s="68" t="s">
        <v>273</v>
      </c>
      <c r="E5" s="68" t="s">
        <v>274</v>
      </c>
      <c r="F5" s="69" t="s">
        <v>261</v>
      </c>
    </row>
    <row r="6" spans="1:6" s="68" customFormat="1" x14ac:dyDescent="0.25">
      <c r="A6" s="68" t="s">
        <v>275</v>
      </c>
      <c r="B6" s="68" t="s">
        <v>276</v>
      </c>
      <c r="C6" s="68">
        <v>2</v>
      </c>
      <c r="D6" s="68" t="s">
        <v>277</v>
      </c>
      <c r="E6" s="68" t="s">
        <v>278</v>
      </c>
      <c r="F6" s="69" t="s">
        <v>261</v>
      </c>
    </row>
    <row r="7" spans="1:6" s="68" customFormat="1" x14ac:dyDescent="0.25">
      <c r="A7" s="68" t="s">
        <v>279</v>
      </c>
      <c r="B7" s="68" t="s">
        <v>280</v>
      </c>
      <c r="C7" s="68">
        <v>19</v>
      </c>
      <c r="D7" s="68" t="s">
        <v>281</v>
      </c>
      <c r="E7" s="68" t="s">
        <v>282</v>
      </c>
      <c r="F7" s="69" t="s">
        <v>261</v>
      </c>
    </row>
    <row r="8" spans="1:6" s="68" customFormat="1" x14ac:dyDescent="0.25">
      <c r="A8" s="68" t="s">
        <v>60</v>
      </c>
      <c r="B8" s="68" t="s">
        <v>61</v>
      </c>
      <c r="C8" s="68">
        <v>34</v>
      </c>
      <c r="D8" s="68" t="s">
        <v>283</v>
      </c>
      <c r="E8" s="68" t="s">
        <v>284</v>
      </c>
      <c r="F8" s="69" t="s">
        <v>261</v>
      </c>
    </row>
    <row r="9" spans="1:6" s="68" customFormat="1" x14ac:dyDescent="0.25">
      <c r="A9" s="68" t="s">
        <v>64</v>
      </c>
      <c r="B9" s="68" t="s">
        <v>58</v>
      </c>
      <c r="C9" s="68">
        <v>60</v>
      </c>
      <c r="D9" s="68" t="s">
        <v>285</v>
      </c>
      <c r="E9" s="68" t="s">
        <v>286</v>
      </c>
      <c r="F9" s="70" t="s">
        <v>287</v>
      </c>
    </row>
    <row r="10" spans="1:6" s="68" customFormat="1" x14ac:dyDescent="0.25">
      <c r="A10" s="68" t="s">
        <v>62</v>
      </c>
      <c r="B10" s="68" t="s">
        <v>63</v>
      </c>
      <c r="C10" s="68">
        <v>2</v>
      </c>
      <c r="D10" s="68" t="s">
        <v>288</v>
      </c>
      <c r="E10" s="68" t="s">
        <v>289</v>
      </c>
      <c r="F10" s="70" t="s">
        <v>266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290</v>
      </c>
      <c r="B1" s="67" t="s">
        <v>69</v>
      </c>
      <c r="C1" s="67" t="s">
        <v>291</v>
      </c>
      <c r="D1" s="67" t="s">
        <v>74</v>
      </c>
      <c r="E1" s="67" t="s">
        <v>292</v>
      </c>
    </row>
    <row r="2" spans="1:5" x14ac:dyDescent="0.25">
      <c r="A2" t="s">
        <v>293</v>
      </c>
      <c r="B2" t="s">
        <v>257</v>
      </c>
      <c r="C2" s="71">
        <v>200</v>
      </c>
      <c r="D2" t="s">
        <v>106</v>
      </c>
      <c r="E2" t="s">
        <v>294</v>
      </c>
    </row>
    <row r="3" spans="1:5" x14ac:dyDescent="0.25">
      <c r="A3" t="s">
        <v>293</v>
      </c>
      <c r="B3" t="s">
        <v>295</v>
      </c>
      <c r="C3" t="s">
        <v>134</v>
      </c>
      <c r="D3" t="s">
        <v>8</v>
      </c>
      <c r="E3" t="s">
        <v>294</v>
      </c>
    </row>
    <row r="4" spans="1:5" x14ac:dyDescent="0.25">
      <c r="A4" t="s">
        <v>38</v>
      </c>
      <c r="B4" t="s">
        <v>53</v>
      </c>
      <c r="C4" t="s">
        <v>296</v>
      </c>
      <c r="D4" t="s">
        <v>106</v>
      </c>
      <c r="E4" t="s">
        <v>297</v>
      </c>
    </row>
    <row r="5" spans="1:5" x14ac:dyDescent="0.25">
      <c r="A5" t="s">
        <v>38</v>
      </c>
      <c r="B5" t="s">
        <v>298</v>
      </c>
      <c r="C5" s="72">
        <v>0.25</v>
      </c>
      <c r="D5" t="s">
        <v>83</v>
      </c>
      <c r="E5" s="73" t="s">
        <v>104</v>
      </c>
    </row>
    <row r="6" spans="1:5" x14ac:dyDescent="0.25">
      <c r="A6" t="s">
        <v>38</v>
      </c>
      <c r="B6" t="s">
        <v>299</v>
      </c>
      <c r="C6" s="71">
        <v>1.4</v>
      </c>
      <c r="D6" t="s">
        <v>88</v>
      </c>
      <c r="E6" s="73" t="s">
        <v>104</v>
      </c>
    </row>
    <row r="7" spans="1:5" x14ac:dyDescent="0.25">
      <c r="A7" t="s">
        <v>38</v>
      </c>
      <c r="B7" t="s">
        <v>300</v>
      </c>
      <c r="C7" s="72">
        <v>0.005</v>
      </c>
      <c r="D7" t="s">
        <v>83</v>
      </c>
      <c r="E7" s="73" t="s">
        <v>104</v>
      </c>
    </row>
    <row r="8" spans="1:5" x14ac:dyDescent="0.25">
      <c r="A8" t="s">
        <v>38</v>
      </c>
      <c r="B8" t="s">
        <v>301</v>
      </c>
      <c r="C8" s="71">
        <v>4</v>
      </c>
      <c r="D8" t="s">
        <v>112</v>
      </c>
      <c r="E8" s="73" t="s">
        <v>104</v>
      </c>
    </row>
    <row r="9" spans="1:5" x14ac:dyDescent="0.25">
      <c r="A9" t="s">
        <v>38</v>
      </c>
      <c r="B9" t="s">
        <v>302</v>
      </c>
      <c r="C9" s="71">
        <v>4</v>
      </c>
      <c r="D9" t="s">
        <v>121</v>
      </c>
      <c r="E9" s="73" t="s">
        <v>104</v>
      </c>
    </row>
    <row r="10" spans="1:5" x14ac:dyDescent="0.25">
      <c r="A10" t="s">
        <v>40</v>
      </c>
      <c r="B10" t="s">
        <v>53</v>
      </c>
      <c r="C10" t="s">
        <v>296</v>
      </c>
      <c r="D10" t="s">
        <v>106</v>
      </c>
      <c r="E10" t="s">
        <v>297</v>
      </c>
    </row>
    <row r="11" spans="1:5" x14ac:dyDescent="0.25">
      <c r="A11" t="s">
        <v>40</v>
      </c>
      <c r="B11" t="s">
        <v>303</v>
      </c>
      <c r="C11" s="72">
        <v>0.33</v>
      </c>
      <c r="D11" t="s">
        <v>83</v>
      </c>
      <c r="E11" s="73" t="s">
        <v>104</v>
      </c>
    </row>
    <row r="12" spans="1:5" x14ac:dyDescent="0.25">
      <c r="A12" t="s">
        <v>40</v>
      </c>
      <c r="B12" t="s">
        <v>301</v>
      </c>
      <c r="C12" s="71">
        <v>6.5</v>
      </c>
      <c r="D12" t="s">
        <v>112</v>
      </c>
      <c r="E12" s="73" t="s">
        <v>104</v>
      </c>
    </row>
    <row r="13" spans="1:5" x14ac:dyDescent="0.25">
      <c r="A13" t="s">
        <v>40</v>
      </c>
      <c r="B13" t="s">
        <v>302</v>
      </c>
      <c r="C13" s="71">
        <v>9</v>
      </c>
      <c r="D13" t="s">
        <v>121</v>
      </c>
      <c r="E13" s="73" t="s">
        <v>104</v>
      </c>
    </row>
    <row r="14" spans="1:5" x14ac:dyDescent="0.25">
      <c r="A14" t="s">
        <v>42</v>
      </c>
      <c r="B14" t="s">
        <v>53</v>
      </c>
      <c r="C14" t="s">
        <v>296</v>
      </c>
      <c r="D14" t="s">
        <v>106</v>
      </c>
      <c r="E14" t="s">
        <v>297</v>
      </c>
    </row>
    <row r="15" spans="1:5" x14ac:dyDescent="0.25">
      <c r="A15" t="s">
        <v>42</v>
      </c>
      <c r="B15" t="s">
        <v>304</v>
      </c>
      <c r="C15" t="s">
        <v>305</v>
      </c>
      <c r="D15" t="s">
        <v>8</v>
      </c>
      <c r="E15" s="73" t="s">
        <v>104</v>
      </c>
    </row>
    <row r="16" spans="1:5" x14ac:dyDescent="0.25">
      <c r="A16" t="s">
        <v>42</v>
      </c>
      <c r="B16" t="s">
        <v>306</v>
      </c>
      <c r="C16" s="72">
        <v>0.87</v>
      </c>
      <c r="D16" t="s">
        <v>83</v>
      </c>
      <c r="E16" s="73" t="s">
        <v>104</v>
      </c>
    </row>
    <row r="17" spans="1:5" x14ac:dyDescent="0.25">
      <c r="A17" t="s">
        <v>42</v>
      </c>
      <c r="B17" t="s">
        <v>307</v>
      </c>
      <c r="C17" s="72">
        <v>0.05</v>
      </c>
      <c r="D17" t="s">
        <v>83</v>
      </c>
      <c r="E17" s="73" t="s">
        <v>104</v>
      </c>
    </row>
    <row r="18" spans="1:5" x14ac:dyDescent="0.25">
      <c r="A18" t="s">
        <v>42</v>
      </c>
      <c r="B18" t="s">
        <v>308</v>
      </c>
      <c r="C18" s="72">
        <v>0.95</v>
      </c>
      <c r="D18" t="s">
        <v>83</v>
      </c>
      <c r="E18" s="73" t="s">
        <v>104</v>
      </c>
    </row>
    <row r="19" spans="1:5" x14ac:dyDescent="0.25">
      <c r="A19" t="s">
        <v>42</v>
      </c>
      <c r="B19" t="s">
        <v>309</v>
      </c>
      <c r="C19" s="72">
        <v>0.02</v>
      </c>
      <c r="D19" t="s">
        <v>83</v>
      </c>
      <c r="E19" s="73" t="s">
        <v>104</v>
      </c>
    </row>
    <row r="20" spans="1:5" x14ac:dyDescent="0.25">
      <c r="A20" t="s">
        <v>42</v>
      </c>
      <c r="B20" t="s">
        <v>144</v>
      </c>
      <c r="C20" t="s">
        <v>310</v>
      </c>
      <c r="D20" t="s">
        <v>8</v>
      </c>
      <c r="E20" s="73" t="s">
        <v>104</v>
      </c>
    </row>
    <row r="21" spans="1:5" x14ac:dyDescent="0.25">
      <c r="A21" t="s">
        <v>42</v>
      </c>
      <c r="B21" t="s">
        <v>301</v>
      </c>
      <c r="C21" s="71">
        <v>1.2</v>
      </c>
      <c r="D21" t="s">
        <v>113</v>
      </c>
      <c r="E21" s="73" t="s">
        <v>104</v>
      </c>
    </row>
    <row r="22" spans="1:5" x14ac:dyDescent="0.25">
      <c r="A22" t="s">
        <v>42</v>
      </c>
      <c r="B22" t="s">
        <v>302</v>
      </c>
      <c r="C22" s="71">
        <v>1.2</v>
      </c>
      <c r="D22" t="s">
        <v>124</v>
      </c>
      <c r="E22" s="73" t="s">
        <v>104</v>
      </c>
    </row>
    <row r="23" spans="1:5" x14ac:dyDescent="0.25">
      <c r="A23" t="s">
        <v>44</v>
      </c>
      <c r="B23" t="s">
        <v>159</v>
      </c>
      <c r="C23" s="72">
        <v>0.14</v>
      </c>
      <c r="D23" t="s">
        <v>83</v>
      </c>
      <c r="E23" s="73" t="s">
        <v>104</v>
      </c>
    </row>
    <row r="24" spans="1:5" x14ac:dyDescent="0.25">
      <c r="A24" t="s">
        <v>44</v>
      </c>
      <c r="B24" t="s">
        <v>151</v>
      </c>
      <c r="C24" s="72">
        <v>0.7</v>
      </c>
      <c r="D24" t="s">
        <v>83</v>
      </c>
      <c r="E24" s="73" t="s">
        <v>104</v>
      </c>
    </row>
    <row r="25" spans="1:5" x14ac:dyDescent="0.25">
      <c r="A25" t="s">
        <v>44</v>
      </c>
      <c r="B25" t="s">
        <v>153</v>
      </c>
      <c r="C25" s="72">
        <v>0.09</v>
      </c>
      <c r="D25" t="s">
        <v>83</v>
      </c>
      <c r="E25" s="73" t="s">
        <v>104</v>
      </c>
    </row>
    <row r="26" spans="1:5" x14ac:dyDescent="0.25">
      <c r="A26" t="s">
        <v>44</v>
      </c>
      <c r="B26" t="s">
        <v>154</v>
      </c>
      <c r="C26" s="71">
        <v>15</v>
      </c>
      <c r="D26" t="s">
        <v>155</v>
      </c>
      <c r="E26" s="73" t="s">
        <v>104</v>
      </c>
    </row>
    <row r="27" spans="1:5" x14ac:dyDescent="0.25">
      <c r="A27" t="s">
        <v>44</v>
      </c>
      <c r="B27" t="s">
        <v>162</v>
      </c>
      <c r="C27" s="72">
        <v>0.2517</v>
      </c>
      <c r="D27" t="s">
        <v>83</v>
      </c>
      <c r="E27" s="73" t="s">
        <v>104</v>
      </c>
    </row>
    <row r="28" spans="1:5" x14ac:dyDescent="0.25">
      <c r="A28" t="s">
        <v>44</v>
      </c>
      <c r="B28" t="s">
        <v>125</v>
      </c>
      <c r="C28" s="72">
        <v>0.05</v>
      </c>
      <c r="D28" t="s">
        <v>83</v>
      </c>
      <c r="E28" s="73" t="s">
        <v>104</v>
      </c>
    </row>
    <row r="29" spans="1:5" x14ac:dyDescent="0.25">
      <c r="A29" t="s">
        <v>44</v>
      </c>
      <c r="B29" t="s">
        <v>126</v>
      </c>
      <c r="C29" s="72">
        <v>0.003</v>
      </c>
      <c r="D29" t="s">
        <v>83</v>
      </c>
      <c r="E29" s="73" t="s">
        <v>104</v>
      </c>
    </row>
    <row r="30" spans="1:5" x14ac:dyDescent="0.25">
      <c r="A30" t="s">
        <v>44</v>
      </c>
      <c r="B30" t="s">
        <v>102</v>
      </c>
      <c r="C30" s="72">
        <v>0</v>
      </c>
      <c r="D30" t="s">
        <v>83</v>
      </c>
      <c r="E30" s="73" t="s">
        <v>104</v>
      </c>
    </row>
    <row r="31" spans="1:5" x14ac:dyDescent="0.25">
      <c r="A31" t="s">
        <v>44</v>
      </c>
      <c r="B31" t="s">
        <v>311</v>
      </c>
      <c r="C31" s="72">
        <v>0.05</v>
      </c>
      <c r="D31" t="s">
        <v>83</v>
      </c>
      <c r="E31" s="73" t="s">
        <v>104</v>
      </c>
    </row>
    <row r="32" spans="1:5" x14ac:dyDescent="0.25">
      <c r="A32" t="s">
        <v>44</v>
      </c>
      <c r="B32" t="s">
        <v>116</v>
      </c>
      <c r="C32" s="71">
        <v>0</v>
      </c>
      <c r="D32" t="s">
        <v>86</v>
      </c>
      <c r="E32" s="73" t="s">
        <v>104</v>
      </c>
    </row>
    <row r="33" spans="1:5" x14ac:dyDescent="0.25">
      <c r="A33" t="s">
        <v>44</v>
      </c>
      <c r="B33" t="s">
        <v>156</v>
      </c>
      <c r="C33" t="s">
        <v>158</v>
      </c>
      <c r="D33" t="s">
        <v>8</v>
      </c>
      <c r="E33" t="s">
        <v>312</v>
      </c>
    </row>
    <row r="34" spans="1:5" x14ac:dyDescent="0.25">
      <c r="A34" t="s">
        <v>44</v>
      </c>
      <c r="B34" t="s">
        <v>163</v>
      </c>
      <c r="C34" t="s">
        <v>165</v>
      </c>
      <c r="D34" t="s">
        <v>8</v>
      </c>
      <c r="E34" t="s">
        <v>312</v>
      </c>
    </row>
    <row r="35" spans="1:5" x14ac:dyDescent="0.25">
      <c r="A35" t="s">
        <v>44</v>
      </c>
      <c r="B35" t="s">
        <v>166</v>
      </c>
      <c r="C35" s="72">
        <v>0.4</v>
      </c>
      <c r="D35" t="s">
        <v>83</v>
      </c>
      <c r="E35" t="s">
        <v>312</v>
      </c>
    </row>
    <row r="36" spans="1:5" x14ac:dyDescent="0.25">
      <c r="A36" t="s">
        <v>44</v>
      </c>
      <c r="B36" t="s">
        <v>167</v>
      </c>
      <c r="C36" s="71">
        <v>25</v>
      </c>
      <c r="D36" t="s">
        <v>155</v>
      </c>
      <c r="E36" t="s">
        <v>312</v>
      </c>
    </row>
    <row r="37" spans="1:5" x14ac:dyDescent="0.25">
      <c r="A37" t="s">
        <v>44</v>
      </c>
      <c r="B37" t="s">
        <v>168</v>
      </c>
      <c r="C37" s="72">
        <v>0.1</v>
      </c>
      <c r="D37" t="s">
        <v>83</v>
      </c>
      <c r="E37" t="s">
        <v>312</v>
      </c>
    </row>
    <row r="38" spans="1:5" x14ac:dyDescent="0.25">
      <c r="A38" t="s">
        <v>44</v>
      </c>
      <c r="B38" t="s">
        <v>169</v>
      </c>
      <c r="C38" s="71">
        <v>45</v>
      </c>
      <c r="D38" t="s">
        <v>170</v>
      </c>
      <c r="E38" t="s">
        <v>312</v>
      </c>
    </row>
    <row r="39" spans="1:5" x14ac:dyDescent="0.25">
      <c r="A39" t="s">
        <v>44</v>
      </c>
      <c r="B39" t="s">
        <v>313</v>
      </c>
      <c r="C39" s="72">
        <v>0.1</v>
      </c>
      <c r="D39" t="s">
        <v>83</v>
      </c>
      <c r="E39" t="s">
        <v>312</v>
      </c>
    </row>
    <row r="40" spans="1:5" x14ac:dyDescent="0.25">
      <c r="A40" t="s">
        <v>314</v>
      </c>
      <c r="B40" t="s">
        <v>315</v>
      </c>
      <c r="C40" t="s">
        <v>134</v>
      </c>
      <c r="D40" t="s">
        <v>8</v>
      </c>
      <c r="E40" s="7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316</v>
      </c>
      <c r="B1" s="67" t="s">
        <v>291</v>
      </c>
      <c r="C1" s="67" t="s">
        <v>317</v>
      </c>
    </row>
    <row r="2" spans="1:3" x14ac:dyDescent="0.25">
      <c r="A2" t="s">
        <v>29</v>
      </c>
      <c r="B2" s="11">
        <v>200</v>
      </c>
      <c r="C2" t="s">
        <v>30</v>
      </c>
    </row>
    <row r="3" spans="1:3" x14ac:dyDescent="0.25">
      <c r="A3" t="s">
        <v>31</v>
      </c>
      <c r="B3" s="11">
        <v>510.542823186038</v>
      </c>
      <c r="C3" t="s">
        <v>32</v>
      </c>
    </row>
    <row r="4" spans="1:3" x14ac:dyDescent="0.25">
      <c r="A4" t="s">
        <v>33</v>
      </c>
      <c r="B4" s="11">
        <v>280.9995547945182</v>
      </c>
      <c r="C4" t="s">
        <v>32</v>
      </c>
    </row>
    <row r="5" spans="1:3" x14ac:dyDescent="0.25">
      <c r="A5" t="s">
        <v>34</v>
      </c>
      <c r="B5" s="11">
        <v>421.6012132718809</v>
      </c>
      <c r="C5" t="s">
        <v>8</v>
      </c>
    </row>
    <row r="6" spans="1:3" x14ac:dyDescent="0.25">
      <c r="A6" t="s">
        <v>35</v>
      </c>
      <c r="B6" s="11">
        <v>1686.4048530875236</v>
      </c>
      <c r="C6" t="s">
        <v>8</v>
      </c>
    </row>
    <row r="8" spans="1:3" s="67" customFormat="1" x14ac:dyDescent="0.25">
      <c r="A8" s="67" t="s">
        <v>301</v>
      </c>
      <c r="B8" s="67" t="s">
        <v>318</v>
      </c>
      <c r="C8" s="67" t="s">
        <v>317</v>
      </c>
    </row>
    <row r="9" spans="1:3" x14ac:dyDescent="0.25">
      <c r="A9" t="s">
        <v>38</v>
      </c>
      <c r="B9" s="8">
        <v>2144.2798573813598</v>
      </c>
      <c r="C9" t="s">
        <v>8</v>
      </c>
    </row>
    <row r="10" spans="1:3" x14ac:dyDescent="0.25">
      <c r="A10" t="s">
        <v>40</v>
      </c>
      <c r="B10" s="8">
        <v>1917.8219614725867</v>
      </c>
      <c r="C10" t="s">
        <v>8</v>
      </c>
    </row>
    <row r="11" spans="1:3" x14ac:dyDescent="0.25">
      <c r="A11" t="s">
        <v>42</v>
      </c>
      <c r="B11" s="8">
        <v>2124.8701148902796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319</v>
      </c>
      <c r="B13" s="8">
        <v>6186.971933744227</v>
      </c>
      <c r="C13" t="s">
        <v>320</v>
      </c>
    </row>
    <row r="14" spans="1:3" x14ac:dyDescent="0.25">
      <c r="A14" t="s">
        <v>94</v>
      </c>
      <c r="B14" s="8">
        <v>4330.880353620958</v>
      </c>
      <c r="C14" t="s">
        <v>321</v>
      </c>
    </row>
    <row r="15" spans="1:3" x14ac:dyDescent="0.25">
      <c r="A15" t="s">
        <v>95</v>
      </c>
      <c r="B15" s="8">
        <v>1856.0915801232686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38433.808139596236</v>
      </c>
      <c r="D4" s="74">
        <v>1559.465511917294</v>
      </c>
      <c r="E4" s="74">
        <v>1557.622746389507</v>
      </c>
      <c r="F4" s="74">
        <v>1555.7799808617199</v>
      </c>
      <c r="G4" s="74">
        <v>1553.937215333933</v>
      </c>
      <c r="H4" s="74">
        <v>1552.0944498061458</v>
      </c>
      <c r="I4" s="74">
        <v>1550.2516842783589</v>
      </c>
      <c r="J4" s="74">
        <v>1548.408918750572</v>
      </c>
      <c r="K4" s="74">
        <v>1546.5661532227848</v>
      </c>
      <c r="L4" s="74">
        <v>1544.7233876949979</v>
      </c>
      <c r="M4" s="74">
        <v>1542.880622167211</v>
      </c>
      <c r="N4" s="74">
        <v>1541.0378566394238</v>
      </c>
      <c r="O4" s="74">
        <v>1539.1950911116369</v>
      </c>
      <c r="P4" s="74">
        <v>1537.3523255838497</v>
      </c>
      <c r="Q4" s="74">
        <v>1535.5095600560628</v>
      </c>
      <c r="R4" s="74">
        <v>1533.6667945282757</v>
      </c>
      <c r="S4" s="74">
        <v>1531.8240290004885</v>
      </c>
      <c r="T4" s="74">
        <v>1529.9812634727016</v>
      </c>
      <c r="U4" s="74">
        <v>1528.1384979449147</v>
      </c>
      <c r="V4" s="74">
        <v>1526.2957324171277</v>
      </c>
      <c r="W4" s="74">
        <v>1524.4529668893406</v>
      </c>
      <c r="X4" s="74">
        <v>1522.6102013615537</v>
      </c>
      <c r="Y4" s="74">
        <v>1520.7674358337665</v>
      </c>
      <c r="Z4" s="74">
        <v>1518.9246703059796</v>
      </c>
      <c r="AA4" s="74">
        <v>1517.0819047781924</v>
      </c>
      <c r="AB4" s="74">
        <v>1515.2391392504055</v>
      </c>
    </row>
    <row r="5" spans="1:28" x14ac:dyDescent="0.25">
      <c r="A5" t="s">
        <v>184</v>
      </c>
      <c r="B5" t="s">
        <v>8</v>
      </c>
      <c r="D5" s="72">
        <v>0.8901058857975422</v>
      </c>
      <c r="E5" s="72">
        <v>0.8890540789894447</v>
      </c>
      <c r="F5" s="72">
        <v>0.888002272181347</v>
      </c>
      <c r="G5" s="72">
        <v>0.8869504653732494</v>
      </c>
      <c r="H5" s="72">
        <v>0.8858986585651517</v>
      </c>
      <c r="I5" s="72">
        <v>0.8848468517570542</v>
      </c>
      <c r="J5" s="72">
        <v>0.8837950449489567</v>
      </c>
      <c r="K5" s="72">
        <v>0.882743238140859</v>
      </c>
      <c r="L5" s="72">
        <v>0.8816914313327614</v>
      </c>
      <c r="M5" s="72">
        <v>0.8806396245246638</v>
      </c>
      <c r="N5" s="72">
        <v>0.8795878177165661</v>
      </c>
      <c r="O5" s="72">
        <v>0.8785360109084686</v>
      </c>
      <c r="P5" s="72">
        <v>0.8774842041003709</v>
      </c>
      <c r="Q5" s="72">
        <v>0.8764323972922733</v>
      </c>
      <c r="R5" s="72">
        <v>0.8753805904841756</v>
      </c>
      <c r="S5" s="72">
        <v>0.8743287836760779</v>
      </c>
      <c r="T5" s="72">
        <v>0.8732769768679804</v>
      </c>
      <c r="U5" s="72">
        <v>0.8722251700598829</v>
      </c>
      <c r="V5" s="72">
        <v>0.8711733632517853</v>
      </c>
      <c r="W5" s="72">
        <v>0.8701215564436876</v>
      </c>
      <c r="X5" s="72">
        <v>0.86906974963559</v>
      </c>
      <c r="Y5" s="72">
        <v>0.8680179428274923</v>
      </c>
      <c r="Z5" s="72">
        <v>0.8669661360193948</v>
      </c>
      <c r="AA5" s="72">
        <v>0.8659143292112971</v>
      </c>
      <c r="AB5" s="72">
        <v>0.8648625224031995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6.862973373281048</v>
      </c>
      <c r="E7" s="75">
        <v>6.862973373281048</v>
      </c>
      <c r="F7" s="75">
        <v>6.862973373281048</v>
      </c>
      <c r="G7" s="75">
        <v>6.862973373281048</v>
      </c>
      <c r="H7" s="75">
        <v>6.862973373281048</v>
      </c>
      <c r="I7" s="75">
        <v>6.862973373281048</v>
      </c>
      <c r="J7" s="75">
        <v>6.862973373281048</v>
      </c>
      <c r="K7" s="75">
        <v>6.862973373281048</v>
      </c>
      <c r="L7" s="75">
        <v>6.862973373281048</v>
      </c>
      <c r="M7" s="75">
        <v>6.862973373281048</v>
      </c>
      <c r="N7" s="75">
        <v>6.862973373281048</v>
      </c>
      <c r="O7" s="75">
        <v>6.862973373281048</v>
      </c>
      <c r="P7" s="75">
        <v>6.862973373281048</v>
      </c>
      <c r="Q7" s="75">
        <v>6.862973373281048</v>
      </c>
      <c r="R7" s="75">
        <v>6.862973373281048</v>
      </c>
      <c r="S7" s="75">
        <v>6.862973373281048</v>
      </c>
      <c r="T7" s="75">
        <v>6.862973373281048</v>
      </c>
      <c r="U7" s="75">
        <v>6.862973373281048</v>
      </c>
      <c r="V7" s="75">
        <v>6.862973373281048</v>
      </c>
      <c r="W7" s="75">
        <v>6.862973373281048</v>
      </c>
      <c r="X7" s="75">
        <v>6.862973373281048</v>
      </c>
      <c r="Y7" s="75">
        <v>6.862973373281048</v>
      </c>
      <c r="Z7" s="75">
        <v>6.862973373281048</v>
      </c>
      <c r="AA7" s="75">
        <v>6.862973373281048</v>
      </c>
      <c r="AB7" s="75">
        <v>6.862973373281048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26377.020189584146</v>
      </c>
      <c r="D9" s="76">
        <v>1070.257028483849</v>
      </c>
      <c r="E9" s="76">
        <v>1068.9923434088087</v>
      </c>
      <c r="F9" s="76">
        <v>1067.7276583337684</v>
      </c>
      <c r="G9" s="76">
        <v>1066.462973258728</v>
      </c>
      <c r="H9" s="76">
        <v>1065.1982881836877</v>
      </c>
      <c r="I9" s="76">
        <v>1063.9336031086475</v>
      </c>
      <c r="J9" s="76">
        <v>1062.6689180336073</v>
      </c>
      <c r="K9" s="76">
        <v>1061.404232958567</v>
      </c>
      <c r="L9" s="76">
        <v>1060.1395478835268</v>
      </c>
      <c r="M9" s="76">
        <v>1058.8748628084868</v>
      </c>
      <c r="N9" s="76">
        <v>1057.6101777334463</v>
      </c>
      <c r="O9" s="76">
        <v>1056.345492658406</v>
      </c>
      <c r="P9" s="76">
        <v>1055.0808075833659</v>
      </c>
      <c r="Q9" s="76">
        <v>1053.8161225083256</v>
      </c>
      <c r="R9" s="76">
        <v>1052.5514374332854</v>
      </c>
      <c r="S9" s="76">
        <v>1051.286752358245</v>
      </c>
      <c r="T9" s="76">
        <v>1050.0220672832047</v>
      </c>
      <c r="U9" s="76">
        <v>1048.7573822081647</v>
      </c>
      <c r="V9" s="76">
        <v>1047.4926971331245</v>
      </c>
      <c r="W9" s="76">
        <v>1046.2280120580842</v>
      </c>
      <c r="X9" s="76">
        <v>1044.963326983044</v>
      </c>
      <c r="Y9" s="76">
        <v>1043.6986419080035</v>
      </c>
      <c r="Z9" s="76">
        <v>1042.4339568329633</v>
      </c>
      <c r="AA9" s="76">
        <v>1041.1692717579228</v>
      </c>
      <c r="AB9" s="76">
        <v>1039.9045866828828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2595.2495322521986</v>
      </c>
      <c r="D11" s="76">
        <v>96.77484856580371</v>
      </c>
      <c r="E11" s="76">
        <v>97.36110962616071</v>
      </c>
      <c r="F11" s="76">
        <v>97.94737068651773</v>
      </c>
      <c r="G11" s="76">
        <v>98.53363174687476</v>
      </c>
      <c r="H11" s="76">
        <v>99.11989280723179</v>
      </c>
      <c r="I11" s="76">
        <v>99.70615386758881</v>
      </c>
      <c r="J11" s="76">
        <v>100.29241492794583</v>
      </c>
      <c r="K11" s="76">
        <v>100.87867598830286</v>
      </c>
      <c r="L11" s="76">
        <v>101.46493704865989</v>
      </c>
      <c r="M11" s="76">
        <v>102.0511981090169</v>
      </c>
      <c r="N11" s="76">
        <v>102.63745916937391</v>
      </c>
      <c r="O11" s="76">
        <v>103.22372022973093</v>
      </c>
      <c r="P11" s="76">
        <v>103.80998129008798</v>
      </c>
      <c r="Q11" s="76">
        <v>104.396242350445</v>
      </c>
      <c r="R11" s="76">
        <v>104.982503410802</v>
      </c>
      <c r="S11" s="76">
        <v>105.56876447115904</v>
      </c>
      <c r="T11" s="76">
        <v>106.15502553151606</v>
      </c>
      <c r="U11" s="76">
        <v>106.74128659187306</v>
      </c>
      <c r="V11" s="76">
        <v>107.3275476522301</v>
      </c>
      <c r="W11" s="76">
        <v>107.91380871258711</v>
      </c>
      <c r="X11" s="76">
        <v>108.50006977294414</v>
      </c>
      <c r="Y11" s="76">
        <v>109.08633083330116</v>
      </c>
      <c r="Z11" s="76">
        <v>109.67259189365821</v>
      </c>
      <c r="AA11" s="76">
        <v>110.25885295401521</v>
      </c>
      <c r="AB11" s="76">
        <v>110.84511401437223</v>
      </c>
    </row>
    <row r="12" spans="1:28" s="14" customFormat="1" x14ac:dyDescent="0.25">
      <c r="A12" s="14" t="s">
        <v>195</v>
      </c>
      <c r="B12" s="14" t="s">
        <v>8</v>
      </c>
      <c r="C12" s="77">
        <v>23781.770657331952</v>
      </c>
      <c r="D12" s="77">
        <v>973.4821799180452</v>
      </c>
      <c r="E12" s="77">
        <v>971.631233782648</v>
      </c>
      <c r="F12" s="77">
        <v>969.7802876472507</v>
      </c>
      <c r="G12" s="77">
        <v>967.9293415118532</v>
      </c>
      <c r="H12" s="77">
        <v>966.078395376456</v>
      </c>
      <c r="I12" s="77">
        <v>964.2274492410587</v>
      </c>
      <c r="J12" s="77">
        <v>962.3765031056614</v>
      </c>
      <c r="K12" s="77">
        <v>960.5255569702642</v>
      </c>
      <c r="L12" s="77">
        <v>958.6746108348669</v>
      </c>
      <c r="M12" s="77">
        <v>956.8236646994699</v>
      </c>
      <c r="N12" s="77">
        <v>954.9727185640725</v>
      </c>
      <c r="O12" s="77">
        <v>953.1217724286752</v>
      </c>
      <c r="P12" s="77">
        <v>951.2708262932779</v>
      </c>
      <c r="Q12" s="77">
        <v>949.4198801578807</v>
      </c>
      <c r="R12" s="77">
        <v>947.5689340224834</v>
      </c>
      <c r="S12" s="77">
        <v>945.7179878870859</v>
      </c>
      <c r="T12" s="77">
        <v>943.8670417516887</v>
      </c>
      <c r="U12" s="77">
        <v>942.0160956162916</v>
      </c>
      <c r="V12" s="77">
        <v>940.1651494808943</v>
      </c>
      <c r="W12" s="77">
        <v>938.3142033454972</v>
      </c>
      <c r="X12" s="77">
        <v>936.4632572100999</v>
      </c>
      <c r="Y12" s="77">
        <v>934.6123110747023</v>
      </c>
      <c r="Z12" s="77">
        <v>932.761364939305</v>
      </c>
      <c r="AA12" s="77">
        <v>930.9104188039076</v>
      </c>
      <c r="AB12" s="77">
        <v>929.0594726685106</v>
      </c>
    </row>
    <row r="13" spans="1:1" s="5" customFormat="1" x14ac:dyDescent="0.25">
      <c r="A13" s="5" t="s">
        <v>196</v>
      </c>
    </row>
    <row r="14" spans="1:28" x14ac:dyDescent="0.25">
      <c r="A14" t="s">
        <v>302</v>
      </c>
      <c r="B14" t="s">
        <v>8</v>
      </c>
      <c r="C14" s="76">
        <v>3147.5320605198535</v>
      </c>
      <c r="D14" s="76">
        <v>65.94853109599845</v>
      </c>
      <c r="E14" s="76">
        <v>69.24595765079837</v>
      </c>
      <c r="F14" s="76">
        <v>72.70825553333829</v>
      </c>
      <c r="G14" s="76">
        <v>76.34366831000521</v>
      </c>
      <c r="H14" s="76">
        <v>80.16085172550548</v>
      </c>
      <c r="I14" s="76">
        <v>84.16889431178076</v>
      </c>
      <c r="J14" s="76">
        <v>88.3773390273698</v>
      </c>
      <c r="K14" s="76">
        <v>92.79620597873829</v>
      </c>
      <c r="L14" s="76">
        <v>97.43601627767521</v>
      </c>
      <c r="M14" s="76">
        <v>102.30781709155897</v>
      </c>
      <c r="N14" s="76">
        <v>107.42320794613693</v>
      </c>
      <c r="O14" s="76">
        <v>112.79436834344378</v>
      </c>
      <c r="P14" s="76">
        <v>118.43408676061597</v>
      </c>
      <c r="Q14" s="76">
        <v>124.35579109864678</v>
      </c>
      <c r="R14" s="76">
        <v>130.5735806535791</v>
      </c>
      <c r="S14" s="76">
        <v>137.1022596862581</v>
      </c>
      <c r="T14" s="76">
        <v>143.95737267057098</v>
      </c>
      <c r="U14" s="76">
        <v>151.15524130409955</v>
      </c>
      <c r="V14" s="76">
        <v>158.71300336930452</v>
      </c>
      <c r="W14" s="76">
        <v>166.64865353776977</v>
      </c>
      <c r="X14" s="76">
        <v>174.98108621465823</v>
      </c>
      <c r="Y14" s="76">
        <v>183.7301405253912</v>
      </c>
      <c r="Z14" s="76">
        <v>192.91664755166076</v>
      </c>
      <c r="AA14" s="76">
        <v>202.5624799292438</v>
      </c>
      <c r="AB14" s="76">
        <v>212.69060392570597</v>
      </c>
    </row>
    <row r="15" spans="1:28" x14ac:dyDescent="0.25">
      <c r="A15" t="s">
        <v>126</v>
      </c>
      <c r="B15" t="s">
        <v>8</v>
      </c>
      <c r="C15" s="76">
        <v>441.9265666960161</v>
      </c>
      <c r="D15" s="76">
        <v>17.677062667840648</v>
      </c>
      <c r="E15" s="76">
        <v>17.677062667840648</v>
      </c>
      <c r="F15" s="76">
        <v>17.677062667840648</v>
      </c>
      <c r="G15" s="76">
        <v>17.677062667840648</v>
      </c>
      <c r="H15" s="76">
        <v>17.677062667840648</v>
      </c>
      <c r="I15" s="76">
        <v>17.677062667840648</v>
      </c>
      <c r="J15" s="76">
        <v>17.677062667840648</v>
      </c>
      <c r="K15" s="76">
        <v>17.677062667840648</v>
      </c>
      <c r="L15" s="76">
        <v>17.677062667840648</v>
      </c>
      <c r="M15" s="76">
        <v>17.677062667840648</v>
      </c>
      <c r="N15" s="76">
        <v>17.677062667840648</v>
      </c>
      <c r="O15" s="76">
        <v>17.677062667840648</v>
      </c>
      <c r="P15" s="76">
        <v>17.677062667840648</v>
      </c>
      <c r="Q15" s="76">
        <v>17.677062667840648</v>
      </c>
      <c r="R15" s="76">
        <v>17.677062667840648</v>
      </c>
      <c r="S15" s="76">
        <v>17.677062667840648</v>
      </c>
      <c r="T15" s="76">
        <v>17.677062667840648</v>
      </c>
      <c r="U15" s="76">
        <v>17.677062667840648</v>
      </c>
      <c r="V15" s="76">
        <v>17.677062667840648</v>
      </c>
      <c r="W15" s="76">
        <v>17.677062667840648</v>
      </c>
      <c r="X15" s="76">
        <v>17.677062667840648</v>
      </c>
      <c r="Y15" s="76">
        <v>17.677062667840648</v>
      </c>
      <c r="Z15" s="76">
        <v>17.677062667840648</v>
      </c>
      <c r="AA15" s="76">
        <v>17.677062667840648</v>
      </c>
      <c r="AB15" s="76">
        <v>17.677062667840648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3589.458627215871</v>
      </c>
      <c r="D17" s="77">
        <v>83.62559376383909</v>
      </c>
      <c r="E17" s="77">
        <v>86.92302031863902</v>
      </c>
      <c r="F17" s="77">
        <v>90.38531820117893</v>
      </c>
      <c r="G17" s="77">
        <v>94.02073097784586</v>
      </c>
      <c r="H17" s="77">
        <v>97.83791439334613</v>
      </c>
      <c r="I17" s="77">
        <v>101.8459569796214</v>
      </c>
      <c r="J17" s="77">
        <v>106.05440169521044</v>
      </c>
      <c r="K17" s="77">
        <v>110.47326864657893</v>
      </c>
      <c r="L17" s="77">
        <v>115.11307894551585</v>
      </c>
      <c r="M17" s="77">
        <v>119.98487975939962</v>
      </c>
      <c r="N17" s="77">
        <v>125.10027061397757</v>
      </c>
      <c r="O17" s="77">
        <v>130.47143101128444</v>
      </c>
      <c r="P17" s="77">
        <v>136.11114942845663</v>
      </c>
      <c r="Q17" s="77">
        <v>142.03285376648742</v>
      </c>
      <c r="R17" s="77">
        <v>148.25064332141977</v>
      </c>
      <c r="S17" s="77">
        <v>154.77932235409875</v>
      </c>
      <c r="T17" s="77">
        <v>161.63443533841163</v>
      </c>
      <c r="U17" s="77">
        <v>168.8323039719402</v>
      </c>
      <c r="V17" s="77">
        <v>176.39006603714517</v>
      </c>
      <c r="W17" s="77">
        <v>184.32571620561043</v>
      </c>
      <c r="X17" s="77">
        <v>192.6581488824989</v>
      </c>
      <c r="Y17" s="77">
        <v>201.40720319323185</v>
      </c>
      <c r="Z17" s="77">
        <v>210.59371021950142</v>
      </c>
      <c r="AA17" s="77">
        <v>220.23954259708447</v>
      </c>
      <c r="AB17" s="77">
        <v>230.36766659354663</v>
      </c>
    </row>
    <row r="18" spans="1:1" s="5" customFormat="1" x14ac:dyDescent="0.25">
      <c r="A18" s="5" t="s">
        <v>349</v>
      </c>
    </row>
    <row r="19" spans="1:28" x14ac:dyDescent="0.25">
      <c r="A19" t="s">
        <v>143</v>
      </c>
      <c r="B19" t="s">
        <v>8</v>
      </c>
      <c r="C19" s="76">
        <v>971.3691953784137</v>
      </c>
      <c r="D19" s="76">
        <v>0</v>
      </c>
      <c r="E19" s="76">
        <v>40.47371647410057</v>
      </c>
      <c r="F19" s="76">
        <v>40.47371647410057</v>
      </c>
      <c r="G19" s="76">
        <v>40.47371647410057</v>
      </c>
      <c r="H19" s="76">
        <v>40.47371647410057</v>
      </c>
      <c r="I19" s="76">
        <v>40.47371647410057</v>
      </c>
      <c r="J19" s="76">
        <v>40.47371647410057</v>
      </c>
      <c r="K19" s="76">
        <v>40.47371647410057</v>
      </c>
      <c r="L19" s="76">
        <v>40.47371647410057</v>
      </c>
      <c r="M19" s="76">
        <v>40.47371647410057</v>
      </c>
      <c r="N19" s="76">
        <v>40.47371647410057</v>
      </c>
      <c r="O19" s="76">
        <v>40.47371647410057</v>
      </c>
      <c r="P19" s="76">
        <v>40.47371647410057</v>
      </c>
      <c r="Q19" s="76">
        <v>40.47371647410057</v>
      </c>
      <c r="R19" s="76">
        <v>40.47371647410057</v>
      </c>
      <c r="S19" s="76">
        <v>40.47371647410057</v>
      </c>
      <c r="T19" s="76">
        <v>40.47371647410057</v>
      </c>
      <c r="U19" s="76">
        <v>40.47371647410057</v>
      </c>
      <c r="V19" s="76">
        <v>40.47371647410057</v>
      </c>
      <c r="W19" s="76">
        <v>40.47371647410057</v>
      </c>
      <c r="X19" s="76">
        <v>40.47371647410057</v>
      </c>
      <c r="Y19" s="76">
        <v>40.47371647410057</v>
      </c>
      <c r="Z19" s="76">
        <v>40.47371647410057</v>
      </c>
      <c r="AA19" s="76">
        <v>40.47371647410057</v>
      </c>
      <c r="AB19" s="76">
        <v>40.47371647410057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38433.808139596236</v>
      </c>
      <c r="D4" s="74">
        <v>1559.465511917294</v>
      </c>
      <c r="E4" s="74">
        <v>1557.622746389507</v>
      </c>
      <c r="F4" s="74">
        <v>1555.7799808617199</v>
      </c>
      <c r="G4" s="74">
        <v>1553.937215333933</v>
      </c>
      <c r="H4" s="74">
        <v>1552.0944498061458</v>
      </c>
      <c r="I4" s="74">
        <v>1550.2516842783589</v>
      </c>
      <c r="J4" s="74">
        <v>1548.408918750572</v>
      </c>
      <c r="K4" s="74">
        <v>1546.5661532227848</v>
      </c>
      <c r="L4" s="74">
        <v>1544.7233876949979</v>
      </c>
      <c r="M4" s="74">
        <v>1542.880622167211</v>
      </c>
      <c r="N4" s="74">
        <v>1541.0378566394238</v>
      </c>
      <c r="O4" s="74">
        <v>1539.1950911116369</v>
      </c>
      <c r="P4" s="74">
        <v>1537.3523255838497</v>
      </c>
      <c r="Q4" s="74">
        <v>1535.5095600560628</v>
      </c>
      <c r="R4" s="74">
        <v>1533.6667945282757</v>
      </c>
      <c r="S4" s="74">
        <v>1531.8240290004885</v>
      </c>
      <c r="T4" s="74">
        <v>1529.9812634727016</v>
      </c>
      <c r="U4" s="74">
        <v>1528.1384979449147</v>
      </c>
      <c r="V4" s="74">
        <v>1526.2957324171277</v>
      </c>
      <c r="W4" s="74">
        <v>1524.4529668893406</v>
      </c>
      <c r="X4" s="74">
        <v>1522.6102013615537</v>
      </c>
      <c r="Y4" s="74">
        <v>1520.7674358337665</v>
      </c>
      <c r="Z4" s="74">
        <v>1518.9246703059796</v>
      </c>
      <c r="AA4" s="74">
        <v>1517.0819047781924</v>
      </c>
      <c r="AB4" s="74">
        <v>1515.2391392504055</v>
      </c>
    </row>
    <row r="5" spans="1:28" x14ac:dyDescent="0.25">
      <c r="A5" t="s">
        <v>184</v>
      </c>
      <c r="B5" t="s">
        <v>8</v>
      </c>
      <c r="D5" s="72">
        <v>0.8901058857975422</v>
      </c>
      <c r="E5" s="72">
        <v>0.8890540789894447</v>
      </c>
      <c r="F5" s="72">
        <v>0.888002272181347</v>
      </c>
      <c r="G5" s="72">
        <v>0.8869504653732494</v>
      </c>
      <c r="H5" s="72">
        <v>0.8858986585651517</v>
      </c>
      <c r="I5" s="72">
        <v>0.8848468517570542</v>
      </c>
      <c r="J5" s="72">
        <v>0.8837950449489567</v>
      </c>
      <c r="K5" s="72">
        <v>0.882743238140859</v>
      </c>
      <c r="L5" s="72">
        <v>0.8816914313327614</v>
      </c>
      <c r="M5" s="72">
        <v>0.8806396245246638</v>
      </c>
      <c r="N5" s="72">
        <v>0.8795878177165661</v>
      </c>
      <c r="O5" s="72">
        <v>0.8785360109084686</v>
      </c>
      <c r="P5" s="72">
        <v>0.8774842041003709</v>
      </c>
      <c r="Q5" s="72">
        <v>0.8764323972922733</v>
      </c>
      <c r="R5" s="72">
        <v>0.8753805904841756</v>
      </c>
      <c r="S5" s="72">
        <v>0.8743287836760779</v>
      </c>
      <c r="T5" s="72">
        <v>0.8732769768679804</v>
      </c>
      <c r="U5" s="72">
        <v>0.8722251700598829</v>
      </c>
      <c r="V5" s="72">
        <v>0.8711733632517853</v>
      </c>
      <c r="W5" s="72">
        <v>0.8701215564436876</v>
      </c>
      <c r="X5" s="72">
        <v>0.86906974963559</v>
      </c>
      <c r="Y5" s="72">
        <v>0.8680179428274923</v>
      </c>
      <c r="Z5" s="72">
        <v>0.8669661360193948</v>
      </c>
      <c r="AA5" s="72">
        <v>0.8659143292112971</v>
      </c>
      <c r="AB5" s="72">
        <v>0.8648625224031995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6.862973373281048</v>
      </c>
      <c r="E7" s="75">
        <v>6.862973373281048</v>
      </c>
      <c r="F7" s="75">
        <v>6.862973373281048</v>
      </c>
      <c r="G7" s="75">
        <v>6.862973373281048</v>
      </c>
      <c r="H7" s="75">
        <v>6.862973373281048</v>
      </c>
      <c r="I7" s="75">
        <v>6.862973373281048</v>
      </c>
      <c r="J7" s="75">
        <v>6.862973373281048</v>
      </c>
      <c r="K7" s="75">
        <v>6.862973373281048</v>
      </c>
      <c r="L7" s="75">
        <v>6.862973373281048</v>
      </c>
      <c r="M7" s="75">
        <v>6.862973373281048</v>
      </c>
      <c r="N7" s="75">
        <v>6.862973373281048</v>
      </c>
      <c r="O7" s="75">
        <v>6.862973373281048</v>
      </c>
      <c r="P7" s="75">
        <v>6.862973373281048</v>
      </c>
      <c r="Q7" s="75">
        <v>6.862973373281048</v>
      </c>
      <c r="R7" s="75">
        <v>6.862973373281048</v>
      </c>
      <c r="S7" s="75">
        <v>6.862973373281048</v>
      </c>
      <c r="T7" s="75">
        <v>6.862973373281048</v>
      </c>
      <c r="U7" s="75">
        <v>6.862973373281048</v>
      </c>
      <c r="V7" s="75">
        <v>6.862973373281048</v>
      </c>
      <c r="W7" s="75">
        <v>6.862973373281048</v>
      </c>
      <c r="X7" s="75">
        <v>6.862973373281048</v>
      </c>
      <c r="Y7" s="75">
        <v>6.862973373281048</v>
      </c>
      <c r="Z7" s="75">
        <v>6.862973373281048</v>
      </c>
      <c r="AA7" s="75">
        <v>6.862973373281048</v>
      </c>
      <c r="AB7" s="75">
        <v>6.862973373281048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26377.020189584146</v>
      </c>
      <c r="D9" s="76">
        <v>1070.257028483849</v>
      </c>
      <c r="E9" s="76">
        <v>1068.9923434088087</v>
      </c>
      <c r="F9" s="76">
        <v>1067.7276583337684</v>
      </c>
      <c r="G9" s="76">
        <v>1066.462973258728</v>
      </c>
      <c r="H9" s="76">
        <v>1065.1982881836877</v>
      </c>
      <c r="I9" s="76">
        <v>1063.9336031086475</v>
      </c>
      <c r="J9" s="76">
        <v>1062.6689180336073</v>
      </c>
      <c r="K9" s="76">
        <v>1061.404232958567</v>
      </c>
      <c r="L9" s="76">
        <v>1060.1395478835268</v>
      </c>
      <c r="M9" s="76">
        <v>1058.8748628084868</v>
      </c>
      <c r="N9" s="76">
        <v>1057.6101777334463</v>
      </c>
      <c r="O9" s="76">
        <v>1056.345492658406</v>
      </c>
      <c r="P9" s="76">
        <v>1055.0808075833659</v>
      </c>
      <c r="Q9" s="76">
        <v>1053.8161225083256</v>
      </c>
      <c r="R9" s="76">
        <v>1052.5514374332854</v>
      </c>
      <c r="S9" s="76">
        <v>1051.286752358245</v>
      </c>
      <c r="T9" s="76">
        <v>1050.0220672832047</v>
      </c>
      <c r="U9" s="76">
        <v>1048.7573822081647</v>
      </c>
      <c r="V9" s="76">
        <v>1047.4926971331245</v>
      </c>
      <c r="W9" s="76">
        <v>1046.2280120580842</v>
      </c>
      <c r="X9" s="76">
        <v>1044.963326983044</v>
      </c>
      <c r="Y9" s="76">
        <v>1043.6986419080035</v>
      </c>
      <c r="Z9" s="76">
        <v>1042.4339568329633</v>
      </c>
      <c r="AA9" s="76">
        <v>1041.1692717579228</v>
      </c>
      <c r="AB9" s="76">
        <v>1039.9045866828828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2595.2495322521986</v>
      </c>
      <c r="D11" s="76">
        <v>96.77484856580371</v>
      </c>
      <c r="E11" s="76">
        <v>97.36110962616071</v>
      </c>
      <c r="F11" s="76">
        <v>97.94737068651773</v>
      </c>
      <c r="G11" s="76">
        <v>98.53363174687476</v>
      </c>
      <c r="H11" s="76">
        <v>99.11989280723179</v>
      </c>
      <c r="I11" s="76">
        <v>99.70615386758881</v>
      </c>
      <c r="J11" s="76">
        <v>100.29241492794583</v>
      </c>
      <c r="K11" s="76">
        <v>100.87867598830286</v>
      </c>
      <c r="L11" s="76">
        <v>101.46493704865989</v>
      </c>
      <c r="M11" s="76">
        <v>102.0511981090169</v>
      </c>
      <c r="N11" s="76">
        <v>102.63745916937391</v>
      </c>
      <c r="O11" s="76">
        <v>103.22372022973093</v>
      </c>
      <c r="P11" s="76">
        <v>103.80998129008798</v>
      </c>
      <c r="Q11" s="76">
        <v>104.396242350445</v>
      </c>
      <c r="R11" s="76">
        <v>104.982503410802</v>
      </c>
      <c r="S11" s="76">
        <v>105.56876447115904</v>
      </c>
      <c r="T11" s="76">
        <v>106.15502553151606</v>
      </c>
      <c r="U11" s="76">
        <v>106.74128659187306</v>
      </c>
      <c r="V11" s="76">
        <v>107.3275476522301</v>
      </c>
      <c r="W11" s="76">
        <v>107.91380871258711</v>
      </c>
      <c r="X11" s="76">
        <v>108.50006977294414</v>
      </c>
      <c r="Y11" s="76">
        <v>109.08633083330116</v>
      </c>
      <c r="Z11" s="76">
        <v>109.67259189365821</v>
      </c>
      <c r="AA11" s="76">
        <v>110.25885295401521</v>
      </c>
      <c r="AB11" s="76">
        <v>110.84511401437223</v>
      </c>
    </row>
    <row r="12" spans="1:28" s="14" customFormat="1" x14ac:dyDescent="0.25">
      <c r="A12" s="14" t="s">
        <v>195</v>
      </c>
      <c r="B12" s="14" t="s">
        <v>8</v>
      </c>
      <c r="C12" s="77">
        <v>23781.770657331952</v>
      </c>
      <c r="D12" s="77">
        <v>973.4821799180452</v>
      </c>
      <c r="E12" s="77">
        <v>971.631233782648</v>
      </c>
      <c r="F12" s="77">
        <v>969.7802876472507</v>
      </c>
      <c r="G12" s="77">
        <v>967.9293415118532</v>
      </c>
      <c r="H12" s="77">
        <v>966.078395376456</v>
      </c>
      <c r="I12" s="77">
        <v>964.2274492410587</v>
      </c>
      <c r="J12" s="77">
        <v>962.3765031056614</v>
      </c>
      <c r="K12" s="77">
        <v>960.5255569702642</v>
      </c>
      <c r="L12" s="77">
        <v>958.6746108348669</v>
      </c>
      <c r="M12" s="77">
        <v>956.8236646994699</v>
      </c>
      <c r="N12" s="77">
        <v>954.9727185640725</v>
      </c>
      <c r="O12" s="77">
        <v>953.1217724286752</v>
      </c>
      <c r="P12" s="77">
        <v>951.2708262932779</v>
      </c>
      <c r="Q12" s="77">
        <v>949.4198801578807</v>
      </c>
      <c r="R12" s="77">
        <v>947.5689340224834</v>
      </c>
      <c r="S12" s="77">
        <v>945.7179878870859</v>
      </c>
      <c r="T12" s="77">
        <v>943.8670417516887</v>
      </c>
      <c r="U12" s="77">
        <v>942.0160956162916</v>
      </c>
      <c r="V12" s="77">
        <v>940.1651494808943</v>
      </c>
      <c r="W12" s="77">
        <v>938.3142033454972</v>
      </c>
      <c r="X12" s="77">
        <v>936.4632572100999</v>
      </c>
      <c r="Y12" s="77">
        <v>934.6123110747023</v>
      </c>
      <c r="Z12" s="77">
        <v>932.761364939305</v>
      </c>
      <c r="AA12" s="77">
        <v>930.9104188039076</v>
      </c>
      <c r="AB12" s="77">
        <v>929.0594726685106</v>
      </c>
    </row>
    <row r="13" spans="1:1" s="5" customFormat="1" x14ac:dyDescent="0.25">
      <c r="A13" s="5" t="s">
        <v>196</v>
      </c>
    </row>
    <row r="14" spans="1:28" x14ac:dyDescent="0.25">
      <c r="A14" t="s">
        <v>302</v>
      </c>
      <c r="B14" t="s">
        <v>8</v>
      </c>
      <c r="C14" s="76">
        <v>3147.5320605198535</v>
      </c>
      <c r="D14" s="76">
        <v>65.94853109599845</v>
      </c>
      <c r="E14" s="76">
        <v>69.24595765079837</v>
      </c>
      <c r="F14" s="76">
        <v>72.70825553333829</v>
      </c>
      <c r="G14" s="76">
        <v>76.34366831000521</v>
      </c>
      <c r="H14" s="76">
        <v>80.16085172550548</v>
      </c>
      <c r="I14" s="76">
        <v>84.16889431178076</v>
      </c>
      <c r="J14" s="76">
        <v>88.3773390273698</v>
      </c>
      <c r="K14" s="76">
        <v>92.79620597873829</v>
      </c>
      <c r="L14" s="76">
        <v>97.43601627767521</v>
      </c>
      <c r="M14" s="76">
        <v>102.30781709155897</v>
      </c>
      <c r="N14" s="76">
        <v>107.42320794613693</v>
      </c>
      <c r="O14" s="76">
        <v>112.79436834344378</v>
      </c>
      <c r="P14" s="76">
        <v>118.43408676061597</v>
      </c>
      <c r="Q14" s="76">
        <v>124.35579109864678</v>
      </c>
      <c r="R14" s="76">
        <v>130.5735806535791</v>
      </c>
      <c r="S14" s="76">
        <v>137.1022596862581</v>
      </c>
      <c r="T14" s="76">
        <v>143.95737267057098</v>
      </c>
      <c r="U14" s="76">
        <v>151.15524130409955</v>
      </c>
      <c r="V14" s="76">
        <v>158.71300336930452</v>
      </c>
      <c r="W14" s="76">
        <v>166.64865353776977</v>
      </c>
      <c r="X14" s="76">
        <v>174.98108621465823</v>
      </c>
      <c r="Y14" s="76">
        <v>183.7301405253912</v>
      </c>
      <c r="Z14" s="76">
        <v>192.91664755166076</v>
      </c>
      <c r="AA14" s="76">
        <v>202.5624799292438</v>
      </c>
      <c r="AB14" s="76">
        <v>212.69060392570597</v>
      </c>
    </row>
    <row r="15" spans="1:28" x14ac:dyDescent="0.25">
      <c r="A15" t="s">
        <v>126</v>
      </c>
      <c r="B15" t="s">
        <v>8</v>
      </c>
      <c r="C15" s="76">
        <v>441.9265666960161</v>
      </c>
      <c r="D15" s="76">
        <v>17.677062667840648</v>
      </c>
      <c r="E15" s="76">
        <v>17.677062667840648</v>
      </c>
      <c r="F15" s="76">
        <v>17.677062667840648</v>
      </c>
      <c r="G15" s="76">
        <v>17.677062667840648</v>
      </c>
      <c r="H15" s="76">
        <v>17.677062667840648</v>
      </c>
      <c r="I15" s="76">
        <v>17.677062667840648</v>
      </c>
      <c r="J15" s="76">
        <v>17.677062667840648</v>
      </c>
      <c r="K15" s="76">
        <v>17.677062667840648</v>
      </c>
      <c r="L15" s="76">
        <v>17.677062667840648</v>
      </c>
      <c r="M15" s="76">
        <v>17.677062667840648</v>
      </c>
      <c r="N15" s="76">
        <v>17.677062667840648</v>
      </c>
      <c r="O15" s="76">
        <v>17.677062667840648</v>
      </c>
      <c r="P15" s="76">
        <v>17.677062667840648</v>
      </c>
      <c r="Q15" s="76">
        <v>17.677062667840648</v>
      </c>
      <c r="R15" s="76">
        <v>17.677062667840648</v>
      </c>
      <c r="S15" s="76">
        <v>17.677062667840648</v>
      </c>
      <c r="T15" s="76">
        <v>17.677062667840648</v>
      </c>
      <c r="U15" s="76">
        <v>17.677062667840648</v>
      </c>
      <c r="V15" s="76">
        <v>17.677062667840648</v>
      </c>
      <c r="W15" s="76">
        <v>17.677062667840648</v>
      </c>
      <c r="X15" s="76">
        <v>17.677062667840648</v>
      </c>
      <c r="Y15" s="76">
        <v>17.677062667840648</v>
      </c>
      <c r="Z15" s="76">
        <v>17.677062667840648</v>
      </c>
      <c r="AA15" s="76">
        <v>17.677062667840648</v>
      </c>
      <c r="AB15" s="76">
        <v>17.677062667840648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3589.458627215871</v>
      </c>
      <c r="D17" s="77">
        <v>83.62559376383909</v>
      </c>
      <c r="E17" s="77">
        <v>86.92302031863902</v>
      </c>
      <c r="F17" s="77">
        <v>90.38531820117893</v>
      </c>
      <c r="G17" s="77">
        <v>94.02073097784586</v>
      </c>
      <c r="H17" s="77">
        <v>97.83791439334613</v>
      </c>
      <c r="I17" s="77">
        <v>101.8459569796214</v>
      </c>
      <c r="J17" s="77">
        <v>106.05440169521044</v>
      </c>
      <c r="K17" s="77">
        <v>110.47326864657893</v>
      </c>
      <c r="L17" s="77">
        <v>115.11307894551585</v>
      </c>
      <c r="M17" s="77">
        <v>119.98487975939962</v>
      </c>
      <c r="N17" s="77">
        <v>125.10027061397757</v>
      </c>
      <c r="O17" s="77">
        <v>130.47143101128444</v>
      </c>
      <c r="P17" s="77">
        <v>136.11114942845663</v>
      </c>
      <c r="Q17" s="77">
        <v>142.03285376648742</v>
      </c>
      <c r="R17" s="77">
        <v>148.25064332141977</v>
      </c>
      <c r="S17" s="77">
        <v>154.77932235409875</v>
      </c>
      <c r="T17" s="77">
        <v>161.63443533841163</v>
      </c>
      <c r="U17" s="77">
        <v>168.8323039719402</v>
      </c>
      <c r="V17" s="77">
        <v>176.39006603714517</v>
      </c>
      <c r="W17" s="77">
        <v>184.32571620561043</v>
      </c>
      <c r="X17" s="77">
        <v>192.6581488824989</v>
      </c>
      <c r="Y17" s="77">
        <v>201.40720319323185</v>
      </c>
      <c r="Z17" s="77">
        <v>210.59371021950142</v>
      </c>
      <c r="AA17" s="77">
        <v>220.23954259708447</v>
      </c>
      <c r="AB17" s="77">
        <v>230.36766659354663</v>
      </c>
    </row>
    <row r="18" spans="1:1" s="5" customFormat="1" x14ac:dyDescent="0.25">
      <c r="A18" s="5" t="s">
        <v>213</v>
      </c>
    </row>
    <row r="19" spans="1:28" s="14" customFormat="1" x14ac:dyDescent="0.25">
      <c r="A19" s="14" t="s">
        <v>198</v>
      </c>
      <c r="B19" s="14" t="s">
        <v>8</v>
      </c>
      <c r="C19" s="77">
        <v>20192.312030116074</v>
      </c>
      <c r="D19" s="77">
        <v>889.8565861542061</v>
      </c>
      <c r="E19" s="77">
        <v>884.708213464009</v>
      </c>
      <c r="F19" s="77">
        <v>879.3949694460717</v>
      </c>
      <c r="G19" s="77">
        <v>873.9086105340073</v>
      </c>
      <c r="H19" s="77">
        <v>868.2404809831098</v>
      </c>
      <c r="I19" s="77">
        <v>862.3814922614373</v>
      </c>
      <c r="J19" s="77">
        <v>856.322101410451</v>
      </c>
      <c r="K19" s="77">
        <v>850.0522883236853</v>
      </c>
      <c r="L19" s="77">
        <v>843.561531889351</v>
      </c>
      <c r="M19" s="77">
        <v>836.8387849400702</v>
      </c>
      <c r="N19" s="77">
        <v>829.8724479500949</v>
      </c>
      <c r="O19" s="77">
        <v>822.6503414173908</v>
      </c>
      <c r="P19" s="77">
        <v>815.1596768648212</v>
      </c>
      <c r="Q19" s="77">
        <v>807.3870263913933</v>
      </c>
      <c r="R19" s="77">
        <v>799.3182907010637</v>
      </c>
      <c r="S19" s="77">
        <v>790.9386655329871</v>
      </c>
      <c r="T19" s="77">
        <v>782.232606413277</v>
      </c>
      <c r="U19" s="77">
        <v>773.1837916443515</v>
      </c>
      <c r="V19" s="77">
        <v>763.7750834437492</v>
      </c>
      <c r="W19" s="77">
        <v>753.9884871398867</v>
      </c>
      <c r="X19" s="77">
        <v>743.8051083276009</v>
      </c>
      <c r="Y19" s="77">
        <v>733.2051078814704</v>
      </c>
      <c r="Z19" s="77">
        <v>722.1676547198036</v>
      </c>
      <c r="AA19" s="77">
        <v>710.6708762068232</v>
      </c>
      <c r="AB19" s="77">
        <v>698.691806074964</v>
      </c>
    </row>
    <row r="20" spans="1:28" x14ac:dyDescent="0.25">
      <c r="A20" t="s">
        <v>201</v>
      </c>
      <c r="B20" t="s">
        <v>8</v>
      </c>
      <c r="C20" s="76">
        <v>6539.643935748218</v>
      </c>
      <c r="D20" s="76">
        <v>222.73098961479215</v>
      </c>
      <c r="E20" s="76">
        <v>224.41739446787966</v>
      </c>
      <c r="F20" s="76">
        <v>226.17712127110144</v>
      </c>
      <c r="G20" s="76">
        <v>228.01683565628784</v>
      </c>
      <c r="H20" s="76">
        <v>229.94415548838785</v>
      </c>
      <c r="I20" s="76">
        <v>231.96784131209287</v>
      </c>
      <c r="J20" s="76">
        <v>234.0980369159929</v>
      </c>
      <c r="K20" s="76">
        <v>236.34657672010962</v>
      </c>
      <c r="L20" s="76">
        <v>238.7273835715273</v>
      </c>
      <c r="M20" s="76">
        <v>241.25699085115858</v>
      </c>
      <c r="N20" s="76">
        <v>243.95523861609863</v>
      </c>
      <c r="O20" s="76">
        <v>246.84621836424867</v>
      </c>
      <c r="P20" s="76">
        <v>249.9595811699487</v>
      </c>
      <c r="Q20" s="76">
        <v>253.33239087612375</v>
      </c>
      <c r="R20" s="76">
        <v>257.0118196464965</v>
      </c>
      <c r="S20" s="76">
        <v>261.05919129390657</v>
      </c>
      <c r="T20" s="76">
        <v>265.55627090214</v>
      </c>
      <c r="U20" s="76">
        <v>270.61548546140256</v>
      </c>
      <c r="V20" s="76">
        <v>276.39744495770265</v>
      </c>
      <c r="W20" s="76">
        <v>283.14306437005274</v>
      </c>
      <c r="X20" s="76">
        <v>291.23780766487283</v>
      </c>
      <c r="Y20" s="76">
        <v>301.356236783398</v>
      </c>
      <c r="Z20" s="76">
        <v>314.8474756080982</v>
      </c>
      <c r="AA20" s="76">
        <v>335.0843338451485</v>
      </c>
      <c r="AB20" s="76">
        <v>375.558050319249</v>
      </c>
    </row>
    <row r="21" spans="1:28" x14ac:dyDescent="0.25">
      <c r="A21" t="s">
        <v>206</v>
      </c>
      <c r="B21" t="s">
        <v>8</v>
      </c>
      <c r="C21" s="76">
        <v>3118.2338546070887</v>
      </c>
      <c r="D21" s="76">
        <v>389.7792318258862</v>
      </c>
      <c r="E21" s="76">
        <v>363.79394970416047</v>
      </c>
      <c r="F21" s="76">
        <v>337.8086675824347</v>
      </c>
      <c r="G21" s="76">
        <v>311.82338546070895</v>
      </c>
      <c r="H21" s="76">
        <v>285.83810333898316</v>
      </c>
      <c r="I21" s="76">
        <v>259.85282121725743</v>
      </c>
      <c r="J21" s="76">
        <v>233.86753909553167</v>
      </c>
      <c r="K21" s="76">
        <v>207.8822569738059</v>
      </c>
      <c r="L21" s="76">
        <v>181.89697485208015</v>
      </c>
      <c r="M21" s="76">
        <v>155.9116927303544</v>
      </c>
      <c r="N21" s="76">
        <v>129.92641060862863</v>
      </c>
      <c r="O21" s="76">
        <v>103.94112848690287</v>
      </c>
      <c r="P21" s="76">
        <v>77.95584636517712</v>
      </c>
      <c r="Q21" s="76">
        <v>51.97056424345137</v>
      </c>
      <c r="R21" s="76">
        <v>25.985282121725625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6">
        <v>0</v>
      </c>
      <c r="Y21" s="76">
        <v>0</v>
      </c>
      <c r="Z21" s="76">
        <v>0</v>
      </c>
      <c r="AA21" s="76">
        <v>0</v>
      </c>
      <c r="AB21" s="76">
        <v>0</v>
      </c>
    </row>
    <row r="22" spans="1:28" x14ac:dyDescent="0.25">
      <c r="A22" t="s">
        <v>216</v>
      </c>
      <c r="B22" t="s">
        <v>8</v>
      </c>
      <c r="C22" s="76">
        <v>10534.43423976077</v>
      </c>
      <c r="D22" s="76">
        <v>277.3463647135277</v>
      </c>
      <c r="E22" s="76">
        <v>296.4968692919688</v>
      </c>
      <c r="F22" s="76">
        <v>315.4091805925356</v>
      </c>
      <c r="G22" s="76">
        <v>334.06838941701045</v>
      </c>
      <c r="H22" s="76">
        <v>352.4582221557388</v>
      </c>
      <c r="I22" s="76">
        <v>370.560829732087</v>
      </c>
      <c r="J22" s="76">
        <v>388.35652539892635</v>
      </c>
      <c r="K22" s="76">
        <v>405.82345462976974</v>
      </c>
      <c r="L22" s="76">
        <v>422.9371734657436</v>
      </c>
      <c r="M22" s="76">
        <v>439.6701013585573</v>
      </c>
      <c r="N22" s="76">
        <v>455.99079872536754</v>
      </c>
      <c r="O22" s="76">
        <v>471.86299456623925</v>
      </c>
      <c r="P22" s="76">
        <v>487.2442493296954</v>
      </c>
      <c r="Q22" s="76">
        <v>502.0840712718182</v>
      </c>
      <c r="R22" s="76">
        <v>516.3211889328416</v>
      </c>
      <c r="S22" s="76">
        <v>529.8794742390805</v>
      </c>
      <c r="T22" s="76">
        <v>516.676335511137</v>
      </c>
      <c r="U22" s="76">
        <v>502.5683061829489</v>
      </c>
      <c r="V22" s="76">
        <v>487.3776384860465</v>
      </c>
      <c r="W22" s="76">
        <v>470.845422769834</v>
      </c>
      <c r="X22" s="76">
        <v>452.5673006627281</v>
      </c>
      <c r="Y22" s="76">
        <v>431.84887109807244</v>
      </c>
      <c r="Z22" s="76">
        <v>407.32017911170544</v>
      </c>
      <c r="AA22" s="76">
        <v>375.58654236167473</v>
      </c>
      <c r="AB22" s="76">
        <v>323.133755755715</v>
      </c>
    </row>
    <row r="23" spans="1:28" x14ac:dyDescent="0.25">
      <c r="A23" t="s">
        <v>163</v>
      </c>
      <c r="B23" t="s">
        <v>8</v>
      </c>
      <c r="C23" s="76">
        <v>7097.613252341933</v>
      </c>
      <c r="D23" s="76">
        <v>2474.7887734976907</v>
      </c>
      <c r="E23" s="76">
        <v>1501.0627506882547</v>
      </c>
      <c r="F23" s="76">
        <v>916.8271370025928</v>
      </c>
      <c r="G23" s="76">
        <v>566.2857687911959</v>
      </c>
      <c r="H23" s="76">
        <v>355.9609478643578</v>
      </c>
      <c r="I23" s="76">
        <v>229.76605530825486</v>
      </c>
      <c r="J23" s="76">
        <v>154.04911977459315</v>
      </c>
      <c r="K23" s="76">
        <v>108.61895845439614</v>
      </c>
      <c r="L23" s="76">
        <v>81.3608616622779</v>
      </c>
      <c r="M23" s="76">
        <v>65.00600358700697</v>
      </c>
      <c r="N23" s="76">
        <v>55.193088741844406</v>
      </c>
      <c r="O23" s="76">
        <v>49.305339834746874</v>
      </c>
      <c r="P23" s="76">
        <v>45.77269049048835</v>
      </c>
      <c r="Q23" s="76">
        <v>43.653100883933234</v>
      </c>
      <c r="R23" s="76">
        <v>42.38134712000017</v>
      </c>
      <c r="S23" s="76">
        <v>41.61829486164033</v>
      </c>
      <c r="T23" s="76">
        <v>41.160463506624424</v>
      </c>
      <c r="U23" s="76">
        <v>40.88576469361488</v>
      </c>
      <c r="V23" s="76">
        <v>40.720945405809154</v>
      </c>
      <c r="W23" s="76">
        <v>40.622053833125726</v>
      </c>
      <c r="X23" s="76">
        <v>40.56271888951566</v>
      </c>
      <c r="Y23" s="76">
        <v>40.52711792334963</v>
      </c>
      <c r="Z23" s="76">
        <v>40.505757343650004</v>
      </c>
      <c r="AA23" s="76">
        <v>40.492940995830224</v>
      </c>
      <c r="AB23" s="76">
        <v>40.48525118713837</v>
      </c>
    </row>
    <row r="24" spans="1:28" x14ac:dyDescent="0.25">
      <c r="A24" t="s">
        <v>222</v>
      </c>
      <c r="B24" t="s">
        <v>8</v>
      </c>
      <c r="C24" s="76">
        <v>2511.0762211611477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27.142575063159114</v>
      </c>
      <c r="O24" s="76">
        <v>168.48895485819799</v>
      </c>
      <c r="P24" s="76">
        <v>174.0332179403045</v>
      </c>
      <c r="Q24" s="76">
        <v>179.150838030151</v>
      </c>
      <c r="R24" s="76">
        <v>183.9805331893153</v>
      </c>
      <c r="S24" s="76">
        <v>188.60393729797795</v>
      </c>
      <c r="T24" s="76">
        <v>186.52785836960444</v>
      </c>
      <c r="U24" s="76">
        <v>184.31941338350038</v>
      </c>
      <c r="V24" s="76">
        <v>181.9927265441495</v>
      </c>
      <c r="W24" s="76">
        <v>179.55433126331172</v>
      </c>
      <c r="X24" s="76">
        <v>177.00610942156607</v>
      </c>
      <c r="Y24" s="76">
        <v>174.347050072459</v>
      </c>
      <c r="Z24" s="76">
        <v>171.57429956957787</v>
      </c>
      <c r="AA24" s="76">
        <v>168.6837862926069</v>
      </c>
      <c r="AB24" s="76">
        <v>165.6705898652657</v>
      </c>
    </row>
    <row r="25" spans="1:28" s="14" customFormat="1" x14ac:dyDescent="0.25">
      <c r="A25" s="14" t="s">
        <v>223</v>
      </c>
      <c r="B25" s="14" t="s">
        <v>8</v>
      </c>
      <c r="C25" s="77">
        <v>8023.358018599621</v>
      </c>
      <c r="D25" s="77">
        <v>277.3463647135277</v>
      </c>
      <c r="E25" s="77">
        <v>296.4968692919688</v>
      </c>
      <c r="F25" s="77">
        <v>315.4091805925356</v>
      </c>
      <c r="G25" s="77">
        <v>334.06838941701045</v>
      </c>
      <c r="H25" s="77">
        <v>352.4582221557388</v>
      </c>
      <c r="I25" s="77">
        <v>370.560829732087</v>
      </c>
      <c r="J25" s="77">
        <v>388.35652539892635</v>
      </c>
      <c r="K25" s="77">
        <v>405.82345462976974</v>
      </c>
      <c r="L25" s="77">
        <v>422.9371734657436</v>
      </c>
      <c r="M25" s="77">
        <v>439.6701013585573</v>
      </c>
      <c r="N25" s="77">
        <v>428.8482236622084</v>
      </c>
      <c r="O25" s="77">
        <v>303.37403970804127</v>
      </c>
      <c r="P25" s="77">
        <v>313.2110313893909</v>
      </c>
      <c r="Q25" s="77">
        <v>322.93323324166715</v>
      </c>
      <c r="R25" s="77">
        <v>332.3406557435262</v>
      </c>
      <c r="S25" s="77">
        <v>341.2755369411026</v>
      </c>
      <c r="T25" s="77">
        <v>330.14847714153257</v>
      </c>
      <c r="U25" s="77">
        <v>318.2488927994485</v>
      </c>
      <c r="V25" s="77">
        <v>305.38491194189703</v>
      </c>
      <c r="W25" s="77">
        <v>291.29109150652226</v>
      </c>
      <c r="X25" s="77">
        <v>275.561191241162</v>
      </c>
      <c r="Y25" s="77">
        <v>257.5018210256134</v>
      </c>
      <c r="Z25" s="77">
        <v>235.74587954212757</v>
      </c>
      <c r="AA25" s="77">
        <v>206.90275606906783</v>
      </c>
      <c r="AB25" s="77">
        <v>157.46316589044932</v>
      </c>
    </row>
    <row r="26" spans="1:1" s="5" customFormat="1" x14ac:dyDescent="0.25">
      <c r="A26" s="5" t="s">
        <v>224</v>
      </c>
    </row>
    <row r="27" spans="1:28" x14ac:dyDescent="0.25">
      <c r="A27" t="s">
        <v>225</v>
      </c>
      <c r="B27" t="s">
        <v>86</v>
      </c>
      <c r="D27" s="76">
        <v>120.01835094880008</v>
      </c>
      <c r="E27" s="76">
        <v>119.79015211018948</v>
      </c>
      <c r="F27" s="76">
        <v>119.56195327157886</v>
      </c>
      <c r="G27" s="76">
        <v>119.33375443296819</v>
      </c>
      <c r="H27" s="76">
        <v>119.10555559435758</v>
      </c>
      <c r="I27" s="76">
        <v>118.87735675574696</v>
      </c>
      <c r="J27" s="76">
        <v>118.64915791713634</v>
      </c>
      <c r="K27" s="76">
        <v>118.42095907852573</v>
      </c>
      <c r="L27" s="76">
        <v>118.1927602399151</v>
      </c>
      <c r="M27" s="76">
        <v>117.96456140130451</v>
      </c>
      <c r="N27" s="76">
        <v>117.73636256269387</v>
      </c>
      <c r="O27" s="76">
        <v>117.50816372408325</v>
      </c>
      <c r="P27" s="76">
        <v>117.27996488547262</v>
      </c>
      <c r="Q27" s="76">
        <v>117.051766046862</v>
      </c>
      <c r="R27" s="76">
        <v>116.82356720825138</v>
      </c>
      <c r="S27" s="76">
        <v>116.59536836964074</v>
      </c>
      <c r="T27" s="76">
        <v>116.36716953103011</v>
      </c>
      <c r="U27" s="76">
        <v>116.1389706924195</v>
      </c>
      <c r="V27" s="76">
        <v>115.91077185380888</v>
      </c>
      <c r="W27" s="76">
        <v>115.68257301519829</v>
      </c>
      <c r="X27" s="76">
        <v>115.45437417658766</v>
      </c>
      <c r="Y27" s="76">
        <v>115.226175337977</v>
      </c>
      <c r="Z27" s="76">
        <v>114.99797649936637</v>
      </c>
      <c r="AA27" s="76">
        <v>114.76977766075574</v>
      </c>
      <c r="AB27" s="76">
        <v>114.54157882214514</v>
      </c>
    </row>
    <row r="28" spans="1:28" x14ac:dyDescent="0.25">
      <c r="A28" t="s">
        <v>350</v>
      </c>
      <c r="B28" t="s">
        <v>8</v>
      </c>
      <c r="C28" s="76">
        <v>114.54157882214514</v>
      </c>
      <c r="D28" s="76">
        <v>120.01835094880008</v>
      </c>
      <c r="E28" s="76">
        <v>-0.2281988386105951</v>
      </c>
      <c r="F28" s="76">
        <v>-0.2281988386106235</v>
      </c>
      <c r="G28" s="76">
        <v>-0.22819883861066614</v>
      </c>
      <c r="H28" s="76">
        <v>-0.2281988386106093</v>
      </c>
      <c r="I28" s="76">
        <v>-0.2281988386106235</v>
      </c>
      <c r="J28" s="76">
        <v>-0.2281988386106235</v>
      </c>
      <c r="K28" s="76">
        <v>-0.2281988386106093</v>
      </c>
      <c r="L28" s="76">
        <v>-0.2281988386106235</v>
      </c>
      <c r="M28" s="76">
        <v>-0.2281988386105951</v>
      </c>
      <c r="N28" s="76">
        <v>-0.22819883861063772</v>
      </c>
      <c r="O28" s="76">
        <v>-0.2281988386106235</v>
      </c>
      <c r="P28" s="76">
        <v>-0.2281988386106235</v>
      </c>
      <c r="Q28" s="76">
        <v>-0.2281988386106235</v>
      </c>
      <c r="R28" s="76">
        <v>-0.2281988386106235</v>
      </c>
      <c r="S28" s="76">
        <v>-0.22819883861063772</v>
      </c>
      <c r="T28" s="76">
        <v>-0.2281988386106235</v>
      </c>
      <c r="U28" s="76">
        <v>-0.2281988386106093</v>
      </c>
      <c r="V28" s="76">
        <v>-0.2281988386106235</v>
      </c>
      <c r="W28" s="76">
        <v>-0.2281988386105951</v>
      </c>
      <c r="X28" s="76">
        <v>-0.2281988386106235</v>
      </c>
      <c r="Y28" s="76">
        <v>-0.22819883861066614</v>
      </c>
      <c r="Z28" s="76">
        <v>-0.2281988386106235</v>
      </c>
      <c r="AA28" s="76">
        <v>-0.22819883861063772</v>
      </c>
      <c r="AB28" s="76">
        <v>-0.2281988386105951</v>
      </c>
    </row>
    <row r="29" spans="1:28" x14ac:dyDescent="0.25">
      <c r="A29" t="s">
        <v>143</v>
      </c>
      <c r="B29" t="s">
        <v>8</v>
      </c>
      <c r="C29" s="76">
        <v>971.3691953784137</v>
      </c>
      <c r="D29" s="76">
        <v>0</v>
      </c>
      <c r="E29" s="76">
        <v>40.47371647410057</v>
      </c>
      <c r="F29" s="76">
        <v>40.47371647410057</v>
      </c>
      <c r="G29" s="76">
        <v>40.47371647410057</v>
      </c>
      <c r="H29" s="76">
        <v>40.47371647410057</v>
      </c>
      <c r="I29" s="76">
        <v>40.47371647410057</v>
      </c>
      <c r="J29" s="76">
        <v>40.47371647410057</v>
      </c>
      <c r="K29" s="76">
        <v>40.47371647410057</v>
      </c>
      <c r="L29" s="76">
        <v>40.47371647410057</v>
      </c>
      <c r="M29" s="76">
        <v>40.47371647410057</v>
      </c>
      <c r="N29" s="76">
        <v>40.47371647410057</v>
      </c>
      <c r="O29" s="76">
        <v>40.47371647410057</v>
      </c>
      <c r="P29" s="76">
        <v>40.47371647410057</v>
      </c>
      <c r="Q29" s="76">
        <v>40.47371647410057</v>
      </c>
      <c r="R29" s="76">
        <v>40.47371647410057</v>
      </c>
      <c r="S29" s="76">
        <v>40.47371647410057</v>
      </c>
      <c r="T29" s="76">
        <v>40.47371647410057</v>
      </c>
      <c r="U29" s="76">
        <v>40.47371647410057</v>
      </c>
      <c r="V29" s="76">
        <v>40.47371647410057</v>
      </c>
      <c r="W29" s="76">
        <v>40.47371647410057</v>
      </c>
      <c r="X29" s="76">
        <v>40.47371647410057</v>
      </c>
      <c r="Y29" s="76">
        <v>40.47371647410057</v>
      </c>
      <c r="Z29" s="76">
        <v>40.47371647410057</v>
      </c>
      <c r="AA29" s="76">
        <v>40.47371647410057</v>
      </c>
      <c r="AB29" s="76">
        <v>40.47371647410057</v>
      </c>
    </row>
    <row r="30" spans="1:28" s="14" customFormat="1" x14ac:dyDescent="0.25">
      <c r="A30" s="14" t="s">
        <v>351</v>
      </c>
      <c r="B30" s="14" t="s">
        <v>8</v>
      </c>
      <c r="C30" s="77">
        <v>16595.32503475437</v>
      </c>
      <c r="D30" s="77">
        <v>769.838235205406</v>
      </c>
      <c r="E30" s="77">
        <v>844.462695828519</v>
      </c>
      <c r="F30" s="77">
        <v>839.1494518105818</v>
      </c>
      <c r="G30" s="77">
        <v>833.6630928985173</v>
      </c>
      <c r="H30" s="77">
        <v>827.9949633476199</v>
      </c>
      <c r="I30" s="77">
        <v>822.1359746259474</v>
      </c>
      <c r="J30" s="77">
        <v>816.076583774961</v>
      </c>
      <c r="K30" s="77">
        <v>809.8067706881953</v>
      </c>
      <c r="L30" s="77">
        <v>803.3160142538611</v>
      </c>
      <c r="M30" s="77">
        <v>796.5932673045803</v>
      </c>
      <c r="N30" s="77">
        <v>762.4843552514458</v>
      </c>
      <c r="O30" s="77">
        <v>613.9158689237029</v>
      </c>
      <c r="P30" s="77">
        <v>600.8809412890269</v>
      </c>
      <c r="Q30" s="77">
        <v>587.9906707257524</v>
      </c>
      <c r="R30" s="77">
        <v>575.0922398762584</v>
      </c>
      <c r="S30" s="77">
        <v>562.0892105995192</v>
      </c>
      <c r="T30" s="77">
        <v>555.4592304081826</v>
      </c>
      <c r="U30" s="77">
        <v>548.6188606253611</v>
      </c>
      <c r="V30" s="77">
        <v>541.5368392641097</v>
      </c>
      <c r="W30" s="77">
        <v>534.1886382410851</v>
      </c>
      <c r="X30" s="77">
        <v>526.5534812705449</v>
      </c>
      <c r="Y30" s="77">
        <v>518.6125401735214</v>
      </c>
      <c r="Z30" s="77">
        <v>510.34783751473583</v>
      </c>
      <c r="AA30" s="77">
        <v>501.7415722787264</v>
      </c>
      <c r="AB30" s="77">
        <v>492.7756985742084</v>
      </c>
    </row>
    <row r="31" spans="1:28" x14ac:dyDescent="0.25">
      <c r="A31" t="s">
        <v>209</v>
      </c>
      <c r="B31" t="s">
        <v>8</v>
      </c>
      <c r="C31" s="76">
        <v>7449.114208228046</v>
      </c>
      <c r="D31" s="76">
        <v>678.5045887339501</v>
      </c>
      <c r="E31" s="76">
        <v>652.5193066122243</v>
      </c>
      <c r="F31" s="76">
        <v>626.5340244904985</v>
      </c>
      <c r="G31" s="76">
        <v>600.5487423687728</v>
      </c>
      <c r="H31" s="76">
        <v>574.563460247047</v>
      </c>
      <c r="I31" s="76">
        <v>548.5781781253213</v>
      </c>
      <c r="J31" s="76">
        <v>522.5928960035956</v>
      </c>
      <c r="K31" s="76">
        <v>496.6076138818698</v>
      </c>
      <c r="L31" s="76">
        <v>470.622331760144</v>
      </c>
      <c r="M31" s="76">
        <v>444.63704963841826</v>
      </c>
      <c r="N31" s="76">
        <v>418.65176751669253</v>
      </c>
      <c r="O31" s="76">
        <v>392.66648539496674</v>
      </c>
      <c r="P31" s="76">
        <v>366.681203273241</v>
      </c>
      <c r="Q31" s="76">
        <v>340.6959211515152</v>
      </c>
      <c r="R31" s="76">
        <v>314.7106390297881</v>
      </c>
      <c r="S31" s="76">
        <v>0</v>
      </c>
      <c r="T31" s="76">
        <v>0</v>
      </c>
      <c r="U31" s="76">
        <v>0</v>
      </c>
      <c r="V31" s="76">
        <v>0</v>
      </c>
      <c r="W31" s="76">
        <v>0</v>
      </c>
      <c r="X31" s="76">
        <v>0</v>
      </c>
      <c r="Y31" s="76">
        <v>0</v>
      </c>
      <c r="Z31" s="76">
        <v>0</v>
      </c>
      <c r="AA31" s="76">
        <v>0</v>
      </c>
      <c r="AB31" s="76">
        <v>0</v>
      </c>
    </row>
    <row r="32" spans="1:28" s="14" customFormat="1" x14ac:dyDescent="0.25">
      <c r="A32" s="14" t="s">
        <v>352</v>
      </c>
      <c r="B32" s="14" t="s">
        <v>8</v>
      </c>
      <c r="C32" s="77">
        <v>9879.449598722891</v>
      </c>
      <c r="D32" s="77">
        <v>91.33364647145595</v>
      </c>
      <c r="E32" s="77">
        <v>191.9433892162947</v>
      </c>
      <c r="F32" s="77">
        <v>212.6154273200833</v>
      </c>
      <c r="G32" s="77">
        <v>233.11435052974457</v>
      </c>
      <c r="H32" s="77">
        <v>253.43150310057285</v>
      </c>
      <c r="I32" s="77">
        <v>273.55779650062607</v>
      </c>
      <c r="J32" s="77">
        <v>293.48368777136545</v>
      </c>
      <c r="K32" s="77">
        <v>313.19915680632556</v>
      </c>
      <c r="L32" s="77">
        <v>332.6936824937171</v>
      </c>
      <c r="M32" s="77">
        <v>351.95621766616205</v>
      </c>
      <c r="N32" s="77">
        <v>343.83258773475325</v>
      </c>
      <c r="O32" s="77">
        <v>221.24938352873613</v>
      </c>
      <c r="P32" s="77">
        <v>234.19973801578584</v>
      </c>
      <c r="Q32" s="77">
        <v>247.29474957423713</v>
      </c>
      <c r="R32" s="77">
        <v>260.3816008464703</v>
      </c>
      <c r="S32" s="77">
        <v>562.0892105995192</v>
      </c>
      <c r="T32" s="77">
        <v>555.4592304081826</v>
      </c>
      <c r="U32" s="77">
        <v>548.6188606253611</v>
      </c>
      <c r="V32" s="77">
        <v>541.5368392641097</v>
      </c>
      <c r="W32" s="77">
        <v>534.1886382410851</v>
      </c>
      <c r="X32" s="77">
        <v>526.5534812705449</v>
      </c>
      <c r="Y32" s="77">
        <v>518.6125401735214</v>
      </c>
      <c r="Z32" s="77">
        <v>510.34783751473583</v>
      </c>
      <c r="AA32" s="77">
        <v>501.7415722787264</v>
      </c>
      <c r="AB32" s="77">
        <v>1226.0144707707764</v>
      </c>
    </row>
    <row r="33" spans="1:28" x14ac:dyDescent="0.25">
      <c r="A33" t="s">
        <v>233</v>
      </c>
      <c r="B33" t="s">
        <v>86</v>
      </c>
      <c r="D33" s="76">
        <v>-1764.7579336518127</v>
      </c>
      <c r="E33" s="76">
        <v>-1572.814544435518</v>
      </c>
      <c r="F33" s="76">
        <v>-1360.1991171154345</v>
      </c>
      <c r="G33" s="76">
        <v>-1127.08476658569</v>
      </c>
      <c r="H33" s="76">
        <v>-873.6532634851171</v>
      </c>
      <c r="I33" s="76">
        <v>-600.095466984491</v>
      </c>
      <c r="J33" s="76">
        <v>-306.6117792131256</v>
      </c>
      <c r="K33" s="76">
        <v>6.58737759319996</v>
      </c>
      <c r="L33" s="76">
        <v>339.2810600869171</v>
      </c>
      <c r="M33" s="76">
        <v>691.2372777530791</v>
      </c>
      <c r="N33" s="76">
        <v>1035.0698654878324</v>
      </c>
      <c r="O33" s="76">
        <v>1256.3192490165686</v>
      </c>
      <c r="P33" s="76">
        <v>1490.5189870323545</v>
      </c>
      <c r="Q33" s="76">
        <v>1737.8137366065916</v>
      </c>
      <c r="R33" s="76">
        <v>1998.195337453062</v>
      </c>
      <c r="S33" s="76">
        <v>2560.284548052581</v>
      </c>
      <c r="T33" s="76">
        <v>3115.7437784607637</v>
      </c>
      <c r="U33" s="76">
        <v>3664.3626390861245</v>
      </c>
      <c r="V33" s="76">
        <v>4205.899478350234</v>
      </c>
      <c r="W33" s="76">
        <v>4740.088116591319</v>
      </c>
      <c r="X33" s="76">
        <v>5266.641597861863</v>
      </c>
      <c r="Y33" s="76">
        <v>5785.254138035385</v>
      </c>
      <c r="Z33" s="76">
        <v>6295.601975550121</v>
      </c>
      <c r="AA33" s="76">
        <v>6797.3435478288475</v>
      </c>
      <c r="AB33" s="76">
        <v>8023.358018599623</v>
      </c>
    </row>
    <row r="34" spans="1:28" x14ac:dyDescent="0.25">
      <c r="A34" t="s">
        <v>353</v>
      </c>
      <c r="B34" t="s">
        <v>8</v>
      </c>
      <c r="C34" s="76">
        <v>15980.21880059866</v>
      </c>
      <c r="D34" s="76">
        <v>769.838235205406</v>
      </c>
      <c r="E34" s="76">
        <v>844.462695828519</v>
      </c>
      <c r="F34" s="76">
        <v>839.1494518105818</v>
      </c>
      <c r="G34" s="76">
        <v>756.2344236318518</v>
      </c>
      <c r="H34" s="76">
        <v>699.0542048616301</v>
      </c>
      <c r="I34" s="76">
        <v>662.9066691448313</v>
      </c>
      <c r="J34" s="76">
        <v>639.3144742972156</v>
      </c>
      <c r="K34" s="76">
        <v>623.1880015600952</v>
      </c>
      <c r="L34" s="76">
        <v>611.4701055577068</v>
      </c>
      <c r="M34" s="76">
        <v>602.3229562380143</v>
      </c>
      <c r="N34" s="76">
        <v>594.6401356018883</v>
      </c>
      <c r="O34" s="76">
        <v>587.7538868835494</v>
      </c>
      <c r="P34" s="76">
        <v>581.2594547589117</v>
      </c>
      <c r="Q34" s="76">
        <v>574.9096797056757</v>
      </c>
      <c r="R34" s="76">
        <v>568.5517443662201</v>
      </c>
      <c r="S34" s="76">
        <v>562.0892105995192</v>
      </c>
      <c r="T34" s="76">
        <v>555.4592304081826</v>
      </c>
      <c r="U34" s="76">
        <v>548.6188606253611</v>
      </c>
      <c r="V34" s="76">
        <v>541.5368392641097</v>
      </c>
      <c r="W34" s="76">
        <v>534.1886382410851</v>
      </c>
      <c r="X34" s="76">
        <v>526.5534812705449</v>
      </c>
      <c r="Y34" s="76">
        <v>518.6125401735214</v>
      </c>
      <c r="Z34" s="76">
        <v>510.34783751473583</v>
      </c>
      <c r="AA34" s="76">
        <v>501.7415722787264</v>
      </c>
      <c r="AB34" s="76">
        <v>1226.0144707707764</v>
      </c>
    </row>
    <row r="35" spans="1:1" s="5" customFormat="1" x14ac:dyDescent="0.25">
      <c r="A35" s="5" t="s">
        <v>94</v>
      </c>
    </row>
    <row r="36" spans="1:28" x14ac:dyDescent="0.25">
      <c r="A36" t="s">
        <v>205</v>
      </c>
      <c r="B36" t="s">
        <v>86</v>
      </c>
      <c r="D36" s="76">
        <v>4330.880353620958</v>
      </c>
      <c r="E36" s="76">
        <v>4042.154996712894</v>
      </c>
      <c r="F36" s="76">
        <v>3753.42963980483</v>
      </c>
      <c r="G36" s="76">
        <v>3464.704282896766</v>
      </c>
      <c r="H36" s="76">
        <v>3175.978925988702</v>
      </c>
      <c r="I36" s="76">
        <v>2887.253569080638</v>
      </c>
      <c r="J36" s="76">
        <v>2598.528212172574</v>
      </c>
      <c r="K36" s="76">
        <v>2309.80285526451</v>
      </c>
      <c r="L36" s="76">
        <v>2021.077498356446</v>
      </c>
      <c r="M36" s="76">
        <v>1732.352141448382</v>
      </c>
      <c r="N36" s="76">
        <v>1443.626784540318</v>
      </c>
      <c r="O36" s="76">
        <v>1154.9014276322541</v>
      </c>
      <c r="P36" s="76">
        <v>866.1760707241903</v>
      </c>
      <c r="Q36" s="76">
        <v>577.4507138161264</v>
      </c>
      <c r="R36" s="76">
        <v>288.7253569080625</v>
      </c>
      <c r="S36" s="76">
        <v>0</v>
      </c>
      <c r="T36" s="76">
        <v>0</v>
      </c>
      <c r="U36" s="76">
        <v>0</v>
      </c>
      <c r="V36" s="76">
        <v>0</v>
      </c>
      <c r="W36" s="76">
        <v>0</v>
      </c>
      <c r="X36" s="76">
        <v>0</v>
      </c>
      <c r="Y36" s="76">
        <v>0</v>
      </c>
      <c r="Z36" s="76">
        <v>0</v>
      </c>
      <c r="AA36" s="76">
        <v>0</v>
      </c>
      <c r="AB36" s="76">
        <v>0</v>
      </c>
    </row>
    <row r="37" spans="1:28" x14ac:dyDescent="0.25">
      <c r="A37" t="s">
        <v>206</v>
      </c>
      <c r="B37" t="s">
        <v>8</v>
      </c>
      <c r="C37" s="76">
        <v>3118.2338546070887</v>
      </c>
      <c r="D37" s="76">
        <v>389.7792318258862</v>
      </c>
      <c r="E37" s="76">
        <v>363.79394970416047</v>
      </c>
      <c r="F37" s="76">
        <v>337.8086675824347</v>
      </c>
      <c r="G37" s="76">
        <v>311.82338546070895</v>
      </c>
      <c r="H37" s="76">
        <v>285.83810333898316</v>
      </c>
      <c r="I37" s="76">
        <v>259.85282121725743</v>
      </c>
      <c r="J37" s="76">
        <v>233.86753909553167</v>
      </c>
      <c r="K37" s="76">
        <v>207.8822569738059</v>
      </c>
      <c r="L37" s="76">
        <v>181.89697485208015</v>
      </c>
      <c r="M37" s="76">
        <v>155.9116927303544</v>
      </c>
      <c r="N37" s="76">
        <v>129.92641060862863</v>
      </c>
      <c r="O37" s="76">
        <v>103.94112848690287</v>
      </c>
      <c r="P37" s="76">
        <v>77.95584636517712</v>
      </c>
      <c r="Q37" s="76">
        <v>51.97056424345137</v>
      </c>
      <c r="R37" s="76">
        <v>25.985282121725625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6">
        <v>0</v>
      </c>
      <c r="Y37" s="76">
        <v>0</v>
      </c>
      <c r="Z37" s="76">
        <v>0</v>
      </c>
      <c r="AA37" s="76">
        <v>0</v>
      </c>
      <c r="AB37" s="76">
        <v>0</v>
      </c>
    </row>
    <row r="38" spans="1:28" x14ac:dyDescent="0.25">
      <c r="A38" t="s">
        <v>207</v>
      </c>
      <c r="B38" t="s">
        <v>8</v>
      </c>
      <c r="C38" s="76">
        <v>4330.880353620958</v>
      </c>
      <c r="D38" s="76">
        <v>288.7253569080639</v>
      </c>
      <c r="E38" s="76">
        <v>288.7253569080639</v>
      </c>
      <c r="F38" s="76">
        <v>288.7253569080639</v>
      </c>
      <c r="G38" s="76">
        <v>288.7253569080639</v>
      </c>
      <c r="H38" s="76">
        <v>288.7253569080639</v>
      </c>
      <c r="I38" s="76">
        <v>288.7253569080639</v>
      </c>
      <c r="J38" s="76">
        <v>288.7253569080639</v>
      </c>
      <c r="K38" s="76">
        <v>288.7253569080639</v>
      </c>
      <c r="L38" s="76">
        <v>288.7253569080639</v>
      </c>
      <c r="M38" s="76">
        <v>288.7253569080639</v>
      </c>
      <c r="N38" s="76">
        <v>288.7253569080639</v>
      </c>
      <c r="O38" s="76">
        <v>288.7253569080639</v>
      </c>
      <c r="P38" s="76">
        <v>288.7253569080639</v>
      </c>
      <c r="Q38" s="76">
        <v>288.7253569080639</v>
      </c>
      <c r="R38" s="76">
        <v>288.7253569080625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208</v>
      </c>
      <c r="B39" t="s">
        <v>86</v>
      </c>
      <c r="D39" s="76">
        <v>4042.154996712894</v>
      </c>
      <c r="E39" s="76">
        <v>3753.42963980483</v>
      </c>
      <c r="F39" s="76">
        <v>3464.704282896766</v>
      </c>
      <c r="G39" s="76">
        <v>3175.978925988702</v>
      </c>
      <c r="H39" s="76">
        <v>2887.253569080638</v>
      </c>
      <c r="I39" s="76">
        <v>2598.528212172574</v>
      </c>
      <c r="J39" s="76">
        <v>2309.80285526451</v>
      </c>
      <c r="K39" s="76">
        <v>2021.077498356446</v>
      </c>
      <c r="L39" s="76">
        <v>1732.352141448382</v>
      </c>
      <c r="M39" s="76">
        <v>1443.626784540318</v>
      </c>
      <c r="N39" s="76">
        <v>1154.9014276322541</v>
      </c>
      <c r="O39" s="76">
        <v>866.1760707241903</v>
      </c>
      <c r="P39" s="76">
        <v>577.4507138161264</v>
      </c>
      <c r="Q39" s="76">
        <v>288.7253569080625</v>
      </c>
      <c r="R39" s="76">
        <v>0</v>
      </c>
      <c r="S39" s="76">
        <v>0</v>
      </c>
      <c r="T39" s="76">
        <v>0</v>
      </c>
      <c r="U39" s="76">
        <v>0</v>
      </c>
      <c r="V39" s="76">
        <v>0</v>
      </c>
      <c r="W39" s="76">
        <v>0</v>
      </c>
      <c r="X39" s="76">
        <v>0</v>
      </c>
      <c r="Y39" s="76">
        <v>0</v>
      </c>
      <c r="Z39" s="76">
        <v>0</v>
      </c>
      <c r="AA39" s="76">
        <v>0</v>
      </c>
      <c r="AB39" s="76">
        <v>0</v>
      </c>
    </row>
    <row r="40" spans="1:28" x14ac:dyDescent="0.25">
      <c r="A40" t="s">
        <v>229</v>
      </c>
      <c r="B40" t="s">
        <v>88</v>
      </c>
      <c r="D40" s="78">
        <v>1.1346102119101054</v>
      </c>
      <c r="E40" s="78">
        <v>1.2941574100126385</v>
      </c>
      <c r="F40" s="78">
        <v>1.3393517654416032</v>
      </c>
      <c r="G40" s="78">
        <v>1.3881689096712793</v>
      </c>
      <c r="H40" s="78">
        <v>1.441085311954234</v>
      </c>
      <c r="I40" s="78">
        <v>1.4986669310023712</v>
      </c>
      <c r="J40" s="78">
        <v>1.5615914223398595</v>
      </c>
      <c r="K40" s="78">
        <v>1.6306773155532561</v>
      </c>
      <c r="L40" s="78">
        <v>1.7069228552105276</v>
      </c>
      <c r="M40" s="78">
        <v>1.7915584586403115</v>
      </c>
      <c r="N40" s="78">
        <v>1.8212854080952707</v>
      </c>
      <c r="O40" s="78">
        <v>1.563453698642477</v>
      </c>
      <c r="P40" s="78">
        <v>1.6387012367286973</v>
      </c>
      <c r="Q40" s="78">
        <v>1.7258518057345908</v>
      </c>
      <c r="R40" s="78">
        <v>1.8273682823345052</v>
      </c>
    </row>
    <row r="42" spans="1:1" s="5" customFormat="1" x14ac:dyDescent="0.25">
      <c r="A42" s="5" t="s">
        <v>354</v>
      </c>
    </row>
    <row r="43" spans="1:28" s="67" customFormat="1" x14ac:dyDescent="0.25">
      <c r="A43" s="67" t="s">
        <v>224</v>
      </c>
      <c r="B43" s="67" t="s">
        <v>74</v>
      </c>
      <c r="C43" s="67" t="s">
        <v>76</v>
      </c>
      <c r="D43" s="67" t="s">
        <v>323</v>
      </c>
      <c r="E43" s="67" t="s">
        <v>324</v>
      </c>
      <c r="F43" s="67" t="s">
        <v>325</v>
      </c>
      <c r="G43" s="67" t="s">
        <v>326</v>
      </c>
      <c r="H43" s="67" t="s">
        <v>327</v>
      </c>
      <c r="I43" s="67" t="s">
        <v>328</v>
      </c>
      <c r="J43" s="67" t="s">
        <v>329</v>
      </c>
      <c r="K43" s="67" t="s">
        <v>330</v>
      </c>
      <c r="L43" s="67" t="s">
        <v>331</v>
      </c>
      <c r="M43" s="67" t="s">
        <v>332</v>
      </c>
      <c r="N43" s="67" t="s">
        <v>333</v>
      </c>
      <c r="O43" s="67" t="s">
        <v>334</v>
      </c>
      <c r="P43" s="67" t="s">
        <v>335</v>
      </c>
      <c r="Q43" s="67" t="s">
        <v>336</v>
      </c>
      <c r="R43" s="67" t="s">
        <v>337</v>
      </c>
      <c r="S43" s="67" t="s">
        <v>338</v>
      </c>
      <c r="T43" s="67" t="s">
        <v>339</v>
      </c>
      <c r="U43" s="67" t="s">
        <v>340</v>
      </c>
      <c r="V43" s="67" t="s">
        <v>341</v>
      </c>
      <c r="W43" s="67" t="s">
        <v>342</v>
      </c>
      <c r="X43" s="67" t="s">
        <v>343</v>
      </c>
      <c r="Y43" s="67" t="s">
        <v>344</v>
      </c>
      <c r="Z43" s="67" t="s">
        <v>345</v>
      </c>
      <c r="AA43" s="67" t="s">
        <v>346</v>
      </c>
      <c r="AB43" s="67" t="s">
        <v>347</v>
      </c>
    </row>
    <row r="44" spans="1:28" x14ac:dyDescent="0.25">
      <c r="A44" t="s">
        <v>355</v>
      </c>
      <c r="B44" t="s">
        <v>86</v>
      </c>
      <c r="C44" s="76">
        <v>-1856.0915801232686</v>
      </c>
      <c r="D44" s="76">
        <v>91.33364647145595</v>
      </c>
      <c r="E44" s="76">
        <v>191.9433892162947</v>
      </c>
      <c r="F44" s="76">
        <v>212.6154273200833</v>
      </c>
      <c r="G44" s="76">
        <v>233.11435052974457</v>
      </c>
      <c r="H44" s="76">
        <v>253.43150310057285</v>
      </c>
      <c r="I44" s="76">
        <v>273.55779650062607</v>
      </c>
      <c r="J44" s="76">
        <v>293.48368777136545</v>
      </c>
      <c r="K44" s="76">
        <v>313.19915680632556</v>
      </c>
      <c r="L44" s="76">
        <v>332.6936824937171</v>
      </c>
      <c r="M44" s="76">
        <v>351.95621766616205</v>
      </c>
      <c r="N44" s="76">
        <v>343.83258773475325</v>
      </c>
      <c r="O44" s="76">
        <v>221.24938352873613</v>
      </c>
      <c r="P44" s="76">
        <v>234.19973801578584</v>
      </c>
      <c r="Q44" s="76">
        <v>247.29474957423713</v>
      </c>
      <c r="R44" s="76">
        <v>260.3816008464703</v>
      </c>
      <c r="S44" s="76">
        <v>562.0892105995192</v>
      </c>
      <c r="T44" s="76">
        <v>555.4592304081826</v>
      </c>
      <c r="U44" s="76">
        <v>548.6188606253611</v>
      </c>
      <c r="V44" s="76">
        <v>541.5368392641097</v>
      </c>
      <c r="W44" s="76">
        <v>534.1886382410851</v>
      </c>
      <c r="X44" s="76">
        <v>526.5534812705449</v>
      </c>
      <c r="Y44" s="76">
        <v>518.6125401735214</v>
      </c>
      <c r="Z44" s="76">
        <v>510.34783751473583</v>
      </c>
      <c r="AA44" s="76">
        <v>501.7415722787264</v>
      </c>
      <c r="AB44" s="76">
        <v>1226.0144707707764</v>
      </c>
    </row>
    <row r="45" spans="1:28" x14ac:dyDescent="0.25">
      <c r="A45" t="s">
        <v>353</v>
      </c>
      <c r="B45" t="s">
        <v>86</v>
      </c>
      <c r="C45" s="76">
        <v>-6186.971933744227</v>
      </c>
      <c r="D45" s="76">
        <v>769.838235205406</v>
      </c>
      <c r="E45" s="76">
        <v>844.462695828519</v>
      </c>
      <c r="F45" s="76">
        <v>839.1494518105818</v>
      </c>
      <c r="G45" s="76">
        <v>756.2344236318518</v>
      </c>
      <c r="H45" s="76">
        <v>699.0542048616301</v>
      </c>
      <c r="I45" s="76">
        <v>662.9066691448313</v>
      </c>
      <c r="J45" s="76">
        <v>639.3144742972156</v>
      </c>
      <c r="K45" s="76">
        <v>623.1880015600952</v>
      </c>
      <c r="L45" s="76">
        <v>611.4701055577068</v>
      </c>
      <c r="M45" s="76">
        <v>602.3229562380143</v>
      </c>
      <c r="N45" s="76">
        <v>594.6401356018883</v>
      </c>
      <c r="O45" s="76">
        <v>587.7538868835494</v>
      </c>
      <c r="P45" s="76">
        <v>581.2594547589117</v>
      </c>
      <c r="Q45" s="76">
        <v>574.9096797056757</v>
      </c>
      <c r="R45" s="76">
        <v>568.5517443662201</v>
      </c>
      <c r="S45" s="76">
        <v>562.0892105995192</v>
      </c>
      <c r="T45" s="76">
        <v>555.4592304081826</v>
      </c>
      <c r="U45" s="76">
        <v>548.6188606253611</v>
      </c>
      <c r="V45" s="76">
        <v>541.5368392641097</v>
      </c>
      <c r="W45" s="76">
        <v>534.1886382410851</v>
      </c>
      <c r="X45" s="76">
        <v>526.5534812705449</v>
      </c>
      <c r="Y45" s="76">
        <v>518.6125401735214</v>
      </c>
      <c r="Z45" s="76">
        <v>510.34783751473583</v>
      </c>
      <c r="AA45" s="76">
        <v>501.7415722787264</v>
      </c>
      <c r="AB45" s="76">
        <v>1226.0144707707764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0.09960296833771282</v>
      </c>
      <c r="C47" t="s">
        <v>8</v>
      </c>
    </row>
    <row r="48" spans="1:3" x14ac:dyDescent="0.25">
      <c r="A48" t="s">
        <v>10</v>
      </c>
      <c r="B48" s="8">
        <v>1.7053025658242404e-13</v>
      </c>
      <c r="C48" t="s">
        <v>8</v>
      </c>
    </row>
    <row r="49" spans="1:3" x14ac:dyDescent="0.25">
      <c r="A49" t="s">
        <v>11</v>
      </c>
      <c r="B49" s="9">
        <v>1.1346102119101054</v>
      </c>
      <c r="C49" t="s">
        <v>8</v>
      </c>
    </row>
    <row r="50" spans="1:3" x14ac:dyDescent="0.25">
      <c r="A50" t="s">
        <v>12</v>
      </c>
      <c r="B50" s="9">
        <v>1.5575634015514483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2026-10-24T12:48:47Z</dcterms:created>
  <dcterms:modified xsi:type="dcterms:W3CDTF">2026-10-24T12:48:47Z</dcterms:modified>
</cp:coreProperties>
</file>