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ive model" state="visible" r:id="rId5"/>
    <sheet sheetId="3" name="Tender conditions" state="visible" r:id="rId6"/>
    <sheet sheetId="4" name="Inputs" state="visible" r:id="rId7"/>
    <sheet sheetId="5" name="Plant and capex" state="visible" r:id="rId8"/>
    <sheet sheetId="6" name="Revenue and costs (values)" state="visible" r:id="rId9"/>
    <sheet sheetId="7" name="Financial model (values)" state="visible" r:id="rId10"/>
  </sheets>
  <definedNames>
    <definedName name="_xlnm.Print_Titles" localSheetId="1">'Live model'!$5:$5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49" authorId="0">
      <text>
        <r>
          <t>Escalates with O&amp;M</t>
        </r>
      </text>
    </comment>
    <comment ref="A55" authorId="0">
      <text>
        <r>
          <t>On the energy short of each time-block's floor, at this multiple of the year's tariff (SECI RTC-TM: 1.5)</t>
        </r>
      </text>
    </comment>
    <comment ref="A70" authorId="0">
      <text>
        <r>
          <t>wdv: written-down value at the WDV rate; slm: the book depreciation</t>
        </r>
      </text>
    </comment>
    <comment ref="A87" authorId="0">
      <text>
        <r>
          <t>The PPA term the optimiser dispatched; one column per year</t>
        </r>
      </text>
    </comment>
    <comment ref="A99" authorId="0">
      <text>
        <r>
          <t>Each hour's energy below its floor (peak and off-peak blocks), from the dispatch</t>
        </r>
      </text>
    </comment>
    <comment ref="A111" authorId="0">
      <text>
        <r>
          <t>Delivered MU × tariff ₹/kWh ÷ 10 = ₹ crore</t>
        </r>
      </text>
    </comment>
    <comment ref="A114" authorId="0">
      <text>
        <r>
          <t>Energy short of the block floors × multiple × the year's tariff</t>
        </r>
      </text>
    </comment>
    <comment ref="A118" authorId="0">
      <text>
        <r>
          <t>Size × ₹ lakh ÷ 100 = ₹ crore, escalated</t>
        </r>
      </text>
    </comment>
    <comment ref="A119" authorId="0">
      <text>
        <r>
          <t>Size × ₹ lakh ÷ 100 = ₹ crore, escalated</t>
        </r>
      </text>
    </comment>
    <comment ref="A120" authorId="0">
      <text>
        <r>
          <t>Size × ₹ lakh ÷ 100 = ₹ crore, escalated</t>
        </r>
      </text>
    </comment>
    <comment ref="A128" authorId="0">
      <text>
        <r>
          <t>annual: each year from year 2 replaces the year's fade (MWh × fade × the year's battery price); oneTime: the fade to that year (at most 60%), once</t>
        </r>
      </text>
    </comment>
    <comment ref="A132" authorId="0">
      <text>
        <r>
          <t>Augmentation is depreciated over the years left</t>
        </r>
      </text>
    </comment>
    <comment ref="A154" authorId="0">
      <text>
        <r>
          <t>EBITDA − interest − tax depreciation</t>
        </r>
      </text>
    </comment>
    <comment ref="A163" authorId="0">
      <text>
        <r>
          <t>Revenue × receivable days ÷ 365, held at the year end</t>
        </r>
      </text>
    </comment>
    <comment ref="A165" authorId="0">
      <text>
        <r>
          <t>EBITDA − tax − working capital − battery augmentation</t>
        </r>
      </text>
    </comment>
    <comment ref="A172" authorId="0">
      <text>
        <r>
          <t>The payback year is the first year marked here</t>
        </r>
      </text>
    </comment>
    <comment ref="A173" authorId="0">
      <text>
        <r>
          <t>The project IRR's tax: no interest shield, no losses carried</t>
        </r>
      </text>
    </comment>
  </commentList>
</comments>
</file>

<file path=xl/sharedStrings.xml><?xml version="1.0" encoding="utf-8"?>
<sst xmlns="http://schemas.openxmlformats.org/spreadsheetml/2006/main" count="933" uniqueCount="356">
  <si>
    <t>SECI RTC-TM · bid financial model</t>
  </si>
  <si>
    <t>SECI/C&amp;P/IPP/13/0020/25-26 · 50 MW round the clock · 25 years</t>
  </si>
  <si>
    <t>Prepared 2026-10-24 by Demo · Tender to Bid (TenderOS)</t>
  </si>
  <si>
    <t>The key results below are linked to the Live model tab: change an input there (blue cells) and they follow.</t>
  </si>
  <si>
    <t>Key results</t>
  </si>
  <si>
    <t>Bid tariff (₹/kWh)</t>
  </si>
  <si>
    <t>Tariff that gives the 14.00% target equity IRR</t>
  </si>
  <si>
    <t>Equity IRR</t>
  </si>
  <si>
    <t/>
  </si>
  <si>
    <t>Project IRR</t>
  </si>
  <si>
    <t>Equity NPV at the target IRR (₹ cr)</t>
  </si>
  <si>
    <t>Minimum DSCR</t>
  </si>
  <si>
    <t>Average DSCR</t>
  </si>
  <si>
    <t>Equity payback (year)</t>
  </si>
  <si>
    <t>Project cost (₹ cr)</t>
  </si>
  <si>
    <t>₹30.93 cr per contracted MW</t>
  </si>
  <si>
    <t>Debt (₹ cr)</t>
  </si>
  <si>
    <t>Equity (₹ cr)</t>
  </si>
  <si>
    <t>Levelised cost of supply (₹/kWh)</t>
  </si>
  <si>
    <t>at a 10.0% discount rate</t>
  </si>
  <si>
    <t>Least-tariff sizing (HiGHS, ₹/kWh)</t>
  </si>
  <si>
    <t>Screening tariff of the sizing; the bid tariff is from the full financial model</t>
  </si>
  <si>
    <t>Year-1 supply (MU)</t>
  </si>
  <si>
    <t>89.0% of contracted</t>
  </si>
  <si>
    <t>Year-1 market sale (MU)</t>
  </si>
  <si>
    <t>Revenue over 25 years (₹ cr)</t>
  </si>
  <si>
    <t>Tender conditions</t>
  </si>
  <si>
    <t>5 met, 0 not met</t>
  </si>
  <si>
    <t>Plant</t>
  </si>
  <si>
    <t>Contracted capacity (MW)</t>
  </si>
  <si>
    <t>bid capacity</t>
  </si>
  <si>
    <t>Solar (MW)</t>
  </si>
  <si>
    <t>sized by the optimizer</t>
  </si>
  <si>
    <t>Wind (MW)</t>
  </si>
  <si>
    <t>Battery power (MW)</t>
  </si>
  <si>
    <t>Battery energy (MWh)</t>
  </si>
  <si>
    <t>Key inputs</t>
  </si>
  <si>
    <t>Bid capacity (MW)</t>
  </si>
  <si>
    <t>Solar</t>
  </si>
  <si>
    <t>CUF (AC) 25.0% · Capex 4 ₹ cr/MW · O&amp;M 4 ₹ lakh/MW/yr</t>
  </si>
  <si>
    <t>Wind</t>
  </si>
  <si>
    <t>CUF 33.0% · Capex 6.5 ₹ cr/MW · O&amp;M 9 ₹ lakh/MW/yr</t>
  </si>
  <si>
    <t>Battery storage</t>
  </si>
  <si>
    <t>Discharge duration 4 hours · Round-trip efficiency 87.0% · Capex 1.2 ₹ cr/MWh · O&amp;M 1.2 ₹ lakh/MWh/yr</t>
  </si>
  <si>
    <t>Financing</t>
  </si>
  <si>
    <t>equity IRR 14.0% · debt 70% at 9.00% for 15 years · tax 25.17%</t>
  </si>
  <si>
    <t>Market sale</t>
  </si>
  <si>
    <t>none</t>
  </si>
  <si>
    <t>Tender</t>
  </si>
  <si>
    <t>Procurer</t>
  </si>
  <si>
    <t>Solar Energy Corporation of India Limited (SECI)</t>
  </si>
  <si>
    <t>SECI/C&amp;P/IPP/13/0020/25-26</t>
  </si>
  <si>
    <t>Supply of 1000 MW Round-the-Clock Thermal Mimic (RTC-TM) power from ISTS-connected RE projects</t>
  </si>
  <si>
    <t>Capacity</t>
  </si>
  <si>
    <t>1000 MW</t>
  </si>
  <si>
    <t>Supply floors</t>
  </si>
  <si>
    <t>Peak Hours floor (every block) 90% · Off-peak floor (every block) 70%</t>
  </si>
  <si>
    <t>Least green share</t>
  </si>
  <si>
    <t>Not stated</t>
  </si>
  <si>
    <t>Mandatory solar</t>
  </si>
  <si>
    <t>PPA term</t>
  </si>
  <si>
    <t>25 years</t>
  </si>
  <si>
    <t>Supply start</t>
  </si>
  <si>
    <t>07.08.2028</t>
  </si>
  <si>
    <t>Ceiling tariff</t>
  </si>
  <si>
    <t>Every tender condition comes from the tender reading, with its page and quote (sheet Tender conditions).</t>
  </si>
  <si>
    <t>Inputs marked "Industry benchmark" are industry benchmark (CERC norms, 2025–26 market prices), not from the tender; the rest are the bidder's own (sheet Inputs).</t>
  </si>
  <si>
    <t>Every number below is a formula on the blue inputs and the optimiser's energy (green). Change a blue cell: the whole model, the returns and the Cover move with it.</t>
  </si>
  <si>
    <t>Colour key</t>
  </si>
  <si>
    <t>Input</t>
  </si>
  <si>
    <t>Optimiser</t>
  </si>
  <si>
    <t>Formula</t>
  </si>
  <si>
    <t>The optimiser's energy comes from the hourly HiGHS dispatch of every year; changing a plant size here moves its cost, not its energy (size the plant again in TenderOS for that).</t>
  </si>
  <si>
    <t>₹ crore unless stated</t>
  </si>
  <si>
    <t>Unit</t>
  </si>
  <si>
    <t>Total / value</t>
  </si>
  <si>
    <t>Year 0</t>
  </si>
  <si>
    <t>This workbook</t>
  </si>
  <si>
    <t>App</t>
  </si>
  <si>
    <t>Difference</t>
  </si>
  <si>
    <t>Same as app?</t>
  </si>
  <si>
    <t>Bid tariff</t>
  </si>
  <si>
    <t>₹/kWh</t>
  </si>
  <si>
    <t>%</t>
  </si>
  <si>
    <t>Equity IRR less the target</t>
  </si>
  <si>
    <t>Equity NPV at the target IRR</t>
  </si>
  <si>
    <t>₹ cr</t>
  </si>
  <si>
    <t>Project NPV at the discount rate</t>
  </si>
  <si>
    <t>×</t>
  </si>
  <si>
    <t>Levelised cost of supply</t>
  </si>
  <si>
    <t>Levelised tariff</t>
  </si>
  <si>
    <t>Equity payback</t>
  </si>
  <si>
    <t>year</t>
  </si>
  <si>
    <t>Project cost</t>
  </si>
  <si>
    <t>Debt</t>
  </si>
  <si>
    <t>Equity</t>
  </si>
  <si>
    <t>Revenue over 25 years</t>
  </si>
  <si>
    <t>Model checks</t>
  </si>
  <si>
    <t>To price the bid again after changing an input: Data › What-If Analysis › Goal Seek, set the cell "Equity IRR less the target" to 0 by changing the bid tariff.</t>
  </si>
  <si>
    <t>Inputs</t>
  </si>
  <si>
    <t>Tariff</t>
  </si>
  <si>
    <t>Solved in TenderOS for the target equity IRR</t>
  </si>
  <si>
    <t>Tariff escalation</t>
  </si>
  <si>
    <t>%/yr</t>
  </si>
  <si>
    <t>Industry benchmark</t>
  </si>
  <si>
    <t>Plant (sized by the optimiser)</t>
  </si>
  <si>
    <t>MW</t>
  </si>
  <si>
    <t>HiGHS sizing</t>
  </si>
  <si>
    <t>Battery power</t>
  </si>
  <si>
    <t>Battery energy</t>
  </si>
  <si>
    <t>MWh</t>
  </si>
  <si>
    <t>Capital cost</t>
  </si>
  <si>
    <t>₹ cr/MW</t>
  </si>
  <si>
    <t>₹ cr/MWh</t>
  </si>
  <si>
    <t>Battery power conversion</t>
  </si>
  <si>
    <t>Included in the energy price</t>
  </si>
  <si>
    <t>Transmission / evacuation</t>
  </si>
  <si>
    <t>Pre-operative and IDC</t>
  </si>
  <si>
    <t>% of hard cost</t>
  </si>
  <si>
    <t>Operating cost</t>
  </si>
  <si>
    <t>Solar O&amp;M</t>
  </si>
  <si>
    <t>₹ lakh/MW/yr</t>
  </si>
  <si>
    <t>Wind O&amp;M</t>
  </si>
  <si>
    <t>Battery O&amp;M</t>
  </si>
  <si>
    <t>₹ lakh/MWh/yr</t>
  </si>
  <si>
    <t>O&amp;M escalation</t>
  </si>
  <si>
    <t>Insurance</t>
  </si>
  <si>
    <t>% of hard cost/yr</t>
  </si>
  <si>
    <t>Other fixed cost</t>
  </si>
  <si>
    <t>₹ cr/yr</t>
  </si>
  <si>
    <t>Model default</t>
  </si>
  <si>
    <t>Revenue and supply</t>
  </si>
  <si>
    <t>Sell surplus in the market</t>
  </si>
  <si>
    <t>Yes / No</t>
  </si>
  <si>
    <t>No</t>
  </si>
  <si>
    <t>Market sale price</t>
  </si>
  <si>
    <t>Not used: no market sale</t>
  </si>
  <si>
    <t>Annual supply floor</t>
  </si>
  <si>
    <t>% of contracted</t>
  </si>
  <si>
    <t>Shortfall penalty</t>
  </si>
  <si>
    <t>₹/kWh short</t>
  </si>
  <si>
    <t>Time-block shortfall penalty</t>
  </si>
  <si>
    <t>× tariff</t>
  </si>
  <si>
    <t>Battery augmentation</t>
  </si>
  <si>
    <t>Augmentation</t>
  </si>
  <si>
    <t>annual / oneTime / none</t>
  </si>
  <si>
    <t>annual</t>
  </si>
  <si>
    <t>Battery capacity fade</t>
  </si>
  <si>
    <t>One-time augmentation year</t>
  </si>
  <si>
    <t>Model default (used with oneTime)</t>
  </si>
  <si>
    <t>Battery price decline</t>
  </si>
  <si>
    <t>Debt share</t>
  </si>
  <si>
    <t>% of project cost</t>
  </si>
  <si>
    <t>Interest rate</t>
  </si>
  <si>
    <t>Loan tenor</t>
  </si>
  <si>
    <t>years</t>
  </si>
  <si>
    <t>Repayment</t>
  </si>
  <si>
    <t>annuity / equal</t>
  </si>
  <si>
    <t>equal</t>
  </si>
  <si>
    <t>Target equity IRR</t>
  </si>
  <si>
    <t>Discount rate (LCOE, project NPV)</t>
  </si>
  <si>
    <t>Tax and depreciation</t>
  </si>
  <si>
    <t>Corporate tax</t>
  </si>
  <si>
    <t>Tax depreciation</t>
  </si>
  <si>
    <t>wdv / slm</t>
  </si>
  <si>
    <t>wdv</t>
  </si>
  <si>
    <t>WDV rate</t>
  </si>
  <si>
    <t>Book life</t>
  </si>
  <si>
    <t>Salvage value</t>
  </si>
  <si>
    <t>Receivable days</t>
  </si>
  <si>
    <t>days</t>
  </si>
  <si>
    <t>Project cost and funding</t>
  </si>
  <si>
    <t>Hard cost</t>
  </si>
  <si>
    <t>Total project cost</t>
  </si>
  <si>
    <t>Model years</t>
  </si>
  <si>
    <t>Loan tenor used</t>
  </si>
  <si>
    <t>Annuity (interest + principal) if annuity repayment</t>
  </si>
  <si>
    <t>Principal a year if equal repayment</t>
  </si>
  <si>
    <t>Depreciable value (less salvage)</t>
  </si>
  <si>
    <t>Book depreciation a year</t>
  </si>
  <si>
    <t>Energy (the optimiser's hourly dispatch, summed by year)</t>
  </si>
  <si>
    <t>Contracted energy</t>
  </si>
  <si>
    <t>MU</t>
  </si>
  <si>
    <t>Delivered to the procurer</t>
  </si>
  <si>
    <t>Delivered ÷ contracted</t>
  </si>
  <si>
    <t>Short of the annual floor</t>
  </si>
  <si>
    <t>Short of the time-block floors</t>
  </si>
  <si>
    <t>Sold in the market</t>
  </si>
  <si>
    <t>Escalation and discount factors</t>
  </si>
  <si>
    <t>O&amp;M and other fixed cost</t>
  </si>
  <si>
    <t>Battery price</t>
  </si>
  <si>
    <t>Discount factor</t>
  </si>
  <si>
    <t>Revenue</t>
  </si>
  <si>
    <t>PPA supply revenue</t>
  </si>
  <si>
    <t>Market sale revenue</t>
  </si>
  <si>
    <t>Total revenue</t>
  </si>
  <si>
    <t>Operating costs</t>
  </si>
  <si>
    <t>Total operating cost</t>
  </si>
  <si>
    <t>EBITDA</t>
  </si>
  <si>
    <t>EBITDA margin</t>
  </si>
  <si>
    <t>Battery augmentation (capital spend in operation)</t>
  </si>
  <si>
    <t>Book depreciation</t>
  </si>
  <si>
    <t>On the project cost (straight line)</t>
  </si>
  <si>
    <t>Added for this year's augmentation</t>
  </si>
  <si>
    <t>On augmentation</t>
  </si>
  <si>
    <t>Opening debt</t>
  </si>
  <si>
    <t>Interest</t>
  </si>
  <si>
    <t>Principal</t>
  </si>
  <si>
    <t>Closing debt</t>
  </si>
  <si>
    <t>Debt service</t>
  </si>
  <si>
    <t>Tax block, opening</t>
  </si>
  <si>
    <t>Added: augmentation</t>
  </si>
  <si>
    <t>Tax block, closing</t>
  </si>
  <si>
    <t>Profit and loss</t>
  </si>
  <si>
    <t>Less: book depreciation</t>
  </si>
  <si>
    <t>Less: interest</t>
  </si>
  <si>
    <t>Profit before tax</t>
  </si>
  <si>
    <t>Taxable profit before losses brought forward</t>
  </si>
  <si>
    <t>Tax losses brought forward</t>
  </si>
  <si>
    <t>Losses set off</t>
  </si>
  <si>
    <t>Taxable income</t>
  </si>
  <si>
    <t>Tax losses carried forward</t>
  </si>
  <si>
    <t>Tax</t>
  </si>
  <si>
    <t>Profit after tax</t>
  </si>
  <si>
    <t>Cash flow</t>
  </si>
  <si>
    <t>Receivables</t>
  </si>
  <si>
    <t>Increase in working capital</t>
  </si>
  <si>
    <t>Cash flow available for debt service (CFADS)</t>
  </si>
  <si>
    <t>Less: debt service</t>
  </si>
  <si>
    <t>DSCR</t>
  </si>
  <si>
    <t>Salvage and receivables released (final year)</t>
  </si>
  <si>
    <t>Debt still owed, repaid in the final year</t>
  </si>
  <si>
    <t>Equity cash flow (year 0: the equity put in)</t>
  </si>
  <si>
    <t>Cumulative equity cash</t>
  </si>
  <si>
    <t>Equity paid back by this year</t>
  </si>
  <si>
    <t>Tax on the unlevered project</t>
  </si>
  <si>
    <t>Project cash flow (year 0: the project cost)</t>
  </si>
  <si>
    <t>Levelised cost and tariff</t>
  </si>
  <si>
    <t>Operating cost and augmentation</t>
  </si>
  <si>
    <t>Discounted</t>
  </si>
  <si>
    <t>Delivered energy, discounted</t>
  </si>
  <si>
    <t>PPA supply revenue, discounted</t>
  </si>
  <si>
    <t>Returns</t>
  </si>
  <si>
    <t>Levelised cost of supply (project cost + discounted costs) ÷ discounted energy</t>
  </si>
  <si>
    <t>Checks</t>
  </si>
  <si>
    <t>Debt + equity = project cost</t>
  </si>
  <si>
    <t>Debt repaid by the end of the loan tenor</t>
  </si>
  <si>
    <t>Revenue − operating cost = EBITDA over the term</t>
  </si>
  <si>
    <t>Tax losses never negative</t>
  </si>
  <si>
    <t>Equity IRR meets the target</t>
  </si>
  <si>
    <t>Minimum DSCR at least 1.0</t>
  </si>
  <si>
    <t>Condition</t>
  </si>
  <si>
    <t>Tender says</t>
  </si>
  <si>
    <t>Page</t>
  </si>
  <si>
    <t>Quote</t>
  </si>
  <si>
    <t>Plant and bid</t>
  </si>
  <si>
    <t>Status</t>
  </si>
  <si>
    <t>Bid capacity</t>
  </si>
  <si>
    <t>1,000 MW; one bidder 50–500 MW</t>
  </si>
  <si>
    <t>a minimum quantum of cumulative Contracted Capacity of 50 MW and a maximum quantum of 500 MW</t>
  </si>
  <si>
    <t>50 MW bid</t>
  </si>
  <si>
    <t>Met</t>
  </si>
  <si>
    <t>Peak Hours floor (every block)</t>
  </si>
  <si>
    <t>At least 90% of contracted capacity in every peak time-block; shortfall costs 1.5 × tariff</t>
  </si>
  <si>
    <t>(i) a minimum DFR of 90% in each time-block during the Peak Hours</t>
  </si>
  <si>
    <t>84.3% of the hours at the floor; 26.83 MU short in the worst modelled year</t>
  </si>
  <si>
    <t>Noted</t>
  </si>
  <si>
    <t>Off-peak floor (every block)</t>
  </si>
  <si>
    <t>At least 70% of contracted capacity in every off-peak time-block; shortfall costs 1.5 × tariff</t>
  </si>
  <si>
    <t>(ii) a minimum DFR of 70% in each time-block during the off-Peak Hours.</t>
  </si>
  <si>
    <t>99.2% of the hours at the floor; 0.09 MU short in the worst modelled year</t>
  </si>
  <si>
    <t>Peak hours</t>
  </si>
  <si>
    <t>Any 6 of the 16 hours (the Buying Entity picks 6 hours between 18:00 and 10:00, day-ahead) a day</t>
  </si>
  <si>
    <t>The Buying Entity shall choose any 6 hours, on a daily basis, between 18:00 Hrs. in the evening of a day and 10:00 Hrs. in the morning of the subsequent day</t>
  </si>
  <si>
    <t>Checked in the chosen window</t>
  </si>
  <si>
    <t>Energy storage</t>
  </si>
  <si>
    <t>Mandatory</t>
  </si>
  <si>
    <t>Energy Storage Systems (ESS) shall mandatorily constitute part of the Project. It is clarified that ESS charged using a source other than RE power would not qualify as RE power.</t>
  </si>
  <si>
    <t>105 MW / 422 MWh</t>
  </si>
  <si>
    <t>What may be sold in the market</t>
  </si>
  <si>
    <t>Free to sell to any third party or power exchange, no NOC needed</t>
  </si>
  <si>
    <t>the SECI/RPD is free to sell power in excess of the Contracted Capacity in any time-block, to any third party or power exchange, without requiring any NOC from Buying Entity.</t>
  </si>
  <si>
    <t>Nothing sold</t>
  </si>
  <si>
    <t>The PPAs shall be valid for a period of 25 years from the SCSD.</t>
  </si>
  <si>
    <t>Modelled and financed over 25 years</t>
  </si>
  <si>
    <t>SECI reserves the right to cancel any or all of the bids in view of higher tariff discovered after e-RA.</t>
  </si>
  <si>
    <t>Bid tariff ₹6.863/kWh</t>
  </si>
  <si>
    <t>Not required</t>
  </si>
  <si>
    <t>The Scheduled Commencement of Supply Date (SCSD) for supplying power from the full Project capacity shall be the date as on 24 months from the Effective Date of the PPA</t>
  </si>
  <si>
    <t>Build schedule is not modelled</t>
  </si>
  <si>
    <t>Group</t>
  </si>
  <si>
    <t>Value</t>
  </si>
  <si>
    <t>Source</t>
  </si>
  <si>
    <t>Bid</t>
  </si>
  <si>
    <t>Your input</t>
  </si>
  <si>
    <t>Sized for the greenshoe</t>
  </si>
  <si>
    <t>automatic limit</t>
  </si>
  <si>
    <t>Upper limit for the optimizer</t>
  </si>
  <si>
    <t>CUF (AC)</t>
  </si>
  <si>
    <t>DC:AC ratio</t>
  </si>
  <si>
    <t>Annual degradation</t>
  </si>
  <si>
    <t>Capex</t>
  </si>
  <si>
    <t>O&amp;M</t>
  </si>
  <si>
    <t>CUF</t>
  </si>
  <si>
    <t>Discharge duration</t>
  </si>
  <si>
    <t>4 hours</t>
  </si>
  <si>
    <t>Round-trip efficiency</t>
  </si>
  <si>
    <t>Minimum state of charge</t>
  </si>
  <si>
    <t>Maximum state of charge</t>
  </si>
  <si>
    <t>Capacity fade</t>
  </si>
  <si>
    <t>Every year</t>
  </si>
  <si>
    <t>Pre-operative &amp; IDC</t>
  </si>
  <si>
    <t>Model default (editable on Financials)</t>
  </si>
  <si>
    <t>Discount rate (LCOE, NPV)</t>
  </si>
  <si>
    <t>Market</t>
  </si>
  <si>
    <t>Sell in the market</t>
  </si>
  <si>
    <t>Item</t>
  </si>
  <si>
    <t>Note</t>
  </si>
  <si>
    <t>₹ crore</t>
  </si>
  <si>
    <t>Total project cost (incl. pre-operative &amp; IDC)</t>
  </si>
  <si>
    <t>pre-operative 5.0% of hard cost</t>
  </si>
  <si>
    <t>70%</t>
  </si>
  <si>
    <t>Total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</si>
  <si>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</si>
  <si>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</si>
  <si>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</si>
  <si>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</si>
  <si>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</si>
  <si>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</si>
  <si>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</si>
  <si>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</si>
  <si>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</si>
  <si>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</si>
  <si>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Year 11</t>
  </si>
  <si>
    <t>Year 12</t>
  </si>
  <si>
    <t>Year 13</t>
  </si>
  <si>
    <t>Year 14</t>
  </si>
  <si>
    <t>Year 15</t>
  </si>
  <si>
    <t>Year 16</t>
  </si>
  <si>
    <t>Year 17</t>
  </si>
  <si>
    <t>Year 18</t>
  </si>
  <si>
    <t>Year 19</t>
  </si>
  <si>
    <t>Year 20</t>
  </si>
  <si>
    <t>Year 21</t>
  </si>
  <si>
    <t>Year 22</t>
  </si>
  <si>
    <t>Year 23</t>
  </si>
  <si>
    <t>Year 24</t>
  </si>
  <si>
    <t>Year 25</t>
  </si>
  <si>
    <t>Energy and tariff</t>
  </si>
  <si>
    <t>Capital spend in operation</t>
  </si>
  <si>
    <t>Working capital change</t>
  </si>
  <si>
    <t>CFADS</t>
  </si>
  <si>
    <t>Free cash to equity</t>
  </si>
  <si>
    <t>Project cash flow</t>
  </si>
  <si>
    <t>Returns (year 0 is the investment)</t>
  </si>
  <si>
    <t>Equity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</si>
</sst>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0"/>
    <numFmt numFmtId="165" formatCode="&quot;Year &quot;0"/>
    <numFmt numFmtId="166" formatCode="#,##0.00;[Red]-#,##0.00;&quot;–&quot;"/>
    <numFmt numFmtId="167" formatCode="0.00&quot;×&quot;"/>
    <numFmt numFmtId="168" formatCode="#,##0.0;[Red]-#,##0.0;&quot;–&quot;"/>
    <numFmt numFmtId="169" formatCode="0.0000"/>
    <numFmt numFmtId="170" formatCode="#,##0.####"/>
  </numFmts>
  <fonts count="22" x14ac:knownFonts="1">
    <font>
      <color theme="1"/>
      <family val="2"/>
      <scheme val="minor"/>
      <sz val="11"/>
      <name val="Calibri"/>
    </font>
    <font>
      <b/>
      <sz val="16"/>
    </font>
    <font>
      <color rgb="FF555555"/>
    </font>
    <font>
      <i/>
      <color rgb="FF777777"/>
    </font>
    <font>
      <i/>
      <color rgb="FF0000FF"/>
    </font>
    <font>
      <b/>
      <color rgb="FF111111"/>
    </font>
    <font>
      <i/>
      <color rgb="FF555555"/>
    </font>
    <font>
      <b/>
    </font>
    <font>
      <color rgb="FF0000FF"/>
    </font>
    <font>
      <color rgb="FF00703C"/>
    </font>
    <font>
      <color rgb="FF000000"/>
    </font>
    <font>
      <b/>
      <color rgb="FFFFFFFF"/>
    </font>
    <font>
      <b/>
      <color rgb="FFFFFFFF"/>
      <sz val="12"/>
    </font>
    <font>
      <b/>
      <color rgb="FF555555"/>
    </font>
    <font>
      <color rgb="FF666666"/>
    </font>
    <font>
      <b/>
      <color rgb="FF000000"/>
    </font>
    <font>
      <i/>
      <color rgb="FF666666"/>
    </font>
    <font/>
    <font>
      <i/>
      <color rgb="FFB26A00"/>
    </font>
    <font>
      <b/>
      <color rgb="FF1E7B34"/>
    </font>
    <font>
      <b/>
      <color rgb="FF666666"/>
    </font>
    <font>
      <color rgb="FFB26A00"/>
    </font>
  </fonts>
  <fills count="7">
    <fill>
      <patternFill patternType="none"/>
    </fill>
    <fill>
      <patternFill patternType="gray125"/>
    </fill>
    <fill>
      <patternFill patternType="solid">
        <fgColor rgb="FFD4FF3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11111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111111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right"/>
    </xf>
    <xf numFmtId="165" fontId="11" fillId="5" borderId="0" xfId="0" applyNumberFormat="1" applyFont="1" applyFill="1" applyAlignment="1">
      <alignment horizontal="right"/>
    </xf>
    <xf numFmtId="0" fontId="12" fillId="5" borderId="0" xfId="0" applyFont="1" applyFill="1"/>
    <xf numFmtId="0" fontId="0" fillId="5" borderId="0" xfId="0" applyFill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7" fillId="0" borderId="0" xfId="0" applyFont="1" applyAlignment="1">
      <alignment indent="1"/>
    </xf>
    <xf numFmtId="0" fontId="14" fillId="0" borderId="0" xfId="0" applyFont="1"/>
    <xf numFmtId="164" fontId="15" fillId="0" borderId="0" xfId="0" applyNumberFormat="1" applyFont="1" applyAlignment="1">
      <alignment horizontal="right"/>
    </xf>
    <xf numFmtId="164" fontId="16" fillId="0" borderId="0" xfId="0" applyNumberFormat="1" applyFont="1"/>
    <xf numFmtId="164" fontId="10" fillId="0" borderId="0" xfId="0" applyNumberFormat="1" applyFont="1"/>
    <xf numFmtId="10" fontId="15" fillId="0" borderId="0" xfId="0" applyNumberFormat="1" applyFont="1" applyAlignment="1">
      <alignment horizontal="right"/>
    </xf>
    <xf numFmtId="10" fontId="16" fillId="0" borderId="0" xfId="0" applyNumberFormat="1" applyFont="1"/>
    <xf numFmtId="10" fontId="10" fillId="0" borderId="0" xfId="0" applyNumberFormat="1" applyFont="1"/>
    <xf numFmtId="0" fontId="17" fillId="0" borderId="0" xfId="0" applyFont="1" applyAlignment="1">
      <alignment indent="1"/>
    </xf>
    <xf numFmtId="10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66" fontId="16" fillId="0" borderId="0" xfId="0" applyNumberFormat="1" applyFont="1"/>
    <xf numFmtId="166" fontId="10" fillId="0" borderId="0" xfId="0" applyNumberFormat="1" applyFont="1"/>
    <xf numFmtId="167" fontId="10" fillId="0" borderId="0" xfId="0" applyNumberFormat="1" applyFont="1" applyAlignment="1">
      <alignment horizontal="right"/>
    </xf>
    <xf numFmtId="167" fontId="16" fillId="0" borderId="0" xfId="0" applyNumberFormat="1" applyFont="1"/>
    <xf numFmtId="167" fontId="10" fillId="0" borderId="0" xfId="0" applyNumberFormat="1" applyFont="1"/>
    <xf numFmtId="164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1" fontId="16" fillId="0" borderId="0" xfId="0" applyNumberFormat="1" applyFont="1"/>
    <xf numFmtId="1" fontId="10" fillId="0" borderId="0" xfId="0" applyNumberFormat="1" applyFont="1"/>
    <xf numFmtId="0" fontId="10" fillId="0" borderId="0" xfId="0" applyFont="1" applyAlignment="1">
      <alignment horizontal="right"/>
    </xf>
    <xf numFmtId="0" fontId="5" fillId="6" borderId="0" xfId="0" applyFont="1" applyFill="1"/>
    <xf numFmtId="0" fontId="0" fillId="6" borderId="0" xfId="0" applyFill="1"/>
    <xf numFmtId="164" fontId="8" fillId="3" borderId="1" xfId="0" applyNumberFormat="1" applyFont="1" applyFill="1" applyBorder="1"/>
    <xf numFmtId="10" fontId="8" fillId="3" borderId="1" xfId="0" applyNumberFormat="1" applyFont="1" applyFill="1" applyBorder="1"/>
    <xf numFmtId="0" fontId="18" fillId="0" borderId="0" xfId="0" applyFont="1"/>
    <xf numFmtId="168" fontId="9" fillId="4" borderId="1" xfId="0" applyNumberFormat="1" applyFont="1" applyFill="1" applyBorder="1"/>
    <xf numFmtId="4" fontId="8" fillId="3" borderId="1" xfId="0" applyNumberFormat="1" applyFont="1" applyFill="1" applyBorder="1"/>
    <xf numFmtId="166" fontId="8" fillId="3" borderId="1" xfId="0" applyNumberFormat="1" applyFont="1" applyFill="1" applyBorder="1"/>
    <xf numFmtId="0" fontId="8" fillId="3" borderId="1" xfId="0" applyFont="1" applyFill="1" applyBorder="1"/>
    <xf numFmtId="167" fontId="8" fillId="3" borderId="1" xfId="0" applyNumberFormat="1" applyFont="1" applyFill="1" applyBorder="1"/>
    <xf numFmtId="1" fontId="8" fillId="3" borderId="1" xfId="0" applyNumberFormat="1" applyFont="1" applyFill="1" applyBorder="1"/>
    <xf numFmtId="166" fontId="15" fillId="0" borderId="0" xfId="0" applyNumberFormat="1" applyFont="1"/>
    <xf numFmtId="168" fontId="15" fillId="0" borderId="0" xfId="0" applyNumberFormat="1" applyFont="1"/>
    <xf numFmtId="168" fontId="10" fillId="0" borderId="0" xfId="0" applyNumberFormat="1" applyFont="1"/>
    <xf numFmtId="169" fontId="10" fillId="0" borderId="0" xfId="0" applyNumberFormat="1" applyFont="1"/>
    <xf numFmtId="0" fontId="7" fillId="0" borderId="2" xfId="0" applyFont="1" applyBorder="1" applyAlignment="1">
      <alignment indent="1"/>
    </xf>
    <xf numFmtId="0" fontId="14" fillId="0" borderId="2" xfId="0" applyFont="1" applyBorder="1"/>
    <xf numFmtId="166" fontId="15" fillId="0" borderId="2" xfId="0" applyNumberFormat="1" applyFont="1" applyBorder="1"/>
    <xf numFmtId="0" fontId="0" fillId="0" borderId="2" xfId="0" applyBorder="1"/>
    <xf numFmtId="10" fontId="15" fillId="0" borderId="0" xfId="0" applyNumberFormat="1" applyFont="1"/>
    <xf numFmtId="0" fontId="10" fillId="0" borderId="0" xfId="0" applyFont="1"/>
    <xf numFmtId="0" fontId="11" fillId="5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19" fillId="0" borderId="0" xfId="0" applyFont="1" applyAlignment="1">
      <alignment vertical="top" wrapText="1"/>
    </xf>
    <xf numFmtId="0" fontId="20" fillId="0" borderId="0" xfId="0" applyFont="1" applyAlignment="1">
      <alignment vertical="top" wrapText="1"/>
    </xf>
    <xf numFmtId="170" fontId="0" fillId="0" borderId="0" xfId="0" applyNumberFormat="1"/>
    <xf numFmtId="10" fontId="0" fillId="0" borderId="0" xfId="0" applyNumberFormat="1"/>
    <xf numFmtId="0" fontId="21" fillId="0" borderId="0" xfId="0" applyFont="1"/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4" fontId="7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4">
    <dxf>
      <font>
        <b/>
        <color rgb="FF1E7B34"/>
      </font>
    </dxf>
    <dxf>
      <font>
        <b/>
        <color rgb="FFB26A00"/>
      </font>
    </dxf>
    <dxf>
      <font>
        <b/>
        <color rgb="FF1E7B34"/>
      </font>
    </dxf>
    <dxf>
      <font>
        <b/>
        <color rgb="FFB3261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866900" cy="4381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FF3F"/>
  </sheetPr>
  <dimension ref="A1:C54"/>
  <sheetFormatPr defaultRowHeight="15" outlineLevelRow="0" outlineLevelCol="0" x14ac:dyDescent="55"/>
  <cols>
    <col min="1" max="1" width="42" customWidth="1"/>
    <col min="2" max="2" width="22" customWidth="1"/>
    <col min="3" max="3" width="70" customWidth="1"/>
  </cols>
  <sheetData>
    <row r="1" ht="24" customHeight="1" x14ac:dyDescent="0.25"/>
    <row r="2" ht="24" customHeight="1" x14ac:dyDescent="0.25"/>
    <row r="4" spans="1:1" s="1" customFormat="1" x14ac:dyDescent="0.25">
      <c r="A4" s="1" t="s">
        <v>0</v>
      </c>
    </row>
    <row r="5" spans="1:1" s="2" customFormat="1" x14ac:dyDescent="0.25">
      <c r="A5" s="2" t="s">
        <v>1</v>
      </c>
    </row>
    <row r="6" spans="1:1" s="3" customFormat="1" x14ac:dyDescent="0.25">
      <c r="A6" s="3" t="s">
        <v>2</v>
      </c>
    </row>
    <row r="7" spans="1:1" s="4" customFormat="1" x14ac:dyDescent="0.25">
      <c r="A7" s="4" t="s">
        <v>3</v>
      </c>
    </row>
    <row r="9" spans="1:1" s="5" customFormat="1" x14ac:dyDescent="0.25">
      <c r="A9" s="5" t="s">
        <v>4</v>
      </c>
    </row>
    <row r="10" spans="1:3" x14ac:dyDescent="0.25">
      <c r="A10" t="s">
        <v>5</v>
      </c>
      <c r="B10" s="6">
        <f>'Live model'!$C$9</f>
        <v>6.862973373281049</v>
      </c>
      <c r="C10" t="s">
        <v>6</v>
      </c>
    </row>
    <row r="11" spans="1:3" x14ac:dyDescent="0.25">
      <c r="A11" t="s">
        <v>7</v>
      </c>
      <c r="B11" s="7">
        <f>'Live model'!$C$10</f>
        <v>0.13999999993597156</v>
      </c>
      <c r="C11" t="s">
        <v>8</v>
      </c>
    </row>
    <row r="12" spans="1:3" x14ac:dyDescent="0.25">
      <c r="A12" t="s">
        <v>9</v>
      </c>
      <c r="B12" s="7">
        <f>'Live model'!$C$12</f>
        <v>0.09960296833771282</v>
      </c>
      <c r="C12" t="s">
        <v>8</v>
      </c>
    </row>
    <row r="13" spans="1:3" x14ac:dyDescent="0.25">
      <c r="A13" t="s">
        <v>10</v>
      </c>
      <c r="B13" s="8">
        <f>'Live model'!$C$13</f>
        <v>1.0125233984581428e-13</v>
      </c>
      <c r="C13" t="s">
        <v>8</v>
      </c>
    </row>
    <row r="14" spans="1:3" x14ac:dyDescent="0.25">
      <c r="A14" t="s">
        <v>11</v>
      </c>
      <c r="B14" s="9">
        <f>'Live model'!$C$15</f>
        <v>1.1346102119101011</v>
      </c>
      <c r="C14" t="s">
        <v>8</v>
      </c>
    </row>
    <row r="15" spans="1:3" x14ac:dyDescent="0.25">
      <c r="A15" t="s">
        <v>12</v>
      </c>
      <c r="B15" s="9">
        <f>'Live model'!$C$16</f>
        <v>1.557563401551449</v>
      </c>
      <c r="C15" t="s">
        <v>8</v>
      </c>
    </row>
    <row r="16" spans="1:3" x14ac:dyDescent="0.25">
      <c r="A16" t="s">
        <v>13</v>
      </c>
      <c r="B16" s="10">
        <f>'Live model'!$C$19</f>
        <v>8</v>
      </c>
      <c r="C16" t="s">
        <v>8</v>
      </c>
    </row>
    <row r="17" spans="1:3" x14ac:dyDescent="0.25">
      <c r="A17" t="s">
        <v>14</v>
      </c>
      <c r="B17" s="8">
        <f>'Live model'!$C$20</f>
        <v>1546.7429834360485</v>
      </c>
      <c r="C17" t="s">
        <v>15</v>
      </c>
    </row>
    <row r="18" spans="1:3" x14ac:dyDescent="0.25">
      <c r="A18" t="s">
        <v>16</v>
      </c>
      <c r="B18" s="8">
        <f>'Live model'!$C$21</f>
        <v>1082.7200884052338</v>
      </c>
      <c r="C18" t="s">
        <v>8</v>
      </c>
    </row>
    <row r="19" spans="1:3" x14ac:dyDescent="0.25">
      <c r="A19" t="s">
        <v>17</v>
      </c>
      <c r="B19" s="8">
        <f>'Live model'!$C$22</f>
        <v>464.02289503081465</v>
      </c>
      <c r="C19" t="s">
        <v>8</v>
      </c>
    </row>
    <row r="20" spans="1:3" x14ac:dyDescent="0.25">
      <c r="A20" t="s">
        <v>18</v>
      </c>
      <c r="B20" s="6">
        <f>'Live model'!$C$17</f>
        <v>5.405866093427118</v>
      </c>
      <c r="C20" t="s">
        <v>19</v>
      </c>
    </row>
    <row r="21" spans="1:3" x14ac:dyDescent="0.25">
      <c r="A21" t="s">
        <v>20</v>
      </c>
      <c r="B21" s="6">
        <v>6.857349180091029</v>
      </c>
      <c r="C21" t="s">
        <v>21</v>
      </c>
    </row>
    <row r="22" spans="1:3" x14ac:dyDescent="0.25">
      <c r="A22" t="s">
        <v>22</v>
      </c>
      <c r="B22" s="11">
        <v>389.8663779793227</v>
      </c>
      <c r="C22" t="s">
        <v>23</v>
      </c>
    </row>
    <row r="23" spans="1:3" x14ac:dyDescent="0.25">
      <c r="A23" t="s">
        <v>24</v>
      </c>
      <c r="B23" s="11">
        <v>0</v>
      </c>
      <c r="C23" t="s">
        <v>8</v>
      </c>
    </row>
    <row r="24" spans="1:3" x14ac:dyDescent="0.25">
      <c r="A24" t="s">
        <v>25</v>
      </c>
      <c r="B24" s="8">
        <f>'Live model'!$C$23</f>
        <v>5945.442664332968</v>
      </c>
      <c r="C24" t="s">
        <v>8</v>
      </c>
    </row>
    <row r="25" spans="1:3" x14ac:dyDescent="0.25">
      <c r="A25" t="s">
        <v>26</v>
      </c>
      <c r="B25" s="12" t="s">
        <v>27</v>
      </c>
      <c r="C25" t="s">
        <v>8</v>
      </c>
    </row>
    <row r="27" spans="1:1" s="5" customFormat="1" x14ac:dyDescent="0.25">
      <c r="A27" s="5" t="s">
        <v>28</v>
      </c>
    </row>
    <row r="28" spans="1:3" x14ac:dyDescent="0.25">
      <c r="A28" t="s">
        <v>29</v>
      </c>
      <c r="B28" s="11">
        <v>50</v>
      </c>
      <c r="C28" t="s">
        <v>30</v>
      </c>
    </row>
    <row r="29" spans="1:3" x14ac:dyDescent="0.25">
      <c r="A29" t="s">
        <v>31</v>
      </c>
      <c r="B29" s="11">
        <v>127.63570579650927</v>
      </c>
      <c r="C29" t="s">
        <v>32</v>
      </c>
    </row>
    <row r="30" spans="1:3" x14ac:dyDescent="0.25">
      <c r="A30" t="s">
        <v>33</v>
      </c>
      <c r="B30" s="11">
        <v>70.2498886986311</v>
      </c>
      <c r="C30" t="s">
        <v>32</v>
      </c>
    </row>
    <row r="31" spans="1:3" x14ac:dyDescent="0.25">
      <c r="A31" t="s">
        <v>34</v>
      </c>
      <c r="B31" s="11">
        <v>105.40030331796672</v>
      </c>
      <c r="C31" t="s">
        <v>8</v>
      </c>
    </row>
    <row r="32" spans="1:3" x14ac:dyDescent="0.25">
      <c r="A32" t="s">
        <v>35</v>
      </c>
      <c r="B32" s="11">
        <v>421.60121327186687</v>
      </c>
      <c r="C32" t="s">
        <v>8</v>
      </c>
    </row>
    <row r="34" spans="1:1" s="5" customFormat="1" x14ac:dyDescent="0.25">
      <c r="A34" s="5" t="s">
        <v>36</v>
      </c>
    </row>
    <row r="35" spans="1:3" x14ac:dyDescent="0.25">
      <c r="A35" t="s">
        <v>37</v>
      </c>
      <c r="B35" s="11">
        <v>50</v>
      </c>
      <c r="C35" t="s">
        <v>8</v>
      </c>
    </row>
    <row r="36" spans="1:3" x14ac:dyDescent="0.25">
      <c r="A36" t="s">
        <v>38</v>
      </c>
      <c r="B36" s="12" t="s">
        <v>39</v>
      </c>
      <c r="C36" t="s">
        <v>8</v>
      </c>
    </row>
    <row r="37" spans="1:3" x14ac:dyDescent="0.25">
      <c r="A37" t="s">
        <v>40</v>
      </c>
      <c r="B37" s="12" t="s">
        <v>41</v>
      </c>
      <c r="C37" t="s">
        <v>8</v>
      </c>
    </row>
    <row r="38" spans="1:3" x14ac:dyDescent="0.25">
      <c r="A38" t="s">
        <v>42</v>
      </c>
      <c r="B38" s="12" t="s">
        <v>43</v>
      </c>
      <c r="C38" t="s">
        <v>8</v>
      </c>
    </row>
    <row r="39" spans="1:3" x14ac:dyDescent="0.25">
      <c r="A39" t="s">
        <v>44</v>
      </c>
      <c r="B39" s="12" t="s">
        <v>45</v>
      </c>
      <c r="C39" t="s">
        <v>8</v>
      </c>
    </row>
    <row r="40" spans="1:3" x14ac:dyDescent="0.25">
      <c r="A40" t="s">
        <v>46</v>
      </c>
      <c r="B40" s="12" t="s">
        <v>47</v>
      </c>
      <c r="C40" t="s">
        <v>8</v>
      </c>
    </row>
    <row r="42" spans="1:1" s="5" customFormat="1" x14ac:dyDescent="0.25">
      <c r="A42" s="5" t="s">
        <v>48</v>
      </c>
    </row>
    <row r="43" spans="1:3" x14ac:dyDescent="0.25">
      <c r="A43" t="s">
        <v>49</v>
      </c>
      <c r="B43" s="12" t="s">
        <v>50</v>
      </c>
      <c r="C43" t="s">
        <v>8</v>
      </c>
    </row>
    <row r="44" spans="1:3" x14ac:dyDescent="0.25">
      <c r="A44" t="s">
        <v>48</v>
      </c>
      <c r="B44" s="12" t="s">
        <v>51</v>
      </c>
      <c r="C44" t="s">
        <v>52</v>
      </c>
    </row>
    <row r="45" spans="1:3" x14ac:dyDescent="0.25">
      <c r="A45" t="s">
        <v>53</v>
      </c>
      <c r="B45" s="12" t="s">
        <v>54</v>
      </c>
      <c r="C45" t="s">
        <v>8</v>
      </c>
    </row>
    <row r="46" spans="1:3" x14ac:dyDescent="0.25">
      <c r="A46" t="s">
        <v>55</v>
      </c>
      <c r="B46" s="12" t="s">
        <v>56</v>
      </c>
      <c r="C46" t="s">
        <v>8</v>
      </c>
    </row>
    <row r="47" spans="1:3" x14ac:dyDescent="0.25">
      <c r="A47" t="s">
        <v>57</v>
      </c>
      <c r="B47" s="12" t="s">
        <v>58</v>
      </c>
      <c r="C47" t="s">
        <v>8</v>
      </c>
    </row>
    <row r="48" spans="1:3" x14ac:dyDescent="0.25">
      <c r="A48" t="s">
        <v>59</v>
      </c>
      <c r="B48" s="12" t="s">
        <v>58</v>
      </c>
      <c r="C48" t="s">
        <v>8</v>
      </c>
    </row>
    <row r="49" spans="1:3" x14ac:dyDescent="0.25">
      <c r="A49" t="s">
        <v>60</v>
      </c>
      <c r="B49" s="12" t="s">
        <v>61</v>
      </c>
      <c r="C49" t="s">
        <v>8</v>
      </c>
    </row>
    <row r="50" spans="1:3" x14ac:dyDescent="0.25">
      <c r="A50" t="s">
        <v>62</v>
      </c>
      <c r="B50" s="12" t="s">
        <v>63</v>
      </c>
      <c r="C50" t="s">
        <v>8</v>
      </c>
    </row>
    <row r="51" spans="1:3" x14ac:dyDescent="0.25">
      <c r="A51" t="s">
        <v>64</v>
      </c>
      <c r="B51" s="12" t="s">
        <v>58</v>
      </c>
      <c r="C51" t="s">
        <v>8</v>
      </c>
    </row>
    <row r="53" spans="1:1" s="13" customFormat="1" x14ac:dyDescent="0.25">
      <c r="A53" s="13" t="s">
        <v>65</v>
      </c>
    </row>
    <row r="54" spans="1:1" s="13" customFormat="1" x14ac:dyDescent="0.25">
      <c r="A54" s="13" t="s">
        <v>66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  <pageSetUpPr fitToPage="1"/>
  </sheetPr>
  <dimension ref="A1:AC199"/>
  <sheetViews>
    <sheetView workbookViewId="0" showGridLines="0">
      <pane xSplit="3" ySplit="5" topLeftCell="D6" activePane="bottomRight" state="frozen"/>
      <selection pane="bottomRight" activeCell="C1" sqref="C1"/>
    </sheetView>
  </sheetViews>
  <sheetFormatPr defaultRowHeight="15" outlineLevelRow="0" outlineLevelCol="0" x14ac:dyDescent="55"/>
  <cols>
    <col min="1" max="1" width="54" customWidth="1"/>
    <col min="2" max="3" width="16" customWidth="1"/>
    <col min="4" max="4" width="14" customWidth="1"/>
    <col min="5" max="29" width="12" customWidth="1"/>
  </cols>
  <sheetData>
    <row r="1" spans="1:1" x14ac:dyDescent="0.25">
      <c r="A1" s="1" t="s">
        <v>0</v>
      </c>
    </row>
    <row r="2" spans="1:1" x14ac:dyDescent="0.25">
      <c r="A2" s="2" t="s">
        <v>67</v>
      </c>
    </row>
    <row r="3" spans="1:4" x14ac:dyDescent="0.25">
      <c r="A3" s="14" t="s">
        <v>68</v>
      </c>
      <c r="B3" s="15" t="s">
        <v>69</v>
      </c>
      <c r="C3" s="16" t="s">
        <v>70</v>
      </c>
      <c r="D3" s="17" t="s">
        <v>71</v>
      </c>
    </row>
    <row r="4" spans="1:1" x14ac:dyDescent="0.25">
      <c r="A4" s="3" t="s">
        <v>72</v>
      </c>
    </row>
    <row r="5" spans="1:29" x14ac:dyDescent="0.25">
      <c r="A5" s="18" t="s">
        <v>73</v>
      </c>
      <c r="B5" s="18" t="s">
        <v>74</v>
      </c>
      <c r="C5" s="19" t="s">
        <v>75</v>
      </c>
      <c r="D5" s="19" t="s">
        <v>76</v>
      </c>
      <c r="E5" s="20">
        <v>1</v>
      </c>
      <c r="F5" s="20">
        <f>E5+1</f>
        <v>2</v>
      </c>
      <c r="G5" s="20">
        <f>F5+1</f>
        <v>3</v>
      </c>
      <c r="H5" s="20">
        <f>G5+1</f>
        <v>4</v>
      </c>
      <c r="I5" s="20">
        <f>H5+1</f>
        <v>5</v>
      </c>
      <c r="J5" s="20">
        <f>I5+1</f>
        <v>6</v>
      </c>
      <c r="K5" s="20">
        <f>J5+1</f>
        <v>7</v>
      </c>
      <c r="L5" s="20">
        <f>K5+1</f>
        <v>8</v>
      </c>
      <c r="M5" s="20">
        <f>L5+1</f>
        <v>9</v>
      </c>
      <c r="N5" s="20">
        <f>M5+1</f>
        <v>10</v>
      </c>
      <c r="O5" s="20">
        <f>N5+1</f>
        <v>11</v>
      </c>
      <c r="P5" s="20">
        <f>O5+1</f>
        <v>12</v>
      </c>
      <c r="Q5" s="20">
        <f>P5+1</f>
        <v>13</v>
      </c>
      <c r="R5" s="20">
        <f>Q5+1</f>
        <v>14</v>
      </c>
      <c r="S5" s="20">
        <f>R5+1</f>
        <v>15</v>
      </c>
      <c r="T5" s="20">
        <f>S5+1</f>
        <v>16</v>
      </c>
      <c r="U5" s="20">
        <f>T5+1</f>
        <v>17</v>
      </c>
      <c r="V5" s="20">
        <f>U5+1</f>
        <v>18</v>
      </c>
      <c r="W5" s="20">
        <f>V5+1</f>
        <v>19</v>
      </c>
      <c r="X5" s="20">
        <f>W5+1</f>
        <v>20</v>
      </c>
      <c r="Y5" s="20">
        <f>X5+1</f>
        <v>21</v>
      </c>
      <c r="Z5" s="20">
        <f>Y5+1</f>
        <v>22</v>
      </c>
      <c r="AA5" s="20">
        <f>Z5+1</f>
        <v>23</v>
      </c>
      <c r="AB5" s="20">
        <f>AA5+1</f>
        <v>24</v>
      </c>
      <c r="AC5" s="20">
        <f>AB5+1</f>
        <v>25</v>
      </c>
    </row>
    <row r="7" ht="20" customHeight="1" spans="1:29" x14ac:dyDescent="0.25">
      <c r="A7" s="21" t="s">
        <v>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</row>
    <row r="8" spans="1:6" x14ac:dyDescent="0.25">
      <c r="A8" s="23"/>
      <c r="B8" s="23"/>
      <c r="C8" s="24" t="s">
        <v>77</v>
      </c>
      <c r="D8" s="24" t="s">
        <v>78</v>
      </c>
      <c r="E8" s="24" t="s">
        <v>79</v>
      </c>
      <c r="F8" s="24" t="s">
        <v>80</v>
      </c>
    </row>
    <row r="9" spans="1:6" x14ac:dyDescent="0.25">
      <c r="A9" s="25" t="s">
        <v>81</v>
      </c>
      <c r="B9" s="26" t="s">
        <v>82</v>
      </c>
      <c r="C9" s="27">
        <f>$C$29</f>
        <v>6.862973373281049</v>
      </c>
      <c r="D9" s="28">
        <v>6.862973373281049</v>
      </c>
      <c r="E9" s="29">
        <f>IF(ISNUMBER(C9),C9-D9,"")</f>
        <v>0</v>
      </c>
      <c r="F9" s="12" t="str">
        <f>IF(ISNUMBER(E9),IF(ABS(E9)&lt;=0.000006862973373281049,"Yes","Changed"),"")</f>
        <v>Yes</v>
      </c>
    </row>
    <row r="10" spans="1:6" x14ac:dyDescent="0.25">
      <c r="A10" s="25" t="s">
        <v>7</v>
      </c>
      <c r="B10" s="26" t="s">
        <v>83</v>
      </c>
      <c r="C10" s="30">
        <f>IFERROR(IRR(D170:AC170),"n/a")</f>
        <v>0.1400000000002308</v>
      </c>
      <c r="D10" s="31">
        <v>0.13999999993597156</v>
      </c>
      <c r="E10" s="32">
        <f>IF(ISNUMBER(C10),C10-D10,"")</f>
        <v>6.42592368205186e-11</v>
      </c>
      <c r="F10" s="12" t="str">
        <f>IF(ISNUMBER(E10),IF(ABS(E10)&lt;=0.00001,"Yes","Changed"),"")</f>
        <v>Yes</v>
      </c>
    </row>
    <row r="11" spans="1:6" x14ac:dyDescent="0.25">
      <c r="A11" s="33" t="s">
        <v>84</v>
      </c>
      <c r="B11" s="26" t="s">
        <v>83</v>
      </c>
      <c r="C11" s="34">
        <f>IFERROR($C$10-$C$66,"n/a")</f>
        <v>2.307876112439544e-13</v>
      </c>
      <c r="D11" s="31">
        <v>-6.402844920927464e-11</v>
      </c>
      <c r="E11" s="32">
        <f>IF(ISNUMBER(C11),C11-D11,"")</f>
        <v>6.42592368205186e-11</v>
      </c>
      <c r="F11" s="12" t="str">
        <f>IF(ISNUMBER(E11),IF(ABS(E11)&lt;=0.00001,"Yes","Changed"),"")</f>
        <v>Yes</v>
      </c>
    </row>
    <row r="12" spans="1:6" x14ac:dyDescent="0.25">
      <c r="A12" s="33" t="s">
        <v>9</v>
      </c>
      <c r="B12" s="26" t="s">
        <v>83</v>
      </c>
      <c r="C12" s="34">
        <f>IFERROR(IRR(D174:AC174),"n/a")</f>
        <v>0.09960296861088525</v>
      </c>
      <c r="D12" s="31">
        <v>0.09960296833771282</v>
      </c>
      <c r="E12" s="32">
        <f>IF(ISNUMBER(C12),C12-D12,"")</f>
        <v>2.731724291216153e-10</v>
      </c>
      <c r="F12" s="12" t="str">
        <f>IF(ISNUMBER(E12),IF(ABS(E12)&lt;=0.00001,"Yes","Changed"),"")</f>
        <v>Yes</v>
      </c>
    </row>
    <row r="13" spans="1:6" x14ac:dyDescent="0.25">
      <c r="A13" s="33" t="s">
        <v>85</v>
      </c>
      <c r="B13" s="26" t="s">
        <v>86</v>
      </c>
      <c r="C13" s="35">
        <f>D170+NPV($C$66,E170:AC170)</f>
        <v>1.3322676295501878e-13</v>
      </c>
      <c r="D13" s="36">
        <v>1.0125233984581428e-13</v>
      </c>
      <c r="E13" s="37">
        <f>IF(ISNUMBER(C13),C13-D13,"")</f>
        <v>3.197442310920451e-14</v>
      </c>
      <c r="F13" s="12" t="str">
        <f>IF(ISNUMBER(E13),IF(ABS(E13)&lt;=0.000001,"Yes","Changed"),"")</f>
        <v>Yes</v>
      </c>
    </row>
    <row r="14" spans="1:6" x14ac:dyDescent="0.25">
      <c r="A14" s="33" t="s">
        <v>87</v>
      </c>
      <c r="B14" s="26" t="s">
        <v>86</v>
      </c>
      <c r="C14" s="35">
        <f>D174+NPV($C$67,E174:AC174)</f>
        <v>-4.321002952722665</v>
      </c>
      <c r="D14" s="36">
        <v>-4.321002952722338</v>
      </c>
      <c r="E14" s="37">
        <f>IF(ISNUMBER(C14),C14-D14,"")</f>
        <v>-3.268496584496461e-13</v>
      </c>
      <c r="F14" s="12" t="str">
        <f>IF(ISNUMBER(E14),IF(ABS(E14)&lt;=0.000004321002952722338,"Yes","Changed"),"")</f>
        <v>Yes</v>
      </c>
    </row>
    <row r="15" spans="1:6" x14ac:dyDescent="0.25">
      <c r="A15" s="33" t="s">
        <v>11</v>
      </c>
      <c r="B15" s="26" t="s">
        <v>88</v>
      </c>
      <c r="C15" s="38">
        <f>IF(COUNT(E167:AC167)=0,"",MIN(E167:AC167))</f>
        <v>1.1346102119101011</v>
      </c>
      <c r="D15" s="39">
        <v>1.1346102119101011</v>
      </c>
      <c r="E15" s="40">
        <f>IF(ISNUMBER(C15),C15-D15,"")</f>
        <v>0</v>
      </c>
      <c r="F15" s="12" t="str">
        <f>IF(ISNUMBER(E15),IF(ABS(E15)&lt;=0.0000011346102119101011,"Yes","Changed"),"")</f>
        <v>Yes</v>
      </c>
    </row>
    <row r="16" spans="1:6" x14ac:dyDescent="0.25">
      <c r="A16" s="33" t="s">
        <v>12</v>
      </c>
      <c r="B16" s="26" t="s">
        <v>88</v>
      </c>
      <c r="C16" s="38">
        <f>IF(COUNT(E167:AC167)=0,"",AVERAGE(E167:AC167))</f>
        <v>1.5575634015514492</v>
      </c>
      <c r="D16" s="39">
        <v>1.557563401551449</v>
      </c>
      <c r="E16" s="40">
        <f>IF(ISNUMBER(C16),C16-D16,"")</f>
        <v>2.220446049250313e-16</v>
      </c>
      <c r="F16" s="12" t="str">
        <f>IF(ISNUMBER(E16),IF(ABS(E16)&lt;=0.000001557563401551449,"Yes","Changed"),"")</f>
        <v>Yes</v>
      </c>
    </row>
    <row r="17" spans="1:6" x14ac:dyDescent="0.25">
      <c r="A17" s="33" t="s">
        <v>89</v>
      </c>
      <c r="B17" s="26" t="s">
        <v>82</v>
      </c>
      <c r="C17" s="41">
        <f>IF(C179&gt;0,($C$84+C178)*10/C179,"")</f>
        <v>5.40586609342712</v>
      </c>
      <c r="D17" s="28">
        <v>5.405866093427118</v>
      </c>
      <c r="E17" s="29">
        <f>IF(ISNUMBER(C17),C17-D17,"")</f>
        <v>1.7763568394002505e-15</v>
      </c>
      <c r="F17" s="12" t="str">
        <f>IF(ISNUMBER(E17),IF(ABS(E17)&lt;=0.000005405866093427118,"Yes","Changed"),"")</f>
        <v>Yes</v>
      </c>
    </row>
    <row r="18" spans="1:6" x14ac:dyDescent="0.25">
      <c r="A18" s="33" t="s">
        <v>90</v>
      </c>
      <c r="B18" s="26" t="s">
        <v>82</v>
      </c>
      <c r="C18" s="41">
        <f>IF(C179&gt;0,C180*10/C179,"")</f>
        <v>6.86297337328105</v>
      </c>
      <c r="D18" s="28">
        <v>6.862973373281049</v>
      </c>
      <c r="E18" s="29">
        <f>IF(ISNUMBER(C18),C18-D18,"")</f>
        <v>8.881784197001252e-16</v>
      </c>
      <c r="F18" s="12" t="str">
        <f>IF(ISNUMBER(E18),IF(ABS(E18)&lt;=0.000006862973373281049,"Yes","Changed"),"")</f>
        <v>Yes</v>
      </c>
    </row>
    <row r="19" spans="1:6" x14ac:dyDescent="0.25">
      <c r="A19" s="33" t="s">
        <v>91</v>
      </c>
      <c r="B19" s="26" t="s">
        <v>92</v>
      </c>
      <c r="C19" s="42">
        <f>IF(COUNT(E172:AC172)=0,"beyond the term",MIN(E172:AC172))</f>
        <v>8</v>
      </c>
      <c r="D19" s="43">
        <v>8</v>
      </c>
      <c r="E19" s="44">
        <f>IF(ISNUMBER(C19),C19-D19,"")</f>
        <v>0</v>
      </c>
      <c r="F19" s="12" t="str">
        <f>IF(ISNUMBER(E19),IF(ABS(E19)&lt;=0.000008,"Yes","Changed"),"")</f>
        <v>Yes</v>
      </c>
    </row>
    <row r="20" spans="1:6" x14ac:dyDescent="0.25">
      <c r="A20" s="33" t="s">
        <v>93</v>
      </c>
      <c r="B20" s="26" t="s">
        <v>86</v>
      </c>
      <c r="C20" s="35">
        <f>$C$84</f>
        <v>1546.7429834360485</v>
      </c>
      <c r="D20" s="36">
        <v>1546.7429834360485</v>
      </c>
      <c r="E20" s="37">
        <f>IF(ISNUMBER(C20),C20-D20,"")</f>
        <v>0</v>
      </c>
      <c r="F20" s="12" t="str">
        <f>IF(ISNUMBER(E20),IF(ABS(E20)&lt;=0.0015467429834360483,"Yes","Changed"),"")</f>
        <v>Yes</v>
      </c>
    </row>
    <row r="21" spans="1:6" x14ac:dyDescent="0.25">
      <c r="A21" s="33" t="s">
        <v>94</v>
      </c>
      <c r="B21" s="26" t="s">
        <v>86</v>
      </c>
      <c r="C21" s="35">
        <f>$C$85</f>
        <v>1082.7200884052338</v>
      </c>
      <c r="D21" s="36">
        <v>1082.7200884052338</v>
      </c>
      <c r="E21" s="37">
        <f>IF(ISNUMBER(C21),C21-D21,"")</f>
        <v>0</v>
      </c>
      <c r="F21" s="12" t="str">
        <f>IF(ISNUMBER(E21),IF(ABS(E21)&lt;=0.0010827200884052338,"Yes","Changed"),"")</f>
        <v>Yes</v>
      </c>
    </row>
    <row r="22" spans="1:6" x14ac:dyDescent="0.25">
      <c r="A22" s="33" t="s">
        <v>95</v>
      </c>
      <c r="B22" s="26" t="s">
        <v>86</v>
      </c>
      <c r="C22" s="35">
        <f>$C$86</f>
        <v>464.02289503081465</v>
      </c>
      <c r="D22" s="36">
        <v>464.02289503081465</v>
      </c>
      <c r="E22" s="37">
        <f>IF(ISNUMBER(C22),C22-D22,"")</f>
        <v>0</v>
      </c>
      <c r="F22" s="12" t="str">
        <f>IF(ISNUMBER(E22),IF(ABS(E22)&lt;=0.0004640228950308146,"Yes","Changed"),"")</f>
        <v>Yes</v>
      </c>
    </row>
    <row r="23" spans="1:6" x14ac:dyDescent="0.25">
      <c r="A23" s="33" t="s">
        <v>96</v>
      </c>
      <c r="B23" s="26" t="s">
        <v>86</v>
      </c>
      <c r="C23" s="35">
        <f>C115</f>
        <v>5945.442664332967</v>
      </c>
      <c r="D23" s="36">
        <v>5945.442664332968</v>
      </c>
      <c r="E23" s="37">
        <f>IF(ISNUMBER(C23),C23-D23,"")</f>
        <v>-9.094947017729282e-13</v>
      </c>
      <c r="F23" s="12" t="str">
        <f>IF(ISNUMBER(E23),IF(ABS(E23)&lt;=0.0059454426643329675,"Yes","Changed"),"")</f>
        <v>Yes</v>
      </c>
    </row>
    <row r="24" spans="1:6" x14ac:dyDescent="0.25">
      <c r="A24" s="33" t="s">
        <v>97</v>
      </c>
      <c r="C24" s="45" t="str">
        <f>IF(AND($C$194="OK",$C$195="OK",$C$196="OK",$C$197="OK"),"OK","CHECK")</f>
        <v>OK</v>
      </c>
      <c r="F24" s="12" t="str">
        <f>IF(C24="OK","OK","CHECK")</f>
        <v>OK</v>
      </c>
    </row>
    <row r="25" spans="1:1" x14ac:dyDescent="0.25">
      <c r="A25" s="13" t="s">
        <v>98</v>
      </c>
    </row>
    <row r="27" ht="20" customHeight="1" spans="1:29" x14ac:dyDescent="0.25">
      <c r="A27" s="21" t="s">
        <v>99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 spans="1:4" x14ac:dyDescent="0.25">
      <c r="A28" s="46" t="s">
        <v>100</v>
      </c>
      <c r="B28" s="47"/>
      <c r="C28" s="47"/>
      <c r="D28" s="47"/>
    </row>
    <row r="29" spans="1:4" x14ac:dyDescent="0.25">
      <c r="A29" s="33" t="s">
        <v>81</v>
      </c>
      <c r="B29" s="26" t="s">
        <v>82</v>
      </c>
      <c r="C29" s="48">
        <v>6.862973373281049</v>
      </c>
      <c r="D29" s="3" t="s">
        <v>101</v>
      </c>
    </row>
    <row r="30" spans="1:4" x14ac:dyDescent="0.25">
      <c r="A30" s="33" t="s">
        <v>102</v>
      </c>
      <c r="B30" s="26" t="s">
        <v>103</v>
      </c>
      <c r="C30" s="49">
        <v>0</v>
      </c>
      <c r="D30" s="50" t="s">
        <v>104</v>
      </c>
    </row>
    <row r="31" spans="1:4" x14ac:dyDescent="0.25">
      <c r="A31" s="46" t="s">
        <v>105</v>
      </c>
      <c r="B31" s="47"/>
      <c r="C31" s="47"/>
      <c r="D31" s="47"/>
    </row>
    <row r="32" spans="1:4" x14ac:dyDescent="0.25">
      <c r="A32" s="33" t="s">
        <v>38</v>
      </c>
      <c r="B32" s="26" t="s">
        <v>106</v>
      </c>
      <c r="C32" s="51">
        <v>127.63570579650927</v>
      </c>
      <c r="D32" s="3" t="s">
        <v>107</v>
      </c>
    </row>
    <row r="33" spans="1:4" x14ac:dyDescent="0.25">
      <c r="A33" s="33" t="s">
        <v>40</v>
      </c>
      <c r="B33" s="26" t="s">
        <v>106</v>
      </c>
      <c r="C33" s="51">
        <v>70.2498886986311</v>
      </c>
      <c r="D33" s="3" t="s">
        <v>107</v>
      </c>
    </row>
    <row r="34" spans="1:4" x14ac:dyDescent="0.25">
      <c r="A34" s="33" t="s">
        <v>108</v>
      </c>
      <c r="B34" s="26" t="s">
        <v>106</v>
      </c>
      <c r="C34" s="51">
        <v>105.40030331796672</v>
      </c>
      <c r="D34" s="3" t="s">
        <v>107</v>
      </c>
    </row>
    <row r="35" spans="1:4" x14ac:dyDescent="0.25">
      <c r="A35" s="33" t="s">
        <v>109</v>
      </c>
      <c r="B35" s="26" t="s">
        <v>110</v>
      </c>
      <c r="C35" s="51">
        <v>421.60121327186687</v>
      </c>
      <c r="D35" s="3" t="s">
        <v>107</v>
      </c>
    </row>
    <row r="36" spans="1:4" x14ac:dyDescent="0.25">
      <c r="A36" s="46" t="s">
        <v>111</v>
      </c>
      <c r="B36" s="47"/>
      <c r="C36" s="47"/>
      <c r="D36" s="47"/>
    </row>
    <row r="37" spans="1:4" x14ac:dyDescent="0.25">
      <c r="A37" s="33" t="s">
        <v>38</v>
      </c>
      <c r="B37" s="26" t="s">
        <v>112</v>
      </c>
      <c r="C37" s="52">
        <v>4</v>
      </c>
      <c r="D37" s="50" t="s">
        <v>104</v>
      </c>
    </row>
    <row r="38" spans="1:4" x14ac:dyDescent="0.25">
      <c r="A38" s="33" t="s">
        <v>40</v>
      </c>
      <c r="B38" s="26" t="s">
        <v>112</v>
      </c>
      <c r="C38" s="52">
        <v>6.5</v>
      </c>
      <c r="D38" s="50" t="s">
        <v>104</v>
      </c>
    </row>
    <row r="39" spans="1:4" x14ac:dyDescent="0.25">
      <c r="A39" s="33" t="s">
        <v>109</v>
      </c>
      <c r="B39" s="26" t="s">
        <v>113</v>
      </c>
      <c r="C39" s="52">
        <v>1.2</v>
      </c>
      <c r="D39" s="50" t="s">
        <v>104</v>
      </c>
    </row>
    <row r="40" spans="1:4" x14ac:dyDescent="0.25">
      <c r="A40" s="33" t="s">
        <v>114</v>
      </c>
      <c r="B40" s="26" t="s">
        <v>112</v>
      </c>
      <c r="C40" s="52">
        <v>0</v>
      </c>
      <c r="D40" s="3" t="s">
        <v>115</v>
      </c>
    </row>
    <row r="41" spans="1:4" x14ac:dyDescent="0.25">
      <c r="A41" s="33" t="s">
        <v>116</v>
      </c>
      <c r="B41" s="26" t="s">
        <v>86</v>
      </c>
      <c r="C41" s="53">
        <v>0</v>
      </c>
      <c r="D41" s="50" t="s">
        <v>104</v>
      </c>
    </row>
    <row r="42" spans="1:4" x14ac:dyDescent="0.25">
      <c r="A42" s="33" t="s">
        <v>117</v>
      </c>
      <c r="B42" s="26" t="s">
        <v>118</v>
      </c>
      <c r="C42" s="49">
        <v>0.05</v>
      </c>
      <c r="D42" s="50" t="s">
        <v>104</v>
      </c>
    </row>
    <row r="43" spans="1:4" x14ac:dyDescent="0.25">
      <c r="A43" s="46" t="s">
        <v>119</v>
      </c>
      <c r="B43" s="47"/>
      <c r="C43" s="47"/>
      <c r="D43" s="47"/>
    </row>
    <row r="44" spans="1:4" x14ac:dyDescent="0.25">
      <c r="A44" s="33" t="s">
        <v>120</v>
      </c>
      <c r="B44" s="26" t="s">
        <v>121</v>
      </c>
      <c r="C44" s="52">
        <v>4</v>
      </c>
      <c r="D44" s="50" t="s">
        <v>104</v>
      </c>
    </row>
    <row r="45" spans="1:4" x14ac:dyDescent="0.25">
      <c r="A45" s="33" t="s">
        <v>122</v>
      </c>
      <c r="B45" s="26" t="s">
        <v>121</v>
      </c>
      <c r="C45" s="52">
        <v>9</v>
      </c>
      <c r="D45" s="50" t="s">
        <v>104</v>
      </c>
    </row>
    <row r="46" spans="1:4" x14ac:dyDescent="0.25">
      <c r="A46" s="33" t="s">
        <v>123</v>
      </c>
      <c r="B46" s="26" t="s">
        <v>124</v>
      </c>
      <c r="C46" s="52">
        <v>1.2</v>
      </c>
      <c r="D46" s="50" t="s">
        <v>104</v>
      </c>
    </row>
    <row r="47" spans="1:4" x14ac:dyDescent="0.25">
      <c r="A47" s="33" t="s">
        <v>125</v>
      </c>
      <c r="B47" s="26" t="s">
        <v>103</v>
      </c>
      <c r="C47" s="49">
        <v>0.05</v>
      </c>
      <c r="D47" s="50" t="s">
        <v>104</v>
      </c>
    </row>
    <row r="48" spans="1:4" x14ac:dyDescent="0.25">
      <c r="A48" s="33" t="s">
        <v>126</v>
      </c>
      <c r="B48" s="26" t="s">
        <v>127</v>
      </c>
      <c r="C48" s="49">
        <v>0.003</v>
      </c>
      <c r="D48" s="50" t="s">
        <v>104</v>
      </c>
    </row>
    <row r="49" spans="1:4" x14ac:dyDescent="0.25">
      <c r="A49" s="33" t="s">
        <v>128</v>
      </c>
      <c r="B49" s="26" t="s">
        <v>129</v>
      </c>
      <c r="C49" s="53">
        <v>0</v>
      </c>
      <c r="D49" s="3" t="s">
        <v>130</v>
      </c>
    </row>
    <row r="50" spans="1:4" x14ac:dyDescent="0.25">
      <c r="A50" s="46" t="s">
        <v>131</v>
      </c>
      <c r="B50" s="47"/>
      <c r="C50" s="47"/>
      <c r="D50" s="47"/>
    </row>
    <row r="51" spans="1:4" x14ac:dyDescent="0.25">
      <c r="A51" s="33" t="s">
        <v>132</v>
      </c>
      <c r="B51" s="26" t="s">
        <v>133</v>
      </c>
      <c r="C51" s="54" t="s">
        <v>134</v>
      </c>
      <c r="D51" s="50" t="s">
        <v>104</v>
      </c>
    </row>
    <row r="52" spans="1:4" x14ac:dyDescent="0.25">
      <c r="A52" s="33" t="s">
        <v>135</v>
      </c>
      <c r="B52" s="26" t="s">
        <v>82</v>
      </c>
      <c r="C52" s="48">
        <v>0</v>
      </c>
      <c r="D52" s="3" t="s">
        <v>136</v>
      </c>
    </row>
    <row r="53" spans="1:4" x14ac:dyDescent="0.25">
      <c r="A53" s="33" t="s">
        <v>137</v>
      </c>
      <c r="B53" s="26" t="s">
        <v>138</v>
      </c>
      <c r="C53" s="49">
        <v>0</v>
      </c>
      <c r="D53" s="3" t="s">
        <v>48</v>
      </c>
    </row>
    <row r="54" spans="1:4" x14ac:dyDescent="0.25">
      <c r="A54" s="33" t="s">
        <v>139</v>
      </c>
      <c r="B54" s="26" t="s">
        <v>140</v>
      </c>
      <c r="C54" s="48">
        <v>0</v>
      </c>
      <c r="D54" s="3" t="s">
        <v>130</v>
      </c>
    </row>
    <row r="55" spans="1:4" x14ac:dyDescent="0.25">
      <c r="A55" s="33" t="s">
        <v>141</v>
      </c>
      <c r="B55" s="26" t="s">
        <v>142</v>
      </c>
      <c r="C55" s="55">
        <v>1.5</v>
      </c>
      <c r="D55" s="3" t="s">
        <v>48</v>
      </c>
    </row>
    <row r="56" spans="1:4" x14ac:dyDescent="0.25">
      <c r="A56" s="46" t="s">
        <v>143</v>
      </c>
      <c r="B56" s="47"/>
      <c r="C56" s="47"/>
      <c r="D56" s="47"/>
    </row>
    <row r="57" spans="1:4" x14ac:dyDescent="0.25">
      <c r="A57" s="33" t="s">
        <v>144</v>
      </c>
      <c r="B57" s="26" t="s">
        <v>145</v>
      </c>
      <c r="C57" s="54" t="s">
        <v>146</v>
      </c>
      <c r="D57" s="50" t="s">
        <v>104</v>
      </c>
    </row>
    <row r="58" spans="1:4" x14ac:dyDescent="0.25">
      <c r="A58" s="33" t="s">
        <v>147</v>
      </c>
      <c r="B58" s="26" t="s">
        <v>103</v>
      </c>
      <c r="C58" s="49">
        <v>0.02</v>
      </c>
      <c r="D58" s="50" t="s">
        <v>104</v>
      </c>
    </row>
    <row r="59" spans="1:4" x14ac:dyDescent="0.25">
      <c r="A59" s="33" t="s">
        <v>148</v>
      </c>
      <c r="B59" s="26" t="s">
        <v>92</v>
      </c>
      <c r="C59" s="56">
        <v>12</v>
      </c>
      <c r="D59" s="3" t="s">
        <v>149</v>
      </c>
    </row>
    <row r="60" spans="1:4" x14ac:dyDescent="0.25">
      <c r="A60" s="33" t="s">
        <v>150</v>
      </c>
      <c r="B60" s="26" t="s">
        <v>103</v>
      </c>
      <c r="C60" s="49">
        <v>0</v>
      </c>
      <c r="D60" s="3" t="s">
        <v>130</v>
      </c>
    </row>
    <row r="61" spans="1:4" x14ac:dyDescent="0.25">
      <c r="A61" s="46" t="s">
        <v>44</v>
      </c>
      <c r="B61" s="47"/>
      <c r="C61" s="47"/>
      <c r="D61" s="47"/>
    </row>
    <row r="62" spans="1:4" x14ac:dyDescent="0.25">
      <c r="A62" s="33" t="s">
        <v>151</v>
      </c>
      <c r="B62" s="26" t="s">
        <v>152</v>
      </c>
      <c r="C62" s="49">
        <v>0.7</v>
      </c>
      <c r="D62" s="50" t="s">
        <v>104</v>
      </c>
    </row>
    <row r="63" spans="1:4" x14ac:dyDescent="0.25">
      <c r="A63" s="33" t="s">
        <v>153</v>
      </c>
      <c r="B63" s="26" t="s">
        <v>103</v>
      </c>
      <c r="C63" s="49">
        <v>0.09</v>
      </c>
      <c r="D63" s="50" t="s">
        <v>104</v>
      </c>
    </row>
    <row r="64" spans="1:4" x14ac:dyDescent="0.25">
      <c r="A64" s="33" t="s">
        <v>154</v>
      </c>
      <c r="B64" s="26" t="s">
        <v>155</v>
      </c>
      <c r="C64" s="56">
        <v>15</v>
      </c>
      <c r="D64" s="50" t="s">
        <v>104</v>
      </c>
    </row>
    <row r="65" spans="1:4" x14ac:dyDescent="0.25">
      <c r="A65" s="33" t="s">
        <v>156</v>
      </c>
      <c r="B65" s="26" t="s">
        <v>157</v>
      </c>
      <c r="C65" s="54" t="s">
        <v>158</v>
      </c>
      <c r="D65" s="3" t="s">
        <v>130</v>
      </c>
    </row>
    <row r="66" spans="1:4" x14ac:dyDescent="0.25">
      <c r="A66" s="33" t="s">
        <v>159</v>
      </c>
      <c r="B66" s="26" t="s">
        <v>83</v>
      </c>
      <c r="C66" s="49">
        <v>0.14</v>
      </c>
      <c r="D66" s="50" t="s">
        <v>104</v>
      </c>
    </row>
    <row r="67" spans="1:4" x14ac:dyDescent="0.25">
      <c r="A67" s="33" t="s">
        <v>160</v>
      </c>
      <c r="B67" s="26" t="s">
        <v>83</v>
      </c>
      <c r="C67" s="49">
        <v>0.1</v>
      </c>
      <c r="D67" s="3" t="s">
        <v>130</v>
      </c>
    </row>
    <row r="68" spans="1:4" x14ac:dyDescent="0.25">
      <c r="A68" s="46" t="s">
        <v>161</v>
      </c>
      <c r="B68" s="47"/>
      <c r="C68" s="47"/>
      <c r="D68" s="47"/>
    </row>
    <row r="69" spans="1:4" x14ac:dyDescent="0.25">
      <c r="A69" s="33" t="s">
        <v>162</v>
      </c>
      <c r="B69" s="26" t="s">
        <v>83</v>
      </c>
      <c r="C69" s="49">
        <v>0.2517</v>
      </c>
      <c r="D69" s="50" t="s">
        <v>104</v>
      </c>
    </row>
    <row r="70" spans="1:4" x14ac:dyDescent="0.25">
      <c r="A70" s="33" t="s">
        <v>163</v>
      </c>
      <c r="B70" s="26" t="s">
        <v>164</v>
      </c>
      <c r="C70" s="54" t="s">
        <v>165</v>
      </c>
      <c r="D70" s="3" t="s">
        <v>130</v>
      </c>
    </row>
    <row r="71" spans="1:4" x14ac:dyDescent="0.25">
      <c r="A71" s="33" t="s">
        <v>166</v>
      </c>
      <c r="B71" s="26" t="s">
        <v>103</v>
      </c>
      <c r="C71" s="49">
        <v>0.4</v>
      </c>
      <c r="D71" s="3" t="s">
        <v>130</v>
      </c>
    </row>
    <row r="72" spans="1:4" x14ac:dyDescent="0.25">
      <c r="A72" s="33" t="s">
        <v>167</v>
      </c>
      <c r="B72" s="26" t="s">
        <v>155</v>
      </c>
      <c r="C72" s="56">
        <v>25</v>
      </c>
      <c r="D72" s="3" t="s">
        <v>130</v>
      </c>
    </row>
    <row r="73" spans="1:4" x14ac:dyDescent="0.25">
      <c r="A73" s="33" t="s">
        <v>168</v>
      </c>
      <c r="B73" s="26" t="s">
        <v>152</v>
      </c>
      <c r="C73" s="49">
        <v>0.1</v>
      </c>
      <c r="D73" s="3" t="s">
        <v>130</v>
      </c>
    </row>
    <row r="74" spans="1:4" x14ac:dyDescent="0.25">
      <c r="A74" s="33" t="s">
        <v>169</v>
      </c>
      <c r="B74" s="26" t="s">
        <v>170</v>
      </c>
      <c r="C74" s="56">
        <v>45</v>
      </c>
      <c r="D74" s="3" t="s">
        <v>130</v>
      </c>
    </row>
    <row r="76" ht="20" customHeight="1" spans="1:29" x14ac:dyDescent="0.25">
      <c r="A76" s="21" t="s">
        <v>171</v>
      </c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</row>
    <row r="77" spans="1:3" x14ac:dyDescent="0.25">
      <c r="A77" s="33" t="s">
        <v>38</v>
      </c>
      <c r="B77" s="26" t="s">
        <v>86</v>
      </c>
      <c r="C77" s="37">
        <f>$C$32*$C$37</f>
        <v>510.5428231860371</v>
      </c>
    </row>
    <row r="78" spans="1:3" x14ac:dyDescent="0.25">
      <c r="A78" s="33" t="s">
        <v>40</v>
      </c>
      <c r="B78" s="26" t="s">
        <v>86</v>
      </c>
      <c r="C78" s="37">
        <f>$C$33*$C$38</f>
        <v>456.6242765411021</v>
      </c>
    </row>
    <row r="79" spans="1:3" x14ac:dyDescent="0.25">
      <c r="A79" s="33" t="s">
        <v>109</v>
      </c>
      <c r="B79" s="26" t="s">
        <v>86</v>
      </c>
      <c r="C79" s="37">
        <f>$C$35*$C$39</f>
        <v>505.92145592624024</v>
      </c>
    </row>
    <row r="80" spans="1:3" x14ac:dyDescent="0.25">
      <c r="A80" s="33" t="s">
        <v>114</v>
      </c>
      <c r="B80" s="26" t="s">
        <v>86</v>
      </c>
      <c r="C80" s="37">
        <f>$C$34*$C$40</f>
        <v>0</v>
      </c>
    </row>
    <row r="81" spans="1:3" x14ac:dyDescent="0.25">
      <c r="A81" s="33" t="s">
        <v>116</v>
      </c>
      <c r="B81" s="26" t="s">
        <v>86</v>
      </c>
      <c r="C81" s="37">
        <f>$C$41</f>
        <v>0</v>
      </c>
    </row>
    <row r="82" spans="1:3" x14ac:dyDescent="0.25">
      <c r="A82" s="25" t="s">
        <v>172</v>
      </c>
      <c r="B82" s="26" t="s">
        <v>86</v>
      </c>
      <c r="C82" s="57">
        <f>SUM($C$77:$C$81)</f>
        <v>1473.0885556533794</v>
      </c>
    </row>
    <row r="83" spans="1:3" x14ac:dyDescent="0.25">
      <c r="A83" s="33" t="s">
        <v>117</v>
      </c>
      <c r="B83" s="26" t="s">
        <v>86</v>
      </c>
      <c r="C83" s="37">
        <f>$C$82*$C$42</f>
        <v>73.65442778266898</v>
      </c>
    </row>
    <row r="84" spans="1:3" x14ac:dyDescent="0.25">
      <c r="A84" s="25" t="s">
        <v>173</v>
      </c>
      <c r="B84" s="26" t="s">
        <v>86</v>
      </c>
      <c r="C84" s="57">
        <f>$C$82+$C$83</f>
        <v>1546.7429834360485</v>
      </c>
    </row>
    <row r="85" spans="1:3" x14ac:dyDescent="0.25">
      <c r="A85" s="33" t="s">
        <v>94</v>
      </c>
      <c r="B85" s="26" t="s">
        <v>86</v>
      </c>
      <c r="C85" s="37">
        <f>$C$84*$C$62</f>
        <v>1082.7200884052338</v>
      </c>
    </row>
    <row r="86" spans="1:3" x14ac:dyDescent="0.25">
      <c r="A86" s="33" t="s">
        <v>95</v>
      </c>
      <c r="B86" s="26" t="s">
        <v>86</v>
      </c>
      <c r="C86" s="37">
        <f>$C$84-$C$85</f>
        <v>464.02289503081465</v>
      </c>
    </row>
    <row r="87" spans="1:3" x14ac:dyDescent="0.25">
      <c r="A87" s="33" t="s">
        <v>174</v>
      </c>
      <c r="B87" s="26" t="s">
        <v>155</v>
      </c>
      <c r="C87" s="44">
        <f>COUNT(E5:AC5)</f>
        <v>25</v>
      </c>
    </row>
    <row r="88" spans="1:3" x14ac:dyDescent="0.25">
      <c r="A88" s="33" t="s">
        <v>175</v>
      </c>
      <c r="B88" s="26" t="s">
        <v>155</v>
      </c>
      <c r="C88" s="44">
        <f>MIN($C$87,MAX(1,ROUND($C$64,0)))</f>
        <v>15</v>
      </c>
    </row>
    <row r="89" spans="1:3" x14ac:dyDescent="0.25">
      <c r="A89" s="33" t="s">
        <v>176</v>
      </c>
      <c r="B89" s="26" t="s">
        <v>129</v>
      </c>
      <c r="C89" s="37">
        <f>IF($C$63&lt;=0,$C$85/$C$88,$C$85*$C$63*(1+$C$63)^$C$88/((1+$C$63)^$C$88-1))</f>
        <v>134.3210443905982</v>
      </c>
    </row>
    <row r="90" spans="1:3" x14ac:dyDescent="0.25">
      <c r="A90" s="33" t="s">
        <v>177</v>
      </c>
      <c r="B90" s="26" t="s">
        <v>129</v>
      </c>
      <c r="C90" s="37">
        <f>$C$85/$C$88</f>
        <v>72.18133922701558</v>
      </c>
    </row>
    <row r="91" spans="1:3" x14ac:dyDescent="0.25">
      <c r="A91" s="33" t="s">
        <v>178</v>
      </c>
      <c r="B91" s="26" t="s">
        <v>86</v>
      </c>
      <c r="C91" s="37">
        <f>$C$84*(1-$C$73)</f>
        <v>1392.0686850924437</v>
      </c>
    </row>
    <row r="92" spans="1:3" x14ac:dyDescent="0.25">
      <c r="A92" s="33" t="s">
        <v>179</v>
      </c>
      <c r="B92" s="26" t="s">
        <v>129</v>
      </c>
      <c r="C92" s="37">
        <f>$C$91/$C$72</f>
        <v>55.682747403697746</v>
      </c>
    </row>
    <row r="94" ht="20" customHeight="1" spans="1:29" x14ac:dyDescent="0.25">
      <c r="A94" s="21" t="s">
        <v>180</v>
      </c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</row>
    <row r="95" spans="1:29" x14ac:dyDescent="0.25">
      <c r="A95" s="33" t="s">
        <v>181</v>
      </c>
      <c r="B95" s="26" t="s">
        <v>182</v>
      </c>
      <c r="C95" s="58">
        <f>SUM(E95:AC95)</f>
        <v>10950</v>
      </c>
      <c r="E95" s="51">
        <v>438</v>
      </c>
      <c r="F95" s="51">
        <v>438</v>
      </c>
      <c r="G95" s="51">
        <v>438</v>
      </c>
      <c r="H95" s="51">
        <v>438</v>
      </c>
      <c r="I95" s="51">
        <v>438</v>
      </c>
      <c r="J95" s="51">
        <v>438</v>
      </c>
      <c r="K95" s="51">
        <v>438</v>
      </c>
      <c r="L95" s="51">
        <v>438</v>
      </c>
      <c r="M95" s="51">
        <v>438</v>
      </c>
      <c r="N95" s="51">
        <v>438</v>
      </c>
      <c r="O95" s="51">
        <v>438</v>
      </c>
      <c r="P95" s="51">
        <v>438</v>
      </c>
      <c r="Q95" s="51">
        <v>438</v>
      </c>
      <c r="R95" s="51">
        <v>438</v>
      </c>
      <c r="S95" s="51">
        <v>438</v>
      </c>
      <c r="T95" s="51">
        <v>438</v>
      </c>
      <c r="U95" s="51">
        <v>438</v>
      </c>
      <c r="V95" s="51">
        <v>438</v>
      </c>
      <c r="W95" s="51">
        <v>438</v>
      </c>
      <c r="X95" s="51">
        <v>438</v>
      </c>
      <c r="Y95" s="51">
        <v>438</v>
      </c>
      <c r="Z95" s="51">
        <v>438</v>
      </c>
      <c r="AA95" s="51">
        <v>438</v>
      </c>
      <c r="AB95" s="51">
        <v>438</v>
      </c>
      <c r="AC95" s="51">
        <v>438</v>
      </c>
    </row>
    <row r="96" spans="1:29" x14ac:dyDescent="0.25">
      <c r="A96" s="33" t="s">
        <v>183</v>
      </c>
      <c r="B96" s="26" t="s">
        <v>182</v>
      </c>
      <c r="C96" s="58">
        <f>SUM(E96:AC96)</f>
        <v>9608.452034899072</v>
      </c>
      <c r="E96" s="51">
        <v>389.8663779793227</v>
      </c>
      <c r="F96" s="51">
        <v>389.4056865973761</v>
      </c>
      <c r="G96" s="51">
        <v>388.9449952154294</v>
      </c>
      <c r="H96" s="51">
        <v>388.4843038334828</v>
      </c>
      <c r="I96" s="51">
        <v>388.0236124515361</v>
      </c>
      <c r="J96" s="51">
        <v>387.56292106958944</v>
      </c>
      <c r="K96" s="51">
        <v>387.1022296876428</v>
      </c>
      <c r="L96" s="51">
        <v>386.64153830569614</v>
      </c>
      <c r="M96" s="51">
        <v>386.1808469237495</v>
      </c>
      <c r="N96" s="51">
        <v>385.7201555418029</v>
      </c>
      <c r="O96" s="51">
        <v>385.25946415985624</v>
      </c>
      <c r="P96" s="51">
        <v>384.7987727779096</v>
      </c>
      <c r="Q96" s="51">
        <v>384.338081395963</v>
      </c>
      <c r="R96" s="51">
        <v>383.8773900140163</v>
      </c>
      <c r="S96" s="51">
        <v>383.4166986320697</v>
      </c>
      <c r="T96" s="51">
        <v>382.95600725012304</v>
      </c>
      <c r="U96" s="51">
        <v>382.4953158681764</v>
      </c>
      <c r="V96" s="51">
        <v>382.03462448622975</v>
      </c>
      <c r="W96" s="51">
        <v>381.5739331042832</v>
      </c>
      <c r="X96" s="51">
        <v>381.1132417223365</v>
      </c>
      <c r="Y96" s="51">
        <v>380.65255034038984</v>
      </c>
      <c r="Z96" s="51">
        <v>380.1918589584432</v>
      </c>
      <c r="AA96" s="51">
        <v>379.73116757649655</v>
      </c>
      <c r="AB96" s="51">
        <v>379.27047619454993</v>
      </c>
      <c r="AC96" s="51">
        <v>378.80978481260325</v>
      </c>
    </row>
    <row r="97" spans="1:29" x14ac:dyDescent="0.25">
      <c r="A97" s="33" t="s">
        <v>184</v>
      </c>
      <c r="B97" s="26" t="s">
        <v>83</v>
      </c>
      <c r="E97" s="32">
        <f>IF(E95&gt;0,E96/E95,1)</f>
        <v>0.8901058857975404</v>
      </c>
      <c r="F97" s="32">
        <f>IF(F95&gt;0,F96/F95,1)</f>
        <v>0.8890540789894431</v>
      </c>
      <c r="G97" s="32">
        <f>IF(G95&gt;0,G96/G95,1)</f>
        <v>0.8880022721813456</v>
      </c>
      <c r="H97" s="32">
        <f>IF(H95&gt;0,H96/H95,1)</f>
        <v>0.8869504653732484</v>
      </c>
      <c r="I97" s="32">
        <f>IF(I95&gt;0,I96/I95,1)</f>
        <v>0.8858986585651509</v>
      </c>
      <c r="J97" s="32">
        <f>IF(J95&gt;0,J96/J95,1)</f>
        <v>0.8848468517570535</v>
      </c>
      <c r="K97" s="32">
        <f>IF(K95&gt;0,K96/K95,1)</f>
        <v>0.8837950449489562</v>
      </c>
      <c r="L97" s="32">
        <f>IF(L95&gt;0,L96/L95,1)</f>
        <v>0.8827432381408588</v>
      </c>
      <c r="M97" s="32">
        <f>IF(M95&gt;0,M96/M95,1)</f>
        <v>0.8816914313327615</v>
      </c>
      <c r="N97" s="32">
        <f>IF(N95&gt;0,N96/N95,1)</f>
        <v>0.8806396245246642</v>
      </c>
      <c r="O97" s="32">
        <f>IF(O95&gt;0,O96/O95,1)</f>
        <v>0.8795878177165668</v>
      </c>
      <c r="P97" s="32">
        <f>IF(P95&gt;0,P96/P95,1)</f>
        <v>0.8785360109084694</v>
      </c>
      <c r="Q97" s="32">
        <f>IF(Q95&gt;0,Q96/Q95,1)</f>
        <v>0.8774842041003722</v>
      </c>
      <c r="R97" s="32">
        <f>IF(R95&gt;0,R96/R95,1)</f>
        <v>0.8764323972922747</v>
      </c>
      <c r="S97" s="32">
        <f>IF(S95&gt;0,S96/S95,1)</f>
        <v>0.8753805904841774</v>
      </c>
      <c r="T97" s="32">
        <f>IF(T95&gt;0,T96/T95,1)</f>
        <v>0.87432878367608</v>
      </c>
      <c r="U97" s="32">
        <f>IF(U95&gt;0,U96/U95,1)</f>
        <v>0.8732769768679827</v>
      </c>
      <c r="V97" s="32">
        <f>IF(V95&gt;0,V96/V95,1)</f>
        <v>0.8722251700598853</v>
      </c>
      <c r="W97" s="32">
        <f>IF(W95&gt;0,W96/W95,1)</f>
        <v>0.8711733632517881</v>
      </c>
      <c r="X97" s="32">
        <f>IF(X95&gt;0,X96/X95,1)</f>
        <v>0.8701215564436907</v>
      </c>
      <c r="Y97" s="32">
        <f>IF(Y95&gt;0,Y96/Y95,1)</f>
        <v>0.8690697496355932</v>
      </c>
      <c r="Z97" s="32">
        <f>IF(Z95&gt;0,Z96/Z95,1)</f>
        <v>0.8680179428274959</v>
      </c>
      <c r="AA97" s="32">
        <f>IF(AA95&gt;0,AA96/AA95,1)</f>
        <v>0.8669661360193985</v>
      </c>
      <c r="AB97" s="32">
        <f>IF(AB95&gt;0,AB96/AB95,1)</f>
        <v>0.8659143292113012</v>
      </c>
      <c r="AC97" s="32">
        <f>IF(AC95&gt;0,AC96/AC95,1)</f>
        <v>0.8648625224032038</v>
      </c>
    </row>
    <row r="98" spans="1:29" x14ac:dyDescent="0.25">
      <c r="A98" s="33" t="s">
        <v>185</v>
      </c>
      <c r="B98" s="26" t="s">
        <v>182</v>
      </c>
      <c r="C98" s="58">
        <f>SUM(E98:AC98)</f>
        <v>0</v>
      </c>
      <c r="E98" s="59">
        <f>MAX(0,$C$53*E95-E96)</f>
        <v>0</v>
      </c>
      <c r="F98" s="59">
        <f>MAX(0,$C$53*F95-F96)</f>
        <v>0</v>
      </c>
      <c r="G98" s="59">
        <f>MAX(0,$C$53*G95-G96)</f>
        <v>0</v>
      </c>
      <c r="H98" s="59">
        <f>MAX(0,$C$53*H95-H96)</f>
        <v>0</v>
      </c>
      <c r="I98" s="59">
        <f>MAX(0,$C$53*I95-I96)</f>
        <v>0</v>
      </c>
      <c r="J98" s="59">
        <f>MAX(0,$C$53*J95-J96)</f>
        <v>0</v>
      </c>
      <c r="K98" s="59">
        <f>MAX(0,$C$53*K95-K96)</f>
        <v>0</v>
      </c>
      <c r="L98" s="59">
        <f>MAX(0,$C$53*L95-L96)</f>
        <v>0</v>
      </c>
      <c r="M98" s="59">
        <f>MAX(0,$C$53*M95-M96)</f>
        <v>0</v>
      </c>
      <c r="N98" s="59">
        <f>MAX(0,$C$53*N95-N96)</f>
        <v>0</v>
      </c>
      <c r="O98" s="59">
        <f>MAX(0,$C$53*O95-O96)</f>
        <v>0</v>
      </c>
      <c r="P98" s="59">
        <f>MAX(0,$C$53*P95-P96)</f>
        <v>0</v>
      </c>
      <c r="Q98" s="59">
        <f>MAX(0,$C$53*Q95-Q96)</f>
        <v>0</v>
      </c>
      <c r="R98" s="59">
        <f>MAX(0,$C$53*R95-R96)</f>
        <v>0</v>
      </c>
      <c r="S98" s="59">
        <f>MAX(0,$C$53*S95-S96)</f>
        <v>0</v>
      </c>
      <c r="T98" s="59">
        <f>MAX(0,$C$53*T95-T96)</f>
        <v>0</v>
      </c>
      <c r="U98" s="59">
        <f>MAX(0,$C$53*U95-U96)</f>
        <v>0</v>
      </c>
      <c r="V98" s="59">
        <f>MAX(0,$C$53*V95-V96)</f>
        <v>0</v>
      </c>
      <c r="W98" s="59">
        <f>MAX(0,$C$53*W95-W96)</f>
        <v>0</v>
      </c>
      <c r="X98" s="59">
        <f>MAX(0,$C$53*X95-X96)</f>
        <v>0</v>
      </c>
      <c r="Y98" s="59">
        <f>MAX(0,$C$53*Y95-Y96)</f>
        <v>0</v>
      </c>
      <c r="Z98" s="59">
        <f>MAX(0,$C$53*Z95-Z96)</f>
        <v>0</v>
      </c>
      <c r="AA98" s="59">
        <f>MAX(0,$C$53*AA95-AA96)</f>
        <v>0</v>
      </c>
      <c r="AB98" s="59">
        <f>MAX(0,$C$53*AB95-AB96)</f>
        <v>0</v>
      </c>
      <c r="AC98" s="59">
        <f>MAX(0,$C$53*AC95-AC96)</f>
        <v>0</v>
      </c>
    </row>
    <row r="99" spans="1:29" x14ac:dyDescent="0.25">
      <c r="A99" s="33" t="s">
        <v>186</v>
      </c>
      <c r="B99" s="26" t="s">
        <v>182</v>
      </c>
      <c r="C99" s="58">
        <f>SUM(E99:AC99)</f>
        <v>630.253922290725</v>
      </c>
      <c r="E99" s="51">
        <v>23.50168148754441</v>
      </c>
      <c r="F99" s="51">
        <v>23.64405443788479</v>
      </c>
      <c r="G99" s="51">
        <v>23.786427388225174</v>
      </c>
      <c r="H99" s="51">
        <v>23.92880033856556</v>
      </c>
      <c r="I99" s="51">
        <v>24.07117328890594</v>
      </c>
      <c r="J99" s="51">
        <v>24.21354623924632</v>
      </c>
      <c r="K99" s="51">
        <v>24.355919189586704</v>
      </c>
      <c r="L99" s="51">
        <v>24.498292139927084</v>
      </c>
      <c r="M99" s="51">
        <v>24.640665090267465</v>
      </c>
      <c r="N99" s="51">
        <v>24.78303804060785</v>
      </c>
      <c r="O99" s="51">
        <v>24.92541099094823</v>
      </c>
      <c r="P99" s="51">
        <v>25.067783941288614</v>
      </c>
      <c r="Q99" s="51">
        <v>25.210156891628994</v>
      </c>
      <c r="R99" s="51">
        <v>25.352529841969375</v>
      </c>
      <c r="S99" s="51">
        <v>25.49490279230976</v>
      </c>
      <c r="T99" s="51">
        <v>25.63727574265014</v>
      </c>
      <c r="U99" s="51">
        <v>25.779648692990524</v>
      </c>
      <c r="V99" s="51">
        <v>25.922021643330908</v>
      </c>
      <c r="W99" s="51">
        <v>26.064394593671285</v>
      </c>
      <c r="X99" s="51">
        <v>26.206767544011665</v>
      </c>
      <c r="Y99" s="51">
        <v>26.34914049435205</v>
      </c>
      <c r="Z99" s="51">
        <v>26.49151344469243</v>
      </c>
      <c r="AA99" s="51">
        <v>26.633886395032814</v>
      </c>
      <c r="AB99" s="51">
        <v>26.776259345373198</v>
      </c>
      <c r="AC99" s="51">
        <v>26.91863229571358</v>
      </c>
    </row>
    <row r="100" spans="1:29" x14ac:dyDescent="0.25">
      <c r="A100" s="33" t="s">
        <v>187</v>
      </c>
      <c r="B100" s="26" t="s">
        <v>182</v>
      </c>
      <c r="C100" s="58">
        <f>SUM(E100:AC100)</f>
        <v>0</v>
      </c>
      <c r="E100" s="51">
        <v>0</v>
      </c>
      <c r="F100" s="51">
        <v>0</v>
      </c>
      <c r="G100" s="51">
        <v>0</v>
      </c>
      <c r="H100" s="51">
        <v>0</v>
      </c>
      <c r="I100" s="51">
        <v>0</v>
      </c>
      <c r="J100" s="51">
        <v>0</v>
      </c>
      <c r="K100" s="51">
        <v>0</v>
      </c>
      <c r="L100" s="51">
        <v>0</v>
      </c>
      <c r="M100" s="51">
        <v>0</v>
      </c>
      <c r="N100" s="51">
        <v>0</v>
      </c>
      <c r="O100" s="51">
        <v>0</v>
      </c>
      <c r="P100" s="51">
        <v>0</v>
      </c>
      <c r="Q100" s="51">
        <v>0</v>
      </c>
      <c r="R100" s="51">
        <v>0</v>
      </c>
      <c r="S100" s="51">
        <v>0</v>
      </c>
      <c r="T100" s="51">
        <v>0</v>
      </c>
      <c r="U100" s="51">
        <v>0</v>
      </c>
      <c r="V100" s="51">
        <v>0</v>
      </c>
      <c r="W100" s="51">
        <v>0</v>
      </c>
      <c r="X100" s="51">
        <v>0</v>
      </c>
      <c r="Y100" s="51">
        <v>0</v>
      </c>
      <c r="Z100" s="51">
        <v>0</v>
      </c>
      <c r="AA100" s="51">
        <v>0</v>
      </c>
      <c r="AB100" s="51">
        <v>0</v>
      </c>
      <c r="AC100" s="51">
        <v>0</v>
      </c>
    </row>
    <row r="101" spans="1:29" x14ac:dyDescent="0.25">
      <c r="A101" s="33" t="s">
        <v>135</v>
      </c>
      <c r="B101" s="26" t="s">
        <v>82</v>
      </c>
      <c r="E101" s="29">
        <f>$C$52</f>
        <v>0</v>
      </c>
      <c r="F101" s="29">
        <f>$C$52</f>
        <v>0</v>
      </c>
      <c r="G101" s="29">
        <f>$C$52</f>
        <v>0</v>
      </c>
      <c r="H101" s="29">
        <f>$C$52</f>
        <v>0</v>
      </c>
      <c r="I101" s="29">
        <f>$C$52</f>
        <v>0</v>
      </c>
      <c r="J101" s="29">
        <f>$C$52</f>
        <v>0</v>
      </c>
      <c r="K101" s="29">
        <f>$C$52</f>
        <v>0</v>
      </c>
      <c r="L101" s="29">
        <f>$C$52</f>
        <v>0</v>
      </c>
      <c r="M101" s="29">
        <f>$C$52</f>
        <v>0</v>
      </c>
      <c r="N101" s="29">
        <f>$C$52</f>
        <v>0</v>
      </c>
      <c r="O101" s="29">
        <f>$C$52</f>
        <v>0</v>
      </c>
      <c r="P101" s="29">
        <f>$C$52</f>
        <v>0</v>
      </c>
      <c r="Q101" s="29">
        <f>$C$52</f>
        <v>0</v>
      </c>
      <c r="R101" s="29">
        <f>$C$52</f>
        <v>0</v>
      </c>
      <c r="S101" s="29">
        <f>$C$52</f>
        <v>0</v>
      </c>
      <c r="T101" s="29">
        <f>$C$52</f>
        <v>0</v>
      </c>
      <c r="U101" s="29">
        <f>$C$52</f>
        <v>0</v>
      </c>
      <c r="V101" s="29">
        <f>$C$52</f>
        <v>0</v>
      </c>
      <c r="W101" s="29">
        <f>$C$52</f>
        <v>0</v>
      </c>
      <c r="X101" s="29">
        <f>$C$52</f>
        <v>0</v>
      </c>
      <c r="Y101" s="29">
        <f>$C$52</f>
        <v>0</v>
      </c>
      <c r="Z101" s="29">
        <f>$C$52</f>
        <v>0</v>
      </c>
      <c r="AA101" s="29">
        <f>$C$52</f>
        <v>0</v>
      </c>
      <c r="AB101" s="29">
        <f>$C$52</f>
        <v>0</v>
      </c>
      <c r="AC101" s="29">
        <f>$C$52</f>
        <v>0</v>
      </c>
    </row>
    <row r="103" ht="20" customHeight="1" spans="1:29" x14ac:dyDescent="0.25">
      <c r="A103" s="21" t="s">
        <v>188</v>
      </c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</row>
    <row r="104" spans="1:29" x14ac:dyDescent="0.25">
      <c r="A104" s="33" t="s">
        <v>100</v>
      </c>
      <c r="B104" s="26" t="s">
        <v>88</v>
      </c>
      <c r="E104" s="60">
        <f>(1+$C$30)^(E$5-1)</f>
        <v>1</v>
      </c>
      <c r="F104" s="60">
        <f>(1+$C$30)^(F$5-1)</f>
        <v>1</v>
      </c>
      <c r="G104" s="60">
        <f>(1+$C$30)^(G$5-1)</f>
        <v>1</v>
      </c>
      <c r="H104" s="60">
        <f>(1+$C$30)^(H$5-1)</f>
        <v>1</v>
      </c>
      <c r="I104" s="60">
        <f>(1+$C$30)^(I$5-1)</f>
        <v>1</v>
      </c>
      <c r="J104" s="60">
        <f>(1+$C$30)^(J$5-1)</f>
        <v>1</v>
      </c>
      <c r="K104" s="60">
        <f>(1+$C$30)^(K$5-1)</f>
        <v>1</v>
      </c>
      <c r="L104" s="60">
        <f>(1+$C$30)^(L$5-1)</f>
        <v>1</v>
      </c>
      <c r="M104" s="60">
        <f>(1+$C$30)^(M$5-1)</f>
        <v>1</v>
      </c>
      <c r="N104" s="60">
        <f>(1+$C$30)^(N$5-1)</f>
        <v>1</v>
      </c>
      <c r="O104" s="60">
        <f>(1+$C$30)^(O$5-1)</f>
        <v>1</v>
      </c>
      <c r="P104" s="60">
        <f>(1+$C$30)^(P$5-1)</f>
        <v>1</v>
      </c>
      <c r="Q104" s="60">
        <f>(1+$C$30)^(Q$5-1)</f>
        <v>1</v>
      </c>
      <c r="R104" s="60">
        <f>(1+$C$30)^(R$5-1)</f>
        <v>1</v>
      </c>
      <c r="S104" s="60">
        <f>(1+$C$30)^(S$5-1)</f>
        <v>1</v>
      </c>
      <c r="T104" s="60">
        <f>(1+$C$30)^(T$5-1)</f>
        <v>1</v>
      </c>
      <c r="U104" s="60">
        <f>(1+$C$30)^(U$5-1)</f>
        <v>1</v>
      </c>
      <c r="V104" s="60">
        <f>(1+$C$30)^(V$5-1)</f>
        <v>1</v>
      </c>
      <c r="W104" s="60">
        <f>(1+$C$30)^(W$5-1)</f>
        <v>1</v>
      </c>
      <c r="X104" s="60">
        <f>(1+$C$30)^(X$5-1)</f>
        <v>1</v>
      </c>
      <c r="Y104" s="60">
        <f>(1+$C$30)^(Y$5-1)</f>
        <v>1</v>
      </c>
      <c r="Z104" s="60">
        <f>(1+$C$30)^(Z$5-1)</f>
        <v>1</v>
      </c>
      <c r="AA104" s="60">
        <f>(1+$C$30)^(AA$5-1)</f>
        <v>1</v>
      </c>
      <c r="AB104" s="60">
        <f>(1+$C$30)^(AB$5-1)</f>
        <v>1</v>
      </c>
      <c r="AC104" s="60">
        <f>(1+$C$30)^(AC$5-1)</f>
        <v>1</v>
      </c>
    </row>
    <row r="105" spans="1:29" x14ac:dyDescent="0.25">
      <c r="A105" s="33" t="s">
        <v>189</v>
      </c>
      <c r="B105" s="26" t="s">
        <v>88</v>
      </c>
      <c r="E105" s="60">
        <f>(1+$C$47)^(E$5-1)</f>
        <v>1</v>
      </c>
      <c r="F105" s="60">
        <f>(1+$C$47)^(F$5-1)</f>
        <v>1.05</v>
      </c>
      <c r="G105" s="60">
        <f>(1+$C$47)^(G$5-1)</f>
        <v>1.1025</v>
      </c>
      <c r="H105" s="60">
        <f>(1+$C$47)^(H$5-1)</f>
        <v>1.1576250000000001</v>
      </c>
      <c r="I105" s="60">
        <f>(1+$C$47)^(I$5-1)</f>
        <v>1.2155062500000002</v>
      </c>
      <c r="J105" s="60">
        <f>(1+$C$47)^(J$5-1)</f>
        <v>1.2762815625000004</v>
      </c>
      <c r="K105" s="60">
        <f>(1+$C$47)^(K$5-1)</f>
        <v>1.3400956406250004</v>
      </c>
      <c r="L105" s="60">
        <f>(1+$C$47)^(L$5-1)</f>
        <v>1.4071004226562505</v>
      </c>
      <c r="M105" s="60">
        <f>(1+$C$47)^(M$5-1)</f>
        <v>1.477455443789063</v>
      </c>
      <c r="N105" s="60">
        <f>(1+$C$47)^(N$5-1)</f>
        <v>1.5513282159785162</v>
      </c>
      <c r="O105" s="60">
        <f>(1+$C$47)^(O$5-1)</f>
        <v>1.6288946267774422</v>
      </c>
      <c r="P105" s="60">
        <f>(1+$C$47)^(P$5-1)</f>
        <v>1.7103393581163142</v>
      </c>
      <c r="Q105" s="60">
        <f>(1+$C$47)^(Q$5-1)</f>
        <v>1.79585632602213</v>
      </c>
      <c r="R105" s="60">
        <f>(1+$C$47)^(R$5-1)</f>
        <v>1.8856491423232367</v>
      </c>
      <c r="S105" s="60">
        <f>(1+$C$47)^(S$5-1)</f>
        <v>1.9799315994393987</v>
      </c>
      <c r="T105" s="60">
        <f>(1+$C$47)^(T$5-1)</f>
        <v>2.0789281794113688</v>
      </c>
      <c r="U105" s="60">
        <f>(1+$C$47)^(U$5-1)</f>
        <v>2.182874588381937</v>
      </c>
      <c r="V105" s="60">
        <f>(1+$C$47)^(V$5-1)</f>
        <v>2.292018317801034</v>
      </c>
      <c r="W105" s="60">
        <f>(1+$C$47)^(W$5-1)</f>
        <v>2.406619233691086</v>
      </c>
      <c r="X105" s="60">
        <f>(1+$C$47)^(X$5-1)</f>
        <v>2.5269501953756404</v>
      </c>
      <c r="Y105" s="60">
        <f>(1+$C$47)^(Y$5-1)</f>
        <v>2.653297705144422</v>
      </c>
      <c r="Z105" s="60">
        <f>(1+$C$47)^(Z$5-1)</f>
        <v>2.7859625904016436</v>
      </c>
      <c r="AA105" s="60">
        <f>(1+$C$47)^(AA$5-1)</f>
        <v>2.925260719921726</v>
      </c>
      <c r="AB105" s="60">
        <f>(1+$C$47)^(AB$5-1)</f>
        <v>3.0715237559178123</v>
      </c>
      <c r="AC105" s="60">
        <f>(1+$C$47)^(AC$5-1)</f>
        <v>3.225099943713703</v>
      </c>
    </row>
    <row r="106" spans="1:29" x14ac:dyDescent="0.25">
      <c r="A106" s="33" t="s">
        <v>190</v>
      </c>
      <c r="B106" s="26" t="s">
        <v>88</v>
      </c>
      <c r="E106" s="60">
        <f>(1-$C$60)^(E$5-1)</f>
        <v>1</v>
      </c>
      <c r="F106" s="60">
        <f>(1-$C$60)^(F$5-1)</f>
        <v>1</v>
      </c>
      <c r="G106" s="60">
        <f>(1-$C$60)^(G$5-1)</f>
        <v>1</v>
      </c>
      <c r="H106" s="60">
        <f>(1-$C$60)^(H$5-1)</f>
        <v>1</v>
      </c>
      <c r="I106" s="60">
        <f>(1-$C$60)^(I$5-1)</f>
        <v>1</v>
      </c>
      <c r="J106" s="60">
        <f>(1-$C$60)^(J$5-1)</f>
        <v>1</v>
      </c>
      <c r="K106" s="60">
        <f>(1-$C$60)^(K$5-1)</f>
        <v>1</v>
      </c>
      <c r="L106" s="60">
        <f>(1-$C$60)^(L$5-1)</f>
        <v>1</v>
      </c>
      <c r="M106" s="60">
        <f>(1-$C$60)^(M$5-1)</f>
        <v>1</v>
      </c>
      <c r="N106" s="60">
        <f>(1-$C$60)^(N$5-1)</f>
        <v>1</v>
      </c>
      <c r="O106" s="60">
        <f>(1-$C$60)^(O$5-1)</f>
        <v>1</v>
      </c>
      <c r="P106" s="60">
        <f>(1-$C$60)^(P$5-1)</f>
        <v>1</v>
      </c>
      <c r="Q106" s="60">
        <f>(1-$C$60)^(Q$5-1)</f>
        <v>1</v>
      </c>
      <c r="R106" s="60">
        <f>(1-$C$60)^(R$5-1)</f>
        <v>1</v>
      </c>
      <c r="S106" s="60">
        <f>(1-$C$60)^(S$5-1)</f>
        <v>1</v>
      </c>
      <c r="T106" s="60">
        <f>(1-$C$60)^(T$5-1)</f>
        <v>1</v>
      </c>
      <c r="U106" s="60">
        <f>(1-$C$60)^(U$5-1)</f>
        <v>1</v>
      </c>
      <c r="V106" s="60">
        <f>(1-$C$60)^(V$5-1)</f>
        <v>1</v>
      </c>
      <c r="W106" s="60">
        <f>(1-$C$60)^(W$5-1)</f>
        <v>1</v>
      </c>
      <c r="X106" s="60">
        <f>(1-$C$60)^(X$5-1)</f>
        <v>1</v>
      </c>
      <c r="Y106" s="60">
        <f>(1-$C$60)^(Y$5-1)</f>
        <v>1</v>
      </c>
      <c r="Z106" s="60">
        <f>(1-$C$60)^(Z$5-1)</f>
        <v>1</v>
      </c>
      <c r="AA106" s="60">
        <f>(1-$C$60)^(AA$5-1)</f>
        <v>1</v>
      </c>
      <c r="AB106" s="60">
        <f>(1-$C$60)^(AB$5-1)</f>
        <v>1</v>
      </c>
      <c r="AC106" s="60">
        <f>(1-$C$60)^(AC$5-1)</f>
        <v>1</v>
      </c>
    </row>
    <row r="107" spans="1:29" x14ac:dyDescent="0.25">
      <c r="A107" s="33" t="s">
        <v>191</v>
      </c>
      <c r="B107" s="26" t="s">
        <v>88</v>
      </c>
      <c r="E107" s="60">
        <f>1/(1+$C$67)^E$5</f>
        <v>0.9090909090909091</v>
      </c>
      <c r="F107" s="60">
        <f>1/(1+$C$67)^F$5</f>
        <v>0.8264462809917354</v>
      </c>
      <c r="G107" s="60">
        <f>1/(1+$C$67)^G$5</f>
        <v>0.7513148009015775</v>
      </c>
      <c r="H107" s="60">
        <f>1/(1+$C$67)^H$5</f>
        <v>0.6830134553650704</v>
      </c>
      <c r="I107" s="60">
        <f>1/(1+$C$67)^I$5</f>
        <v>0.6209213230591549</v>
      </c>
      <c r="J107" s="60">
        <f>1/(1+$C$67)^J$5</f>
        <v>0.5644739300537772</v>
      </c>
      <c r="K107" s="60">
        <f>1/(1+$C$67)^K$5</f>
        <v>0.5131581182307065</v>
      </c>
      <c r="L107" s="60">
        <f>1/(1+$C$67)^L$5</f>
        <v>0.4665073802097331</v>
      </c>
      <c r="M107" s="60">
        <f>1/(1+$C$67)^M$5</f>
        <v>0.42409761837248455</v>
      </c>
      <c r="N107" s="60">
        <f>1/(1+$C$67)^N$5</f>
        <v>0.3855432894295314</v>
      </c>
      <c r="O107" s="60">
        <f>1/(1+$C$67)^O$5</f>
        <v>0.3504938994813922</v>
      </c>
      <c r="P107" s="60">
        <f>1/(1+$C$67)^P$5</f>
        <v>0.3186308177103565</v>
      </c>
      <c r="Q107" s="60">
        <f>1/(1+$C$67)^Q$5</f>
        <v>0.2896643797366877</v>
      </c>
      <c r="R107" s="60">
        <f>1/(1+$C$67)^R$5</f>
        <v>0.26333125430607973</v>
      </c>
      <c r="S107" s="60">
        <f>1/(1+$C$67)^S$5</f>
        <v>0.23939204936916333</v>
      </c>
      <c r="T107" s="60">
        <f>1/(1+$C$67)^T$5</f>
        <v>0.2176291357901485</v>
      </c>
      <c r="U107" s="60">
        <f>1/(1+$C$67)^U$5</f>
        <v>0.19784466890013497</v>
      </c>
      <c r="V107" s="60">
        <f>1/(1+$C$67)^V$5</f>
        <v>0.17985878990921358</v>
      </c>
      <c r="W107" s="60">
        <f>1/(1+$C$67)^W$5</f>
        <v>0.16350799082655781</v>
      </c>
      <c r="X107" s="60">
        <f>1/(1+$C$67)^X$5</f>
        <v>0.14864362802414344</v>
      </c>
      <c r="Y107" s="60">
        <f>1/(1+$C$67)^Y$5</f>
        <v>0.13513057093103947</v>
      </c>
      <c r="Z107" s="60">
        <f>1/(1+$C$67)^Z$5</f>
        <v>0.12284597357367225</v>
      </c>
      <c r="AA107" s="60">
        <f>1/(1+$C$67)^AA$5</f>
        <v>0.11167815779424749</v>
      </c>
      <c r="AB107" s="60">
        <f>1/(1+$C$67)^AB$5</f>
        <v>0.10152559799477044</v>
      </c>
      <c r="AC107" s="60">
        <f>1/(1+$C$67)^AC$5</f>
        <v>0.09229599817706403</v>
      </c>
    </row>
    <row r="109" ht="20" customHeight="1" spans="1:29" x14ac:dyDescent="0.25">
      <c r="A109" s="21" t="s">
        <v>192</v>
      </c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</row>
    <row r="110" spans="1:29" x14ac:dyDescent="0.25">
      <c r="A110" s="33" t="s">
        <v>100</v>
      </c>
      <c r="B110" s="26" t="s">
        <v>82</v>
      </c>
      <c r="E110" s="29">
        <f>$C$29*E104</f>
        <v>6.862973373281049</v>
      </c>
      <c r="F110" s="29">
        <f>$C$29*F104</f>
        <v>6.862973373281049</v>
      </c>
      <c r="G110" s="29">
        <f>$C$29*G104</f>
        <v>6.862973373281049</v>
      </c>
      <c r="H110" s="29">
        <f>$C$29*H104</f>
        <v>6.862973373281049</v>
      </c>
      <c r="I110" s="29">
        <f>$C$29*I104</f>
        <v>6.862973373281049</v>
      </c>
      <c r="J110" s="29">
        <f>$C$29*J104</f>
        <v>6.862973373281049</v>
      </c>
      <c r="K110" s="29">
        <f>$C$29*K104</f>
        <v>6.862973373281049</v>
      </c>
      <c r="L110" s="29">
        <f>$C$29*L104</f>
        <v>6.862973373281049</v>
      </c>
      <c r="M110" s="29">
        <f>$C$29*M104</f>
        <v>6.862973373281049</v>
      </c>
      <c r="N110" s="29">
        <f>$C$29*N104</f>
        <v>6.862973373281049</v>
      </c>
      <c r="O110" s="29">
        <f>$C$29*O104</f>
        <v>6.862973373281049</v>
      </c>
      <c r="P110" s="29">
        <f>$C$29*P104</f>
        <v>6.862973373281049</v>
      </c>
      <c r="Q110" s="29">
        <f>$C$29*Q104</f>
        <v>6.862973373281049</v>
      </c>
      <c r="R110" s="29">
        <f>$C$29*R104</f>
        <v>6.862973373281049</v>
      </c>
      <c r="S110" s="29">
        <f>$C$29*S104</f>
        <v>6.862973373281049</v>
      </c>
      <c r="T110" s="29">
        <f>$C$29*T104</f>
        <v>6.862973373281049</v>
      </c>
      <c r="U110" s="29">
        <f>$C$29*U104</f>
        <v>6.862973373281049</v>
      </c>
      <c r="V110" s="29">
        <f>$C$29*V104</f>
        <v>6.862973373281049</v>
      </c>
      <c r="W110" s="29">
        <f>$C$29*W104</f>
        <v>6.862973373281049</v>
      </c>
      <c r="X110" s="29">
        <f>$C$29*X104</f>
        <v>6.862973373281049</v>
      </c>
      <c r="Y110" s="29">
        <f>$C$29*Y104</f>
        <v>6.862973373281049</v>
      </c>
      <c r="Z110" s="29">
        <f>$C$29*Z104</f>
        <v>6.862973373281049</v>
      </c>
      <c r="AA110" s="29">
        <f>$C$29*AA104</f>
        <v>6.862973373281049</v>
      </c>
      <c r="AB110" s="29">
        <f>$C$29*AB104</f>
        <v>6.862973373281049</v>
      </c>
      <c r="AC110" s="29">
        <f>$C$29*AC104</f>
        <v>6.862973373281049</v>
      </c>
    </row>
    <row r="111" spans="1:29" x14ac:dyDescent="0.25">
      <c r="A111" s="33" t="s">
        <v>193</v>
      </c>
      <c r="B111" s="26" t="s">
        <v>86</v>
      </c>
      <c r="C111" s="57">
        <f>SUM(E111:AC111)</f>
        <v>6594.255047396046</v>
      </c>
      <c r="E111" s="37">
        <f>E96*E110/10</f>
        <v>267.56425712096166</v>
      </c>
      <c r="F111" s="37">
        <f>F96*F110/10</f>
        <v>267.2480858522017</v>
      </c>
      <c r="G111" s="37">
        <f>G96*G110/10</f>
        <v>266.93191458344165</v>
      </c>
      <c r="H111" s="37">
        <f>H96*H110/10</f>
        <v>266.6157433146817</v>
      </c>
      <c r="I111" s="37">
        <f>I96*I110/10</f>
        <v>266.29957204592176</v>
      </c>
      <c r="J111" s="37">
        <f>J96*J110/10</f>
        <v>265.9834007771617</v>
      </c>
      <c r="K111" s="37">
        <f>K96*K110/10</f>
        <v>265.66722950840176</v>
      </c>
      <c r="L111" s="37">
        <f>L96*L110/10</f>
        <v>265.3510582396417</v>
      </c>
      <c r="M111" s="37">
        <f>M96*M110/10</f>
        <v>265.03488697088176</v>
      </c>
      <c r="N111" s="37">
        <f>N96*N110/10</f>
        <v>264.7187157021218</v>
      </c>
      <c r="O111" s="37">
        <f>O96*O110/10</f>
        <v>264.4025444333618</v>
      </c>
      <c r="P111" s="37">
        <f>P96*P110/10</f>
        <v>264.0863731646018</v>
      </c>
      <c r="Q111" s="37">
        <f>Q96*Q110/10</f>
        <v>263.77020189584186</v>
      </c>
      <c r="R111" s="37">
        <f>R96*R110/10</f>
        <v>263.4540306270818</v>
      </c>
      <c r="S111" s="37">
        <f>S96*S110/10</f>
        <v>263.13785935832186</v>
      </c>
      <c r="T111" s="37">
        <f>T96*T110/10</f>
        <v>262.8216880895619</v>
      </c>
      <c r="U111" s="37">
        <f>U96*U110/10</f>
        <v>262.5055168208019</v>
      </c>
      <c r="V111" s="37">
        <f>V96*V110/10</f>
        <v>262.1893455520419</v>
      </c>
      <c r="W111" s="37">
        <f>W96*W110/10</f>
        <v>261.87317428328197</v>
      </c>
      <c r="X111" s="37">
        <f>X96*X110/10</f>
        <v>261.55700301452197</v>
      </c>
      <c r="Y111" s="37">
        <f>Y96*Y110/10</f>
        <v>261.24083174576197</v>
      </c>
      <c r="Z111" s="37">
        <f>Z96*Z110/10</f>
        <v>260.924660477002</v>
      </c>
      <c r="AA111" s="37">
        <f>AA96*AA110/10</f>
        <v>260.60848920824196</v>
      </c>
      <c r="AB111" s="37">
        <f>AB96*AB110/10</f>
        <v>260.292317939482</v>
      </c>
      <c r="AC111" s="37">
        <f>AC96*AC110/10</f>
        <v>259.97614667072196</v>
      </c>
    </row>
    <row r="112" spans="1:29" x14ac:dyDescent="0.25">
      <c r="A112" s="33" t="s">
        <v>194</v>
      </c>
      <c r="B112" s="26" t="s">
        <v>86</v>
      </c>
      <c r="C112" s="57">
        <f>SUM(E112:AC112)</f>
        <v>0</v>
      </c>
      <c r="E112" s="37">
        <f>IF($C$51="Yes",E100*E101/10,0)</f>
        <v>0</v>
      </c>
      <c r="F112" s="37">
        <f>IF($C$51="Yes",F100*F101/10,0)</f>
        <v>0</v>
      </c>
      <c r="G112" s="37">
        <f>IF($C$51="Yes",G100*G101/10,0)</f>
        <v>0</v>
      </c>
      <c r="H112" s="37">
        <f>IF($C$51="Yes",H100*H101/10,0)</f>
        <v>0</v>
      </c>
      <c r="I112" s="37">
        <f>IF($C$51="Yes",I100*I101/10,0)</f>
        <v>0</v>
      </c>
      <c r="J112" s="37">
        <f>IF($C$51="Yes",J100*J101/10,0)</f>
        <v>0</v>
      </c>
      <c r="K112" s="37">
        <f>IF($C$51="Yes",K100*K101/10,0)</f>
        <v>0</v>
      </c>
      <c r="L112" s="37">
        <f>IF($C$51="Yes",L100*L101/10,0)</f>
        <v>0</v>
      </c>
      <c r="M112" s="37">
        <f>IF($C$51="Yes",M100*M101/10,0)</f>
        <v>0</v>
      </c>
      <c r="N112" s="37">
        <f>IF($C$51="Yes",N100*N101/10,0)</f>
        <v>0</v>
      </c>
      <c r="O112" s="37">
        <f>IF($C$51="Yes",O100*O101/10,0)</f>
        <v>0</v>
      </c>
      <c r="P112" s="37">
        <f>IF($C$51="Yes",P100*P101/10,0)</f>
        <v>0</v>
      </c>
      <c r="Q112" s="37">
        <f>IF($C$51="Yes",Q100*Q101/10,0)</f>
        <v>0</v>
      </c>
      <c r="R112" s="37">
        <f>IF($C$51="Yes",R100*R101/10,0)</f>
        <v>0</v>
      </c>
      <c r="S112" s="37">
        <f>IF($C$51="Yes",S100*S101/10,0)</f>
        <v>0</v>
      </c>
      <c r="T112" s="37">
        <f>IF($C$51="Yes",T100*T101/10,0)</f>
        <v>0</v>
      </c>
      <c r="U112" s="37">
        <f>IF($C$51="Yes",U100*U101/10,0)</f>
        <v>0</v>
      </c>
      <c r="V112" s="37">
        <f>IF($C$51="Yes",V100*V101/10,0)</f>
        <v>0</v>
      </c>
      <c r="W112" s="37">
        <f>IF($C$51="Yes",W100*W101/10,0)</f>
        <v>0</v>
      </c>
      <c r="X112" s="37">
        <f>IF($C$51="Yes",X100*X101/10,0)</f>
        <v>0</v>
      </c>
      <c r="Y112" s="37">
        <f>IF($C$51="Yes",Y100*Y101/10,0)</f>
        <v>0</v>
      </c>
      <c r="Z112" s="37">
        <f>IF($C$51="Yes",Z100*Z101/10,0)</f>
        <v>0</v>
      </c>
      <c r="AA112" s="37">
        <f>IF($C$51="Yes",AA100*AA101/10,0)</f>
        <v>0</v>
      </c>
      <c r="AB112" s="37">
        <f>IF($C$51="Yes",AB100*AB101/10,0)</f>
        <v>0</v>
      </c>
      <c r="AC112" s="37">
        <f>IF($C$51="Yes",AC100*AC101/10,0)</f>
        <v>0</v>
      </c>
    </row>
    <row r="113" spans="1:29" x14ac:dyDescent="0.25">
      <c r="A113" s="33" t="s">
        <v>139</v>
      </c>
      <c r="B113" s="26" t="s">
        <v>86</v>
      </c>
      <c r="C113" s="57">
        <f>SUM(E113:AC113)</f>
        <v>0</v>
      </c>
      <c r="E113" s="37">
        <f>E98*$C$54/10</f>
        <v>0</v>
      </c>
      <c r="F113" s="37">
        <f>F98*$C$54/10</f>
        <v>0</v>
      </c>
      <c r="G113" s="37">
        <f>G98*$C$54/10</f>
        <v>0</v>
      </c>
      <c r="H113" s="37">
        <f>H98*$C$54/10</f>
        <v>0</v>
      </c>
      <c r="I113" s="37">
        <f>I98*$C$54/10</f>
        <v>0</v>
      </c>
      <c r="J113" s="37">
        <f>J98*$C$54/10</f>
        <v>0</v>
      </c>
      <c r="K113" s="37">
        <f>K98*$C$54/10</f>
        <v>0</v>
      </c>
      <c r="L113" s="37">
        <f>L98*$C$54/10</f>
        <v>0</v>
      </c>
      <c r="M113" s="37">
        <f>M98*$C$54/10</f>
        <v>0</v>
      </c>
      <c r="N113" s="37">
        <f>N98*$C$54/10</f>
        <v>0</v>
      </c>
      <c r="O113" s="37">
        <f>O98*$C$54/10</f>
        <v>0</v>
      </c>
      <c r="P113" s="37">
        <f>P98*$C$54/10</f>
        <v>0</v>
      </c>
      <c r="Q113" s="37">
        <f>Q98*$C$54/10</f>
        <v>0</v>
      </c>
      <c r="R113" s="37">
        <f>R98*$C$54/10</f>
        <v>0</v>
      </c>
      <c r="S113" s="37">
        <f>S98*$C$54/10</f>
        <v>0</v>
      </c>
      <c r="T113" s="37">
        <f>T98*$C$54/10</f>
        <v>0</v>
      </c>
      <c r="U113" s="37">
        <f>U98*$C$54/10</f>
        <v>0</v>
      </c>
      <c r="V113" s="37">
        <f>V98*$C$54/10</f>
        <v>0</v>
      </c>
      <c r="W113" s="37">
        <f>W98*$C$54/10</f>
        <v>0</v>
      </c>
      <c r="X113" s="37">
        <f>X98*$C$54/10</f>
        <v>0</v>
      </c>
      <c r="Y113" s="37">
        <f>Y98*$C$54/10</f>
        <v>0</v>
      </c>
      <c r="Z113" s="37">
        <f>Z98*$C$54/10</f>
        <v>0</v>
      </c>
      <c r="AA113" s="37">
        <f>AA98*$C$54/10</f>
        <v>0</v>
      </c>
      <c r="AB113" s="37">
        <f>AB98*$C$54/10</f>
        <v>0</v>
      </c>
      <c r="AC113" s="37">
        <f>AC98*$C$54/10</f>
        <v>0</v>
      </c>
    </row>
    <row r="114" spans="1:29" x14ac:dyDescent="0.25">
      <c r="A114" s="33" t="s">
        <v>141</v>
      </c>
      <c r="B114" s="26" t="s">
        <v>86</v>
      </c>
      <c r="C114" s="57">
        <f>SUM(E114:AC114)</f>
        <v>648.8123830630781</v>
      </c>
      <c r="E114" s="37">
        <f>E99*$C$55*E110/10</f>
        <v>24.193712141452416</v>
      </c>
      <c r="F114" s="37">
        <f>F99*$C$55*F110/10</f>
        <v>24.340277406541638</v>
      </c>
      <c r="G114" s="37">
        <f>G99*$C$55*G110/10</f>
        <v>24.486842671630868</v>
      </c>
      <c r="H114" s="37">
        <f>H99*$C$55*H110/10</f>
        <v>24.633407936720094</v>
      </c>
      <c r="I114" s="37">
        <f>I99*$C$55*I110/10</f>
        <v>24.77997320180932</v>
      </c>
      <c r="J114" s="37">
        <f>J99*$C$55*J110/10</f>
        <v>24.92653846689855</v>
      </c>
      <c r="K114" s="37">
        <f>K99*$C$55*K110/10</f>
        <v>25.073103731987775</v>
      </c>
      <c r="L114" s="37">
        <f>L99*$C$55*L110/10</f>
        <v>25.219668997076997</v>
      </c>
      <c r="M114" s="37">
        <f>M99*$C$55*M110/10</f>
        <v>25.366234262166223</v>
      </c>
      <c r="N114" s="37">
        <f>N99*$C$55*N110/10</f>
        <v>25.51279952725545</v>
      </c>
      <c r="O114" s="37">
        <f>O99*$C$55*O110/10</f>
        <v>25.65936479234468</v>
      </c>
      <c r="P114" s="37">
        <f>P99*$C$55*P110/10</f>
        <v>25.805930057433905</v>
      </c>
      <c r="Q114" s="37">
        <f>Q99*$C$55*Q110/10</f>
        <v>25.952495322523127</v>
      </c>
      <c r="R114" s="37">
        <f>R99*$C$55*R110/10</f>
        <v>26.099060587612353</v>
      </c>
      <c r="S114" s="37">
        <f>S99*$C$55*S110/10</f>
        <v>26.24562585270158</v>
      </c>
      <c r="T114" s="37">
        <f>T99*$C$55*T110/10</f>
        <v>26.39219111779081</v>
      </c>
      <c r="U114" s="37">
        <f>U99*$C$55*U110/10</f>
        <v>26.538756382880035</v>
      </c>
      <c r="V114" s="37">
        <f>V99*$C$55*V110/10</f>
        <v>26.68532164796926</v>
      </c>
      <c r="W114" s="37">
        <f>W99*$C$55*W110/10</f>
        <v>26.831886913058486</v>
      </c>
      <c r="X114" s="37">
        <f>X99*$C$55*X110/10</f>
        <v>26.978452178147705</v>
      </c>
      <c r="Y114" s="37">
        <f>Y99*$C$55*Y110/10</f>
        <v>27.125017443236935</v>
      </c>
      <c r="Z114" s="37">
        <f>Z99*$C$55*Z110/10</f>
        <v>27.27158270832616</v>
      </c>
      <c r="AA114" s="37">
        <f>AA99*$C$55*AA110/10</f>
        <v>27.418147973415387</v>
      </c>
      <c r="AB114" s="37">
        <f>AB99*$C$55*AB110/10</f>
        <v>27.564713238504613</v>
      </c>
      <c r="AC114" s="37">
        <f>AC99*$C$55*AC110/10</f>
        <v>27.711278503593842</v>
      </c>
    </row>
    <row r="115" spans="1:29" x14ac:dyDescent="0.25">
      <c r="A115" s="61" t="s">
        <v>195</v>
      </c>
      <c r="B115" s="62" t="s">
        <v>86</v>
      </c>
      <c r="C115" s="63">
        <f>SUM(E115:AC115)</f>
        <v>5945.442664332967</v>
      </c>
      <c r="D115" s="64"/>
      <c r="E115" s="63">
        <f>E111+E112-E113-E114</f>
        <v>243.37054497950925</v>
      </c>
      <c r="F115" s="63">
        <f>F111+F112-F113-F114</f>
        <v>242.90780844566007</v>
      </c>
      <c r="G115" s="63">
        <f>G111+G112-G113-G114</f>
        <v>242.44507191181077</v>
      </c>
      <c r="H115" s="63">
        <f>H111+H112-H113-H114</f>
        <v>241.98233537796162</v>
      </c>
      <c r="I115" s="63">
        <f>I111+I112-I113-I114</f>
        <v>241.51959884411244</v>
      </c>
      <c r="J115" s="63">
        <f>J111+J112-J113-J114</f>
        <v>241.05686231026317</v>
      </c>
      <c r="K115" s="63">
        <f>K111+K112-K113-K114</f>
        <v>240.594125776414</v>
      </c>
      <c r="L115" s="63">
        <f>L111+L112-L113-L114</f>
        <v>240.1313892425647</v>
      </c>
      <c r="M115" s="63">
        <f>M111+M112-M113-M114</f>
        <v>239.66865270871554</v>
      </c>
      <c r="N115" s="63">
        <f>N111+N112-N113-N114</f>
        <v>239.20591617486636</v>
      </c>
      <c r="O115" s="63">
        <f>O111+O112-O113-O114</f>
        <v>238.74317964101712</v>
      </c>
      <c r="P115" s="63">
        <f>P111+P112-P113-P114</f>
        <v>238.2804431071679</v>
      </c>
      <c r="Q115" s="63">
        <f>Q111+Q112-Q113-Q114</f>
        <v>237.81770657331873</v>
      </c>
      <c r="R115" s="63">
        <f>R111+R112-R113-R114</f>
        <v>237.35497003946946</v>
      </c>
      <c r="S115" s="63">
        <f>S111+S112-S113-S114</f>
        <v>236.89223350562028</v>
      </c>
      <c r="T115" s="63">
        <f>T111+T112-T113-T114</f>
        <v>236.4294969717711</v>
      </c>
      <c r="U115" s="63">
        <f>U111+U112-U113-U114</f>
        <v>235.9667604379219</v>
      </c>
      <c r="V115" s="63">
        <f>V111+V112-V113-V114</f>
        <v>235.50402390407265</v>
      </c>
      <c r="W115" s="63">
        <f>W111+W112-W113-W114</f>
        <v>235.04128737022347</v>
      </c>
      <c r="X115" s="63">
        <f>X111+X112-X113-X114</f>
        <v>234.57855083637426</v>
      </c>
      <c r="Y115" s="63">
        <f>Y111+Y112-Y113-Y114</f>
        <v>234.11581430252502</v>
      </c>
      <c r="Z115" s="63">
        <f>Z111+Z112-Z113-Z114</f>
        <v>233.65307776867587</v>
      </c>
      <c r="AA115" s="63">
        <f>AA111+AA112-AA113-AA114</f>
        <v>233.19034123482658</v>
      </c>
      <c r="AB115" s="63">
        <f>AB111+AB112-AB113-AB114</f>
        <v>232.7276047009774</v>
      </c>
      <c r="AC115" s="63">
        <f>AC111+AC112-AC113-AC114</f>
        <v>232.26486816712813</v>
      </c>
    </row>
    <row r="117" ht="20" customHeight="1" spans="1:29" x14ac:dyDescent="0.25">
      <c r="A117" s="21" t="s">
        <v>196</v>
      </c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</row>
    <row r="118" spans="1:29" x14ac:dyDescent="0.25">
      <c r="A118" s="33" t="s">
        <v>120</v>
      </c>
      <c r="B118" s="26" t="s">
        <v>86</v>
      </c>
      <c r="C118" s="57">
        <f>SUM(E118:AC118)</f>
        <v>243.66727773014426</v>
      </c>
      <c r="E118" s="37">
        <f>$C$32*$C$44/100*E105</f>
        <v>5.105428231860371</v>
      </c>
      <c r="F118" s="37">
        <f>$C$32*$C$44/100*F105</f>
        <v>5.36069964345339</v>
      </c>
      <c r="G118" s="37">
        <f>$C$32*$C$44/100*G105</f>
        <v>5.628734625626059</v>
      </c>
      <c r="H118" s="37">
        <f>$C$32*$C$44/100*H105</f>
        <v>5.910171356907362</v>
      </c>
      <c r="I118" s="37">
        <f>$C$32*$C$44/100*I105</f>
        <v>6.205679924752731</v>
      </c>
      <c r="J118" s="37">
        <f>$C$32*$C$44/100*J105</f>
        <v>6.515963920990368</v>
      </c>
      <c r="K118" s="37">
        <f>$C$32*$C$44/100*K105</f>
        <v>6.841762117039886</v>
      </c>
      <c r="L118" s="37">
        <f>$C$32*$C$44/100*L105</f>
        <v>7.1838502228918815</v>
      </c>
      <c r="M118" s="37">
        <f>$C$32*$C$44/100*M105</f>
        <v>7.543042734036475</v>
      </c>
      <c r="N118" s="37">
        <f>$C$32*$C$44/100*N105</f>
        <v>7.9201948707383</v>
      </c>
      <c r="O118" s="37">
        <f>$C$32*$C$44/100*O105</f>
        <v>8.316204614275215</v>
      </c>
      <c r="P118" s="37">
        <f>$C$32*$C$44/100*P105</f>
        <v>8.732014844988976</v>
      </c>
      <c r="Q118" s="37">
        <f>$C$32*$C$44/100*Q105</f>
        <v>9.168615587238426</v>
      </c>
      <c r="R118" s="37">
        <f>$C$32*$C$44/100*R105</f>
        <v>9.627046366600347</v>
      </c>
      <c r="S118" s="37">
        <f>$C$32*$C$44/100*S105</f>
        <v>10.108398684930364</v>
      </c>
      <c r="T118" s="37">
        <f>$C$32*$C$44/100*T105</f>
        <v>10.613818619176884</v>
      </c>
      <c r="U118" s="37">
        <f>$C$32*$C$44/100*U105</f>
        <v>11.144509550135727</v>
      </c>
      <c r="V118" s="37">
        <f>$C$32*$C$44/100*V105</f>
        <v>11.701735027642515</v>
      </c>
      <c r="W118" s="37">
        <f>$C$32*$C$44/100*W105</f>
        <v>12.286821779024642</v>
      </c>
      <c r="X118" s="37">
        <f>$C$32*$C$44/100*X105</f>
        <v>12.901162867975874</v>
      </c>
      <c r="Y118" s="37">
        <f>$C$32*$C$44/100*Y105</f>
        <v>13.546221011374667</v>
      </c>
      <c r="Z118" s="37">
        <f>$C$32*$C$44/100*Z105</f>
        <v>14.223532061943402</v>
      </c>
      <c r="AA118" s="37">
        <f>$C$32*$C$44/100*AA105</f>
        <v>14.934708665040572</v>
      </c>
      <c r="AB118" s="37">
        <f>$C$32*$C$44/100*AB105</f>
        <v>15.681444098292602</v>
      </c>
      <c r="AC118" s="37">
        <f>$C$32*$C$44/100*AC105</f>
        <v>16.46551630320723</v>
      </c>
    </row>
    <row r="119" spans="1:29" x14ac:dyDescent="0.25">
      <c r="A119" s="33" t="s">
        <v>122</v>
      </c>
      <c r="B119" s="26" t="s">
        <v>86</v>
      </c>
      <c r="C119" s="57">
        <f>SUM(E119:AC119)</f>
        <v>301.75410418849856</v>
      </c>
      <c r="E119" s="37">
        <f>$C$33*$C$45/100*E105</f>
        <v>6.3224899828767995</v>
      </c>
      <c r="F119" s="37">
        <f>$C$33*$C$45/100*F105</f>
        <v>6.63861448202064</v>
      </c>
      <c r="G119" s="37">
        <f>$C$33*$C$45/100*G105</f>
        <v>6.970545206121671</v>
      </c>
      <c r="H119" s="37">
        <f>$C$33*$C$45/100*H105</f>
        <v>7.319072466427756</v>
      </c>
      <c r="I119" s="37">
        <f>$C$33*$C$45/100*I105</f>
        <v>7.685026089749145</v>
      </c>
      <c r="J119" s="37">
        <f>$C$33*$C$45/100*J105</f>
        <v>8.069277394236602</v>
      </c>
      <c r="K119" s="37">
        <f>$C$33*$C$45/100*K105</f>
        <v>8.472741263948432</v>
      </c>
      <c r="L119" s="37">
        <f>$C$33*$C$45/100*L105</f>
        <v>8.896378327145854</v>
      </c>
      <c r="M119" s="37">
        <f>$C$33*$C$45/100*M105</f>
        <v>9.341197243503148</v>
      </c>
      <c r="N119" s="37">
        <f>$C$33*$C$45/100*N105</f>
        <v>9.808257105678305</v>
      </c>
      <c r="O119" s="37">
        <f>$C$33*$C$45/100*O105</f>
        <v>10.298669960962222</v>
      </c>
      <c r="P119" s="37">
        <f>$C$33*$C$45/100*P105</f>
        <v>10.813603459010332</v>
      </c>
      <c r="Q119" s="37">
        <f>$C$33*$C$45/100*Q105</f>
        <v>11.354283631960849</v>
      </c>
      <c r="R119" s="37">
        <f>$C$33*$C$45/100*R105</f>
        <v>11.921997813558892</v>
      </c>
      <c r="S119" s="37">
        <f>$C$33*$C$45/100*S105</f>
        <v>12.518097704236839</v>
      </c>
      <c r="T119" s="37">
        <f>$C$33*$C$45/100*T105</f>
        <v>13.14400258944868</v>
      </c>
      <c r="U119" s="37">
        <f>$C$33*$C$45/100*U105</f>
        <v>13.801202718921113</v>
      </c>
      <c r="V119" s="37">
        <f>$C$33*$C$45/100*V105</f>
        <v>14.49126285486717</v>
      </c>
      <c r="W119" s="37">
        <f>$C$33*$C$45/100*W105</f>
        <v>15.215825997610532</v>
      </c>
      <c r="X119" s="37">
        <f>$C$33*$C$45/100*X105</f>
        <v>15.976617297491059</v>
      </c>
      <c r="Y119" s="37">
        <f>$C$33*$C$45/100*Y105</f>
        <v>16.77544816236561</v>
      </c>
      <c r="Z119" s="37">
        <f>$C$33*$C$45/100*Z105</f>
        <v>17.61422057048389</v>
      </c>
      <c r="AA119" s="37">
        <f>$C$33*$C$45/100*AA105</f>
        <v>18.494931599008087</v>
      </c>
      <c r="AB119" s="37">
        <f>$C$33*$C$45/100*AB105</f>
        <v>19.419678178958492</v>
      </c>
      <c r="AC119" s="37">
        <f>$C$33*$C$45/100*AC105</f>
        <v>20.390662087906417</v>
      </c>
    </row>
    <row r="120" spans="1:29" x14ac:dyDescent="0.25">
      <c r="A120" s="33" t="s">
        <v>123</v>
      </c>
      <c r="B120" s="26" t="s">
        <v>86</v>
      </c>
      <c r="C120" s="57">
        <f>SUM(E120:AC120)</f>
        <v>241.46163321131888</v>
      </c>
      <c r="E120" s="37">
        <f>$C$35*$C$46/100*E105</f>
        <v>5.0592145592624025</v>
      </c>
      <c r="F120" s="37">
        <f>$C$35*$C$46/100*F105</f>
        <v>5.312175287225523</v>
      </c>
      <c r="G120" s="37">
        <f>$C$35*$C$46/100*G105</f>
        <v>5.577784051586799</v>
      </c>
      <c r="H120" s="37">
        <f>$C$35*$C$46/100*H105</f>
        <v>5.8566732541661395</v>
      </c>
      <c r="I120" s="37">
        <f>$C$35*$C$46/100*I105</f>
        <v>6.149506916874447</v>
      </c>
      <c r="J120" s="37">
        <f>$C$35*$C$46/100*J105</f>
        <v>6.45698226271817</v>
      </c>
      <c r="K120" s="37">
        <f>$C$35*$C$46/100*K105</f>
        <v>6.779831375854078</v>
      </c>
      <c r="L120" s="37">
        <f>$C$35*$C$46/100*L105</f>
        <v>7.118822944646783</v>
      </c>
      <c r="M120" s="37">
        <f>$C$35*$C$46/100*M105</f>
        <v>7.474764091879122</v>
      </c>
      <c r="N120" s="37">
        <f>$C$35*$C$46/100*N105</f>
        <v>7.848502296473078</v>
      </c>
      <c r="O120" s="37">
        <f>$C$35*$C$46/100*O105</f>
        <v>8.240927411296733</v>
      </c>
      <c r="P120" s="37">
        <f>$C$35*$C$46/100*P105</f>
        <v>8.652973781861569</v>
      </c>
      <c r="Q120" s="37">
        <f>$C$35*$C$46/100*Q105</f>
        <v>9.085622470954648</v>
      </c>
      <c r="R120" s="37">
        <f>$C$35*$C$46/100*R105</f>
        <v>9.53990359450238</v>
      </c>
      <c r="S120" s="37">
        <f>$C$35*$C$46/100*S105</f>
        <v>10.016898774227501</v>
      </c>
      <c r="T120" s="37">
        <f>$C$35*$C$46/100*T105</f>
        <v>10.517743712938877</v>
      </c>
      <c r="U120" s="37">
        <f>$C$35*$C$46/100*U105</f>
        <v>11.04363089858582</v>
      </c>
      <c r="V120" s="37">
        <f>$C$35*$C$46/100*V105</f>
        <v>11.595812443515111</v>
      </c>
      <c r="W120" s="37">
        <f>$C$35*$C$46/100*W105</f>
        <v>12.175603065690868</v>
      </c>
      <c r="X120" s="37">
        <f>$C$35*$C$46/100*X105</f>
        <v>12.784383218975412</v>
      </c>
      <c r="Y120" s="37">
        <f>$C$35*$C$46/100*Y105</f>
        <v>13.423602379924182</v>
      </c>
      <c r="Z120" s="37">
        <f>$C$35*$C$46/100*Z105</f>
        <v>14.094782498920393</v>
      </c>
      <c r="AA120" s="37">
        <f>$C$35*$C$46/100*AA105</f>
        <v>14.799521623866413</v>
      </c>
      <c r="AB120" s="37">
        <f>$C$35*$C$46/100*AB105</f>
        <v>15.539497705059734</v>
      </c>
      <c r="AC120" s="37">
        <f>$C$35*$C$46/100*AC105</f>
        <v>16.31647259031272</v>
      </c>
    </row>
    <row r="121" spans="1:29" x14ac:dyDescent="0.25">
      <c r="A121" s="33" t="s">
        <v>126</v>
      </c>
      <c r="B121" s="26" t="s">
        <v>86</v>
      </c>
      <c r="C121" s="57">
        <f>SUM(E121:AC121)</f>
        <v>110.48164167400348</v>
      </c>
      <c r="E121" s="37">
        <f>$C$82*$C$48</f>
        <v>4.419265666960138</v>
      </c>
      <c r="F121" s="37">
        <f>$C$82*$C$48</f>
        <v>4.419265666960138</v>
      </c>
      <c r="G121" s="37">
        <f>$C$82*$C$48</f>
        <v>4.419265666960138</v>
      </c>
      <c r="H121" s="37">
        <f>$C$82*$C$48</f>
        <v>4.419265666960138</v>
      </c>
      <c r="I121" s="37">
        <f>$C$82*$C$48</f>
        <v>4.419265666960138</v>
      </c>
      <c r="J121" s="37">
        <f>$C$82*$C$48</f>
        <v>4.419265666960138</v>
      </c>
      <c r="K121" s="37">
        <f>$C$82*$C$48</f>
        <v>4.419265666960138</v>
      </c>
      <c r="L121" s="37">
        <f>$C$82*$C$48</f>
        <v>4.419265666960138</v>
      </c>
      <c r="M121" s="37">
        <f>$C$82*$C$48</f>
        <v>4.419265666960138</v>
      </c>
      <c r="N121" s="37">
        <f>$C$82*$C$48</f>
        <v>4.419265666960138</v>
      </c>
      <c r="O121" s="37">
        <f>$C$82*$C$48</f>
        <v>4.419265666960138</v>
      </c>
      <c r="P121" s="37">
        <f>$C$82*$C$48</f>
        <v>4.419265666960138</v>
      </c>
      <c r="Q121" s="37">
        <f>$C$82*$C$48</f>
        <v>4.419265666960138</v>
      </c>
      <c r="R121" s="37">
        <f>$C$82*$C$48</f>
        <v>4.419265666960138</v>
      </c>
      <c r="S121" s="37">
        <f>$C$82*$C$48</f>
        <v>4.419265666960138</v>
      </c>
      <c r="T121" s="37">
        <f>$C$82*$C$48</f>
        <v>4.419265666960138</v>
      </c>
      <c r="U121" s="37">
        <f>$C$82*$C$48</f>
        <v>4.419265666960138</v>
      </c>
      <c r="V121" s="37">
        <f>$C$82*$C$48</f>
        <v>4.419265666960138</v>
      </c>
      <c r="W121" s="37">
        <f>$C$82*$C$48</f>
        <v>4.419265666960138</v>
      </c>
      <c r="X121" s="37">
        <f>$C$82*$C$48</f>
        <v>4.419265666960138</v>
      </c>
      <c r="Y121" s="37">
        <f>$C$82*$C$48</f>
        <v>4.419265666960138</v>
      </c>
      <c r="Z121" s="37">
        <f>$C$82*$C$48</f>
        <v>4.419265666960138</v>
      </c>
      <c r="AA121" s="37">
        <f>$C$82*$C$48</f>
        <v>4.419265666960138</v>
      </c>
      <c r="AB121" s="37">
        <f>$C$82*$C$48</f>
        <v>4.419265666960138</v>
      </c>
      <c r="AC121" s="37">
        <f>$C$82*$C$48</f>
        <v>4.419265666960138</v>
      </c>
    </row>
    <row r="122" spans="1:29" x14ac:dyDescent="0.25">
      <c r="A122" s="33" t="s">
        <v>128</v>
      </c>
      <c r="B122" s="26" t="s">
        <v>86</v>
      </c>
      <c r="C122" s="57">
        <f>SUM(E122:AC122)</f>
        <v>0</v>
      </c>
      <c r="E122" s="37">
        <f>$C$49*E105</f>
        <v>0</v>
      </c>
      <c r="F122" s="37">
        <f>$C$49*F105</f>
        <v>0</v>
      </c>
      <c r="G122" s="37">
        <f>$C$49*G105</f>
        <v>0</v>
      </c>
      <c r="H122" s="37">
        <f>$C$49*H105</f>
        <v>0</v>
      </c>
      <c r="I122" s="37">
        <f>$C$49*I105</f>
        <v>0</v>
      </c>
      <c r="J122" s="37">
        <f>$C$49*J105</f>
        <v>0</v>
      </c>
      <c r="K122" s="37">
        <f>$C$49*K105</f>
        <v>0</v>
      </c>
      <c r="L122" s="37">
        <f>$C$49*L105</f>
        <v>0</v>
      </c>
      <c r="M122" s="37">
        <f>$C$49*M105</f>
        <v>0</v>
      </c>
      <c r="N122" s="37">
        <f>$C$49*N105</f>
        <v>0</v>
      </c>
      <c r="O122" s="37">
        <f>$C$49*O105</f>
        <v>0</v>
      </c>
      <c r="P122" s="37">
        <f>$C$49*P105</f>
        <v>0</v>
      </c>
      <c r="Q122" s="37">
        <f>$C$49*Q105</f>
        <v>0</v>
      </c>
      <c r="R122" s="37">
        <f>$C$49*R105</f>
        <v>0</v>
      </c>
      <c r="S122" s="37">
        <f>$C$49*S105</f>
        <v>0</v>
      </c>
      <c r="T122" s="37">
        <f>$C$49*T105</f>
        <v>0</v>
      </c>
      <c r="U122" s="37">
        <f>$C$49*U105</f>
        <v>0</v>
      </c>
      <c r="V122" s="37">
        <f>$C$49*V105</f>
        <v>0</v>
      </c>
      <c r="W122" s="37">
        <f>$C$49*W105</f>
        <v>0</v>
      </c>
      <c r="X122" s="37">
        <f>$C$49*X105</f>
        <v>0</v>
      </c>
      <c r="Y122" s="37">
        <f>$C$49*Y105</f>
        <v>0</v>
      </c>
      <c r="Z122" s="37">
        <f>$C$49*Z105</f>
        <v>0</v>
      </c>
      <c r="AA122" s="37">
        <f>$C$49*AA105</f>
        <v>0</v>
      </c>
      <c r="AB122" s="37">
        <f>$C$49*AB105</f>
        <v>0</v>
      </c>
      <c r="AC122" s="37">
        <f>$C$49*AC105</f>
        <v>0</v>
      </c>
    </row>
    <row r="123" spans="1:29" x14ac:dyDescent="0.25">
      <c r="A123" s="61" t="s">
        <v>197</v>
      </c>
      <c r="B123" s="62" t="s">
        <v>86</v>
      </c>
      <c r="C123" s="63">
        <f>SUM(E123:AC123)</f>
        <v>897.3646568039651</v>
      </c>
      <c r="D123" s="64"/>
      <c r="E123" s="63">
        <f>SUM(E118:E122)</f>
        <v>20.906398440959713</v>
      </c>
      <c r="F123" s="63">
        <f>SUM(F118:F122)</f>
        <v>21.730755079659687</v>
      </c>
      <c r="G123" s="63">
        <f>SUM(G118:G122)</f>
        <v>22.59632955029467</v>
      </c>
      <c r="H123" s="63">
        <f>SUM(H118:H122)</f>
        <v>23.505182744461393</v>
      </c>
      <c r="I123" s="63">
        <f>SUM(I118:I122)</f>
        <v>24.45947859833646</v>
      </c>
      <c r="J123" s="63">
        <f>SUM(J118:J122)</f>
        <v>25.46148924490528</v>
      </c>
      <c r="K123" s="63">
        <f>SUM(K118:K122)</f>
        <v>26.513600423802536</v>
      </c>
      <c r="L123" s="63">
        <f>SUM(L118:L122)</f>
        <v>27.618317161644654</v>
      </c>
      <c r="M123" s="63">
        <f>SUM(M118:M122)</f>
        <v>28.77826973637888</v>
      </c>
      <c r="N123" s="63">
        <f>SUM(N118:N122)</f>
        <v>29.996219939849823</v>
      </c>
      <c r="O123" s="63">
        <f>SUM(O118:O122)</f>
        <v>31.275067653494304</v>
      </c>
      <c r="P123" s="63">
        <f>SUM(P118:P122)</f>
        <v>32.61785775282102</v>
      </c>
      <c r="Q123" s="63">
        <f>SUM(Q118:Q122)</f>
        <v>34.02778735711406</v>
      </c>
      <c r="R123" s="63">
        <f>SUM(R118:R122)</f>
        <v>35.508213441621756</v>
      </c>
      <c r="S123" s="63">
        <f>SUM(S118:S122)</f>
        <v>37.06266083035484</v>
      </c>
      <c r="T123" s="63">
        <f>SUM(T118:T122)</f>
        <v>38.694830588524574</v>
      </c>
      <c r="U123" s="63">
        <f>SUM(U118:U122)</f>
        <v>40.408608834602795</v>
      </c>
      <c r="V123" s="63">
        <f>SUM(V118:V122)</f>
        <v>42.20807599298494</v>
      </c>
      <c r="W123" s="63">
        <f>SUM(W118:W122)</f>
        <v>44.09751650928617</v>
      </c>
      <c r="X123" s="63">
        <f>SUM(X118:X122)</f>
        <v>46.08142905140248</v>
      </c>
      <c r="Y123" s="63">
        <f>SUM(Y118:Y122)</f>
        <v>48.164537220624595</v>
      </c>
      <c r="Z123" s="63">
        <f>SUM(Z118:Z122)</f>
        <v>50.35180079830782</v>
      </c>
      <c r="AA123" s="63">
        <f>SUM(AA118:AA122)</f>
        <v>52.648427554875205</v>
      </c>
      <c r="AB123" s="63">
        <f>SUM(AB118:AB122)</f>
        <v>55.05988564927096</v>
      </c>
      <c r="AC123" s="63">
        <f>SUM(AC118:AC122)</f>
        <v>57.5919166483865</v>
      </c>
    </row>
    <row r="124" spans="1:29" x14ac:dyDescent="0.25">
      <c r="A124" s="61" t="s">
        <v>198</v>
      </c>
      <c r="B124" s="62" t="s">
        <v>86</v>
      </c>
      <c r="C124" s="63">
        <f>SUM(E124:AC124)</f>
        <v>5048.078007529001</v>
      </c>
      <c r="D124" s="64"/>
      <c r="E124" s="63">
        <f>E115-E123</f>
        <v>222.46414653854953</v>
      </c>
      <c r="F124" s="63">
        <f>F115-F123</f>
        <v>221.1770533660004</v>
      </c>
      <c r="G124" s="63">
        <f>G115-G123</f>
        <v>219.8487423615161</v>
      </c>
      <c r="H124" s="63">
        <f>H115-H123</f>
        <v>218.47715263350022</v>
      </c>
      <c r="I124" s="63">
        <f>I115-I123</f>
        <v>217.06012024577598</v>
      </c>
      <c r="J124" s="63">
        <f>J115-J123</f>
        <v>215.59537306535788</v>
      </c>
      <c r="K124" s="63">
        <f>K115-K123</f>
        <v>214.08052535261146</v>
      </c>
      <c r="L124" s="63">
        <f>L115-L123</f>
        <v>212.51307208092004</v>
      </c>
      <c r="M124" s="63">
        <f>M115-M123</f>
        <v>210.89038297233665</v>
      </c>
      <c r="N124" s="63">
        <f>N115-N123</f>
        <v>209.20969623501654</v>
      </c>
      <c r="O124" s="63">
        <f>O115-O123</f>
        <v>207.46811198752283</v>
      </c>
      <c r="P124" s="63">
        <f>P115-P123</f>
        <v>205.6625853543469</v>
      </c>
      <c r="Q124" s="63">
        <f>Q115-Q123</f>
        <v>203.78991921620468</v>
      </c>
      <c r="R124" s="63">
        <f>R115-R123</f>
        <v>201.8467565978477</v>
      </c>
      <c r="S124" s="63">
        <f>S115-S123</f>
        <v>199.82957267526544</v>
      </c>
      <c r="T124" s="63">
        <f>T115-T123</f>
        <v>197.73466638324652</v>
      </c>
      <c r="U124" s="63">
        <f>U115-U123</f>
        <v>195.5581516033191</v>
      </c>
      <c r="V124" s="63">
        <f>V115-V123</f>
        <v>193.29594791108772</v>
      </c>
      <c r="W124" s="63">
        <f>W115-W123</f>
        <v>190.9437708609373</v>
      </c>
      <c r="X124" s="63">
        <f>X115-X123</f>
        <v>188.4971217849718</v>
      </c>
      <c r="Y124" s="63">
        <f>Y115-Y123</f>
        <v>185.95127708190043</v>
      </c>
      <c r="Z124" s="63">
        <f>Z115-Z123</f>
        <v>183.30127697036806</v>
      </c>
      <c r="AA124" s="63">
        <f>AA115-AA123</f>
        <v>180.54191367995136</v>
      </c>
      <c r="AB124" s="63">
        <f>AB115-AB123</f>
        <v>177.66771905170643</v>
      </c>
      <c r="AC124" s="63">
        <f>AC115-AC123</f>
        <v>174.67295151874163</v>
      </c>
    </row>
    <row r="125" spans="1:29" x14ac:dyDescent="0.25">
      <c r="A125" s="33" t="s">
        <v>199</v>
      </c>
      <c r="B125" s="26" t="s">
        <v>83</v>
      </c>
      <c r="E125" s="32">
        <f>IF(E115&lt;&gt;0,E124/E115,"")</f>
        <v>0.9140964308449079</v>
      </c>
      <c r="F125" s="32">
        <f>IF(F115&lt;&gt;0,F124/F115,"")</f>
        <v>0.910539083865964</v>
      </c>
      <c r="G125" s="32">
        <f>IF(G115&lt;&gt;0,G124/G115,"")</f>
        <v>0.9067981486606002</v>
      </c>
      <c r="H125" s="32">
        <f>IF(H115&lt;&gt;0,H124/H115,"")</f>
        <v>0.9028640553131793</v>
      </c>
      <c r="I125" s="32">
        <f>IF(I115&lt;&gt;0,I124/I115,"")</f>
        <v>0.8987267339156036</v>
      </c>
      <c r="J125" s="32">
        <f>IF(J115&lt;&gt;0,J124/J115,"")</f>
        <v>0.8943755883948497</v>
      </c>
      <c r="K125" s="32">
        <f>IF(K115&lt;&gt;0,K124/K115,"")</f>
        <v>0.8897994689677426</v>
      </c>
      <c r="L125" s="32">
        <f>IF(L115&lt;&gt;0,L124/L115,"")</f>
        <v>0.8849866431508191</v>
      </c>
      <c r="M125" s="32">
        <f>IF(M115&lt;&gt;0,M124/M115,"")</f>
        <v>0.8799247652493172</v>
      </c>
      <c r="N125" s="32">
        <f>IF(N115&lt;&gt;0,N124/N115,"")</f>
        <v>0.8746008442453332</v>
      </c>
      <c r="O125" s="32">
        <f>IF(O115&lt;&gt;0,O124/O115,"")</f>
        <v>0.8690012100009701</v>
      </c>
      <c r="P125" s="32">
        <f>IF(P115&lt;&gt;0,P124/P115,"")</f>
        <v>0.8631114776878648</v>
      </c>
      <c r="Q125" s="32">
        <f>IF(Q115&lt;&gt;0,Q124/Q115,"")</f>
        <v>0.8569165103498155</v>
      </c>
      <c r="R125" s="32">
        <f>IF(R115&lt;&gt;0,R124/R115,"")</f>
        <v>0.8504003795003022</v>
      </c>
      <c r="S125" s="32">
        <f>IF(S115&lt;&gt;0,S124/S115,"")</f>
        <v>0.8435463236515285</v>
      </c>
      <c r="T125" s="32">
        <f>IF(T115&lt;&gt;0,T124/T115,"")</f>
        <v>0.83633670466615</v>
      </c>
      <c r="U125" s="32">
        <f>IF(U115&lt;&gt;0,U124/U115,"")</f>
        <v>0.8287529618171221</v>
      </c>
      <c r="V125" s="32">
        <f>IF(V115&lt;&gt;0,V124/V115,"")</f>
        <v>0.8207755634350543</v>
      </c>
      <c r="W125" s="32">
        <f>IF(W115&lt;&gt;0,W124/W115,"")</f>
        <v>0.8123839560160921</v>
      </c>
      <c r="X125" s="32">
        <f>IF(X115&lt;&gt;0,X124/X115,"")</f>
        <v>0.8035565106566556</v>
      </c>
      <c r="Y125" s="32">
        <f>IF(Y115&lt;&gt;0,Y124/Y115,"")</f>
        <v>0.7942704666743005</v>
      </c>
      <c r="Z125" s="32">
        <f>IF(Z115&lt;&gt;0,Z124/Z115,"")</f>
        <v>0.7845018722665501</v>
      </c>
      <c r="AA125" s="32">
        <f>IF(AA115&lt;&gt;0,AA124/AA115,"")</f>
        <v>0.7742255220517158</v>
      </c>
      <c r="AB125" s="32">
        <f>IF(AB115&lt;&gt;0,AB124/AB115,"")</f>
        <v>0.7634148913275017</v>
      </c>
      <c r="AC125" s="32">
        <f>IF(AC115&lt;&gt;0,AC124/AC115,"")</f>
        <v>0.7520420668745057</v>
      </c>
    </row>
    <row r="127" ht="20" customHeight="1" spans="1:29" x14ac:dyDescent="0.25">
      <c r="A127" s="21" t="s">
        <v>200</v>
      </c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</row>
    <row r="128" spans="1:29" x14ac:dyDescent="0.25">
      <c r="A128" s="33" t="s">
        <v>143</v>
      </c>
      <c r="B128" s="26" t="s">
        <v>86</v>
      </c>
      <c r="C128" s="57">
        <f>SUM(E128:AC128)</f>
        <v>242.84229884459526</v>
      </c>
      <c r="E128" s="37">
        <f>IF($C$57="annual",IF(E$5&gt;=2,$C$35*$C$58*$C$39*E106,0),IF(AND($C$57="oneTime",E$5=$C$59,$C$59&gt;1,$C$59&lt;=$C$87),$C$35*MIN(0.6,$C$58*(E$5-1))*$C$39*E106,0))</f>
        <v>0</v>
      </c>
      <c r="F128" s="37">
        <f>IF($C$57="annual",IF(F$5&gt;=2,$C$35*$C$58*$C$39*F106,0),IF(AND($C$57="oneTime",F$5=$C$59,$C$59&gt;1,$C$59&lt;=$C$87),$C$35*MIN(0.6,$C$58*(F$5-1))*$C$39*F106,0))</f>
        <v>10.118429118524805</v>
      </c>
      <c r="G128" s="37">
        <f>IF($C$57="annual",IF(G$5&gt;=2,$C$35*$C$58*$C$39*G106,0),IF(AND($C$57="oneTime",G$5=$C$59,$C$59&gt;1,$C$59&lt;=$C$87),$C$35*MIN(0.6,$C$58*(G$5-1))*$C$39*G106,0))</f>
        <v>10.118429118524805</v>
      </c>
      <c r="H128" s="37">
        <f>IF($C$57="annual",IF(H$5&gt;=2,$C$35*$C$58*$C$39*H106,0),IF(AND($C$57="oneTime",H$5=$C$59,$C$59&gt;1,$C$59&lt;=$C$87),$C$35*MIN(0.6,$C$58*(H$5-1))*$C$39*H106,0))</f>
        <v>10.118429118524805</v>
      </c>
      <c r="I128" s="37">
        <f>IF($C$57="annual",IF(I$5&gt;=2,$C$35*$C$58*$C$39*I106,0),IF(AND($C$57="oneTime",I$5=$C$59,$C$59&gt;1,$C$59&lt;=$C$87),$C$35*MIN(0.6,$C$58*(I$5-1))*$C$39*I106,0))</f>
        <v>10.118429118524805</v>
      </c>
      <c r="J128" s="37">
        <f>IF($C$57="annual",IF(J$5&gt;=2,$C$35*$C$58*$C$39*J106,0),IF(AND($C$57="oneTime",J$5=$C$59,$C$59&gt;1,$C$59&lt;=$C$87),$C$35*MIN(0.6,$C$58*(J$5-1))*$C$39*J106,0))</f>
        <v>10.118429118524805</v>
      </c>
      <c r="K128" s="37">
        <f>IF($C$57="annual",IF(K$5&gt;=2,$C$35*$C$58*$C$39*K106,0),IF(AND($C$57="oneTime",K$5=$C$59,$C$59&gt;1,$C$59&lt;=$C$87),$C$35*MIN(0.6,$C$58*(K$5-1))*$C$39*K106,0))</f>
        <v>10.118429118524805</v>
      </c>
      <c r="L128" s="37">
        <f>IF($C$57="annual",IF(L$5&gt;=2,$C$35*$C$58*$C$39*L106,0),IF(AND($C$57="oneTime",L$5=$C$59,$C$59&gt;1,$C$59&lt;=$C$87),$C$35*MIN(0.6,$C$58*(L$5-1))*$C$39*L106,0))</f>
        <v>10.118429118524805</v>
      </c>
      <c r="M128" s="37">
        <f>IF($C$57="annual",IF(M$5&gt;=2,$C$35*$C$58*$C$39*M106,0),IF(AND($C$57="oneTime",M$5=$C$59,$C$59&gt;1,$C$59&lt;=$C$87),$C$35*MIN(0.6,$C$58*(M$5-1))*$C$39*M106,0))</f>
        <v>10.118429118524805</v>
      </c>
      <c r="N128" s="37">
        <f>IF($C$57="annual",IF(N$5&gt;=2,$C$35*$C$58*$C$39*N106,0),IF(AND($C$57="oneTime",N$5=$C$59,$C$59&gt;1,$C$59&lt;=$C$87),$C$35*MIN(0.6,$C$58*(N$5-1))*$C$39*N106,0))</f>
        <v>10.118429118524805</v>
      </c>
      <c r="O128" s="37">
        <f>IF($C$57="annual",IF(O$5&gt;=2,$C$35*$C$58*$C$39*O106,0),IF(AND($C$57="oneTime",O$5=$C$59,$C$59&gt;1,$C$59&lt;=$C$87),$C$35*MIN(0.6,$C$58*(O$5-1))*$C$39*O106,0))</f>
        <v>10.118429118524805</v>
      </c>
      <c r="P128" s="37">
        <f>IF($C$57="annual",IF(P$5&gt;=2,$C$35*$C$58*$C$39*P106,0),IF(AND($C$57="oneTime",P$5=$C$59,$C$59&gt;1,$C$59&lt;=$C$87),$C$35*MIN(0.6,$C$58*(P$5-1))*$C$39*P106,0))</f>
        <v>10.118429118524805</v>
      </c>
      <c r="Q128" s="37">
        <f>IF($C$57="annual",IF(Q$5&gt;=2,$C$35*$C$58*$C$39*Q106,0),IF(AND($C$57="oneTime",Q$5=$C$59,$C$59&gt;1,$C$59&lt;=$C$87),$C$35*MIN(0.6,$C$58*(Q$5-1))*$C$39*Q106,0))</f>
        <v>10.118429118524805</v>
      </c>
      <c r="R128" s="37">
        <f>IF($C$57="annual",IF(R$5&gt;=2,$C$35*$C$58*$C$39*R106,0),IF(AND($C$57="oneTime",R$5=$C$59,$C$59&gt;1,$C$59&lt;=$C$87),$C$35*MIN(0.6,$C$58*(R$5-1))*$C$39*R106,0))</f>
        <v>10.118429118524805</v>
      </c>
      <c r="S128" s="37">
        <f>IF($C$57="annual",IF(S$5&gt;=2,$C$35*$C$58*$C$39*S106,0),IF(AND($C$57="oneTime",S$5=$C$59,$C$59&gt;1,$C$59&lt;=$C$87),$C$35*MIN(0.6,$C$58*(S$5-1))*$C$39*S106,0))</f>
        <v>10.118429118524805</v>
      </c>
      <c r="T128" s="37">
        <f>IF($C$57="annual",IF(T$5&gt;=2,$C$35*$C$58*$C$39*T106,0),IF(AND($C$57="oneTime",T$5=$C$59,$C$59&gt;1,$C$59&lt;=$C$87),$C$35*MIN(0.6,$C$58*(T$5-1))*$C$39*T106,0))</f>
        <v>10.118429118524805</v>
      </c>
      <c r="U128" s="37">
        <f>IF($C$57="annual",IF(U$5&gt;=2,$C$35*$C$58*$C$39*U106,0),IF(AND($C$57="oneTime",U$5=$C$59,$C$59&gt;1,$C$59&lt;=$C$87),$C$35*MIN(0.6,$C$58*(U$5-1))*$C$39*U106,0))</f>
        <v>10.118429118524805</v>
      </c>
      <c r="V128" s="37">
        <f>IF($C$57="annual",IF(V$5&gt;=2,$C$35*$C$58*$C$39*V106,0),IF(AND($C$57="oneTime",V$5=$C$59,$C$59&gt;1,$C$59&lt;=$C$87),$C$35*MIN(0.6,$C$58*(V$5-1))*$C$39*V106,0))</f>
        <v>10.118429118524805</v>
      </c>
      <c r="W128" s="37">
        <f>IF($C$57="annual",IF(W$5&gt;=2,$C$35*$C$58*$C$39*W106,0),IF(AND($C$57="oneTime",W$5=$C$59,$C$59&gt;1,$C$59&lt;=$C$87),$C$35*MIN(0.6,$C$58*(W$5-1))*$C$39*W106,0))</f>
        <v>10.118429118524805</v>
      </c>
      <c r="X128" s="37">
        <f>IF($C$57="annual",IF(X$5&gt;=2,$C$35*$C$58*$C$39*X106,0),IF(AND($C$57="oneTime",X$5=$C$59,$C$59&gt;1,$C$59&lt;=$C$87),$C$35*MIN(0.6,$C$58*(X$5-1))*$C$39*X106,0))</f>
        <v>10.118429118524805</v>
      </c>
      <c r="Y128" s="37">
        <f>IF($C$57="annual",IF(Y$5&gt;=2,$C$35*$C$58*$C$39*Y106,0),IF(AND($C$57="oneTime",Y$5=$C$59,$C$59&gt;1,$C$59&lt;=$C$87),$C$35*MIN(0.6,$C$58*(Y$5-1))*$C$39*Y106,0))</f>
        <v>10.118429118524805</v>
      </c>
      <c r="Z128" s="37">
        <f>IF($C$57="annual",IF(Z$5&gt;=2,$C$35*$C$58*$C$39*Z106,0),IF(AND($C$57="oneTime",Z$5=$C$59,$C$59&gt;1,$C$59&lt;=$C$87),$C$35*MIN(0.6,$C$58*(Z$5-1))*$C$39*Z106,0))</f>
        <v>10.118429118524805</v>
      </c>
      <c r="AA128" s="37">
        <f>IF($C$57="annual",IF(AA$5&gt;=2,$C$35*$C$58*$C$39*AA106,0),IF(AND($C$57="oneTime",AA$5=$C$59,$C$59&gt;1,$C$59&lt;=$C$87),$C$35*MIN(0.6,$C$58*(AA$5-1))*$C$39*AA106,0))</f>
        <v>10.118429118524805</v>
      </c>
      <c r="AB128" s="37">
        <f>IF($C$57="annual",IF(AB$5&gt;=2,$C$35*$C$58*$C$39*AB106,0),IF(AND($C$57="oneTime",AB$5=$C$59,$C$59&gt;1,$C$59&lt;=$C$87),$C$35*MIN(0.6,$C$58*(AB$5-1))*$C$39*AB106,0))</f>
        <v>10.118429118524805</v>
      </c>
      <c r="AC128" s="37">
        <f>IF($C$57="annual",IF(AC$5&gt;=2,$C$35*$C$58*$C$39*AC106,0),IF(AND($C$57="oneTime",AC$5=$C$59,$C$59&gt;1,$C$59&lt;=$C$87),$C$35*MIN(0.6,$C$58*(AC$5-1))*$C$39*AC106,0))</f>
        <v>10.118429118524805</v>
      </c>
    </row>
    <row r="130" ht="20" customHeight="1" spans="1:29" x14ac:dyDescent="0.25">
      <c r="A130" s="21" t="s">
        <v>201</v>
      </c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</row>
    <row r="131" spans="1:29" x14ac:dyDescent="0.25">
      <c r="A131" s="33" t="s">
        <v>202</v>
      </c>
      <c r="B131" s="26" t="s">
        <v>86</v>
      </c>
      <c r="C131" s="57">
        <f>SUM(E131:AC131)</f>
        <v>1392.068685092443</v>
      </c>
      <c r="E131" s="37">
        <f>IF(E$5&lt;=$C$72,$C$92,0)</f>
        <v>55.682747403697746</v>
      </c>
      <c r="F131" s="37">
        <f>IF(F$5&lt;=$C$72,$C$92,0)</f>
        <v>55.682747403697746</v>
      </c>
      <c r="G131" s="37">
        <f>IF(G$5&lt;=$C$72,$C$92,0)</f>
        <v>55.682747403697746</v>
      </c>
      <c r="H131" s="37">
        <f>IF(H$5&lt;=$C$72,$C$92,0)</f>
        <v>55.682747403697746</v>
      </c>
      <c r="I131" s="37">
        <f>IF(I$5&lt;=$C$72,$C$92,0)</f>
        <v>55.682747403697746</v>
      </c>
      <c r="J131" s="37">
        <f>IF(J$5&lt;=$C$72,$C$92,0)</f>
        <v>55.682747403697746</v>
      </c>
      <c r="K131" s="37">
        <f>IF(K$5&lt;=$C$72,$C$92,0)</f>
        <v>55.682747403697746</v>
      </c>
      <c r="L131" s="37">
        <f>IF(L$5&lt;=$C$72,$C$92,0)</f>
        <v>55.682747403697746</v>
      </c>
      <c r="M131" s="37">
        <f>IF(M$5&lt;=$C$72,$C$92,0)</f>
        <v>55.682747403697746</v>
      </c>
      <c r="N131" s="37">
        <f>IF(N$5&lt;=$C$72,$C$92,0)</f>
        <v>55.682747403697746</v>
      </c>
      <c r="O131" s="37">
        <f>IF(O$5&lt;=$C$72,$C$92,0)</f>
        <v>55.682747403697746</v>
      </c>
      <c r="P131" s="37">
        <f>IF(P$5&lt;=$C$72,$C$92,0)</f>
        <v>55.682747403697746</v>
      </c>
      <c r="Q131" s="37">
        <f>IF(Q$5&lt;=$C$72,$C$92,0)</f>
        <v>55.682747403697746</v>
      </c>
      <c r="R131" s="37">
        <f>IF(R$5&lt;=$C$72,$C$92,0)</f>
        <v>55.682747403697746</v>
      </c>
      <c r="S131" s="37">
        <f>IF(S$5&lt;=$C$72,$C$92,0)</f>
        <v>55.682747403697746</v>
      </c>
      <c r="T131" s="37">
        <f>IF(T$5&lt;=$C$72,$C$92,0)</f>
        <v>55.682747403697746</v>
      </c>
      <c r="U131" s="37">
        <f>IF(U$5&lt;=$C$72,$C$92,0)</f>
        <v>55.682747403697746</v>
      </c>
      <c r="V131" s="37">
        <f>IF(V$5&lt;=$C$72,$C$92,0)</f>
        <v>55.682747403697746</v>
      </c>
      <c r="W131" s="37">
        <f>IF(W$5&lt;=$C$72,$C$92,0)</f>
        <v>55.682747403697746</v>
      </c>
      <c r="X131" s="37">
        <f>IF(X$5&lt;=$C$72,$C$92,0)</f>
        <v>55.682747403697746</v>
      </c>
      <c r="Y131" s="37">
        <f>IF(Y$5&lt;=$C$72,$C$92,0)</f>
        <v>55.682747403697746</v>
      </c>
      <c r="Z131" s="37">
        <f>IF(Z$5&lt;=$C$72,$C$92,0)</f>
        <v>55.682747403697746</v>
      </c>
      <c r="AA131" s="37">
        <f>IF(AA$5&lt;=$C$72,$C$92,0)</f>
        <v>55.682747403697746</v>
      </c>
      <c r="AB131" s="37">
        <f>IF(AB$5&lt;=$C$72,$C$92,0)</f>
        <v>55.682747403697746</v>
      </c>
      <c r="AC131" s="37">
        <f>IF(AC$5&lt;=$C$72,$C$92,0)</f>
        <v>55.682747403697746</v>
      </c>
    </row>
    <row r="132" spans="1:29" x14ac:dyDescent="0.25">
      <c r="A132" s="33" t="s">
        <v>203</v>
      </c>
      <c r="B132" s="26" t="s">
        <v>86</v>
      </c>
      <c r="E132" s="37">
        <f>E128/MAX(1,$C$87-E$5+1)</f>
        <v>0</v>
      </c>
      <c r="F132" s="37">
        <f>F128/MAX(1,$C$87-F$5+1)</f>
        <v>0.4216012132718669</v>
      </c>
      <c r="G132" s="37">
        <f>G128/MAX(1,$C$87-G$5+1)</f>
        <v>0.4399317008054263</v>
      </c>
      <c r="H132" s="37">
        <f>H128/MAX(1,$C$87-H$5+1)</f>
        <v>0.45992859629658206</v>
      </c>
      <c r="I132" s="37">
        <f>I128/MAX(1,$C$87-I$5+1)</f>
        <v>0.48182995802499073</v>
      </c>
      <c r="J132" s="37">
        <f>J128/MAX(1,$C$87-J$5+1)</f>
        <v>0.5059214559262403</v>
      </c>
      <c r="K132" s="37">
        <f>K128/MAX(1,$C$87-K$5+1)</f>
        <v>0.5325489009749897</v>
      </c>
      <c r="L132" s="37">
        <f>L128/MAX(1,$C$87-L$5+1)</f>
        <v>0.5621349510291558</v>
      </c>
      <c r="M132" s="37">
        <f>M128/MAX(1,$C$87-M$5+1)</f>
        <v>0.5952017128544003</v>
      </c>
      <c r="N132" s="37">
        <f>N128/MAX(1,$C$87-N$5+1)</f>
        <v>0.6324018199078003</v>
      </c>
      <c r="O132" s="37">
        <f>O128/MAX(1,$C$87-O$5+1)</f>
        <v>0.674561941234987</v>
      </c>
      <c r="P132" s="37">
        <f>P128/MAX(1,$C$87-P$5+1)</f>
        <v>0.7227449370374861</v>
      </c>
      <c r="Q132" s="37">
        <f>Q128/MAX(1,$C$87-Q$5+1)</f>
        <v>0.778340701424985</v>
      </c>
      <c r="R132" s="37">
        <f>R128/MAX(1,$C$87-R$5+1)</f>
        <v>0.8432024265437338</v>
      </c>
      <c r="S132" s="37">
        <f>S128/MAX(1,$C$87-S$5+1)</f>
        <v>0.9198571925931641</v>
      </c>
      <c r="T132" s="37">
        <f>T128/MAX(1,$C$87-T$5+1)</f>
        <v>1.0118429118524805</v>
      </c>
      <c r="U132" s="37">
        <f>U128/MAX(1,$C$87-U$5+1)</f>
        <v>1.1242699020583116</v>
      </c>
      <c r="V132" s="37">
        <f>V128/MAX(1,$C$87-V$5+1)</f>
        <v>1.2648036398156006</v>
      </c>
      <c r="W132" s="37">
        <f>W128/MAX(1,$C$87-W$5+1)</f>
        <v>1.4454898740749722</v>
      </c>
      <c r="X132" s="37">
        <f>X128/MAX(1,$C$87-X$5+1)</f>
        <v>1.6864048530874676</v>
      </c>
      <c r="Y132" s="37">
        <f>Y128/MAX(1,$C$87-Y$5+1)</f>
        <v>2.023685823704961</v>
      </c>
      <c r="Z132" s="37">
        <f>Z128/MAX(1,$C$87-Z$5+1)</f>
        <v>2.5296072796312012</v>
      </c>
      <c r="AA132" s="37">
        <f>AA128/MAX(1,$C$87-AA$5+1)</f>
        <v>3.372809706174935</v>
      </c>
      <c r="AB132" s="37">
        <f>AB128/MAX(1,$C$87-AB$5+1)</f>
        <v>5.0592145592624025</v>
      </c>
      <c r="AC132" s="37">
        <f>AC128/MAX(1,$C$87-AC$5+1)</f>
        <v>10.118429118524805</v>
      </c>
    </row>
    <row r="133" spans="1:29" x14ac:dyDescent="0.25">
      <c r="A133" s="33" t="s">
        <v>204</v>
      </c>
      <c r="B133" s="26" t="s">
        <v>86</v>
      </c>
      <c r="C133" s="57">
        <f>SUM(E133:AC133)</f>
        <v>242.8422988445953</v>
      </c>
      <c r="E133" s="37">
        <f>E132</f>
        <v>0</v>
      </c>
      <c r="F133" s="37">
        <f>E133+F132</f>
        <v>0.4216012132718669</v>
      </c>
      <c r="G133" s="37">
        <f>F133+G132</f>
        <v>0.8615329140772932</v>
      </c>
      <c r="H133" s="37">
        <f>G133+H132</f>
        <v>1.3214615103738752</v>
      </c>
      <c r="I133" s="37">
        <f>H133+I132</f>
        <v>1.803291468398866</v>
      </c>
      <c r="J133" s="37">
        <f>I133+J132</f>
        <v>2.3092129243251063</v>
      </c>
      <c r="K133" s="37">
        <f>J133+K132</f>
        <v>2.841761825300096</v>
      </c>
      <c r="L133" s="37">
        <f>K133+L132</f>
        <v>3.4038967763292516</v>
      </c>
      <c r="M133" s="37">
        <f>L133+M132</f>
        <v>3.999098489183652</v>
      </c>
      <c r="N133" s="37">
        <f>M133+N132</f>
        <v>4.631500309091452</v>
      </c>
      <c r="O133" s="37">
        <f>N133+O132</f>
        <v>5.306062250326439</v>
      </c>
      <c r="P133" s="37">
        <f>O133+P132</f>
        <v>6.028807187363926</v>
      </c>
      <c r="Q133" s="37">
        <f>P133+Q132</f>
        <v>6.8071478887889105</v>
      </c>
      <c r="R133" s="37">
        <f>Q133+R132</f>
        <v>7.650350315332644</v>
      </c>
      <c r="S133" s="37">
        <f>R133+S132</f>
        <v>8.570207507925808</v>
      </c>
      <c r="T133" s="37">
        <f>S133+T132</f>
        <v>9.58205041977829</v>
      </c>
      <c r="U133" s="37">
        <f>T133+U132</f>
        <v>10.7063203218366</v>
      </c>
      <c r="V133" s="37">
        <f>U133+V132</f>
        <v>11.9711239616522</v>
      </c>
      <c r="W133" s="37">
        <f>V133+W132</f>
        <v>13.416613835727173</v>
      </c>
      <c r="X133" s="37">
        <f>W133+X132</f>
        <v>15.10301868881464</v>
      </c>
      <c r="Y133" s="37">
        <f>X133+Y132</f>
        <v>17.126704512519602</v>
      </c>
      <c r="Z133" s="37">
        <f>Y133+Z132</f>
        <v>19.656311792150802</v>
      </c>
      <c r="AA133" s="37">
        <f>Z133+AA132</f>
        <v>23.029121498325736</v>
      </c>
      <c r="AB133" s="37">
        <f>AA133+AB132</f>
        <v>28.088336057588137</v>
      </c>
      <c r="AC133" s="37">
        <f>AB133+AC132</f>
        <v>38.20676517611294</v>
      </c>
    </row>
    <row r="134" spans="1:29" x14ac:dyDescent="0.25">
      <c r="A134" s="61" t="s">
        <v>201</v>
      </c>
      <c r="B134" s="62" t="s">
        <v>86</v>
      </c>
      <c r="C134" s="63">
        <f>SUM(E134:AC134)</f>
        <v>1634.910983937039</v>
      </c>
      <c r="D134" s="64"/>
      <c r="E134" s="63">
        <f>E131+E133</f>
        <v>55.682747403697746</v>
      </c>
      <c r="F134" s="63">
        <f>F131+F133</f>
        <v>56.10434861696962</v>
      </c>
      <c r="G134" s="63">
        <f>G131+G133</f>
        <v>56.54428031777504</v>
      </c>
      <c r="H134" s="63">
        <f>H131+H133</f>
        <v>57.00420891407162</v>
      </c>
      <c r="I134" s="63">
        <f>I131+I133</f>
        <v>57.486038872096614</v>
      </c>
      <c r="J134" s="63">
        <f>J131+J133</f>
        <v>57.991960328022856</v>
      </c>
      <c r="K134" s="63">
        <f>K131+K133</f>
        <v>58.52450922899784</v>
      </c>
      <c r="L134" s="63">
        <f>L131+L133</f>
        <v>59.086644180027</v>
      </c>
      <c r="M134" s="63">
        <f>M131+M133</f>
        <v>59.6818458928814</v>
      </c>
      <c r="N134" s="63">
        <f>N131+N133</f>
        <v>60.3142477127892</v>
      </c>
      <c r="O134" s="63">
        <f>O131+O133</f>
        <v>60.98880965402419</v>
      </c>
      <c r="P134" s="63">
        <f>P131+P133</f>
        <v>61.71155459106167</v>
      </c>
      <c r="Q134" s="63">
        <f>Q131+Q133</f>
        <v>62.48989529248666</v>
      </c>
      <c r="R134" s="63">
        <f>R131+R133</f>
        <v>63.33309771903039</v>
      </c>
      <c r="S134" s="63">
        <f>S131+S133</f>
        <v>64.25295491162356</v>
      </c>
      <c r="T134" s="63">
        <f>T131+T133</f>
        <v>65.26479782347603</v>
      </c>
      <c r="U134" s="63">
        <f>U131+U133</f>
        <v>66.38906772553435</v>
      </c>
      <c r="V134" s="63">
        <f>V131+V133</f>
        <v>67.65387136534994</v>
      </c>
      <c r="W134" s="63">
        <f>W131+W133</f>
        <v>69.09936123942492</v>
      </c>
      <c r="X134" s="63">
        <f>X131+X133</f>
        <v>70.78576609251239</v>
      </c>
      <c r="Y134" s="63">
        <f>Y131+Y133</f>
        <v>72.80945191621734</v>
      </c>
      <c r="Z134" s="63">
        <f>Z131+Z133</f>
        <v>75.33905919584855</v>
      </c>
      <c r="AA134" s="63">
        <f>AA131+AA133</f>
        <v>78.71186890202348</v>
      </c>
      <c r="AB134" s="63">
        <f>AB131+AB133</f>
        <v>83.77108346128588</v>
      </c>
      <c r="AC134" s="63">
        <f>AC131+AC133</f>
        <v>93.88951257981068</v>
      </c>
    </row>
    <row r="136" ht="20" customHeight="1" spans="1:29" x14ac:dyDescent="0.25">
      <c r="A136" s="21" t="s">
        <v>94</v>
      </c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</row>
    <row r="137" spans="1:29" x14ac:dyDescent="0.25">
      <c r="A137" s="33" t="s">
        <v>205</v>
      </c>
      <c r="B137" s="26" t="s">
        <v>86</v>
      </c>
      <c r="E137" s="37">
        <f>$C$85</f>
        <v>1082.7200884052338</v>
      </c>
      <c r="F137" s="37">
        <f>E140</f>
        <v>1010.5387491782183</v>
      </c>
      <c r="G137" s="37">
        <f>F140</f>
        <v>938.3574099512027</v>
      </c>
      <c r="H137" s="37">
        <f>G140</f>
        <v>866.1760707241872</v>
      </c>
      <c r="I137" s="37">
        <f>H140</f>
        <v>793.9947314971716</v>
      </c>
      <c r="J137" s="37">
        <f>I140</f>
        <v>721.8133922701561</v>
      </c>
      <c r="K137" s="37">
        <f>J140</f>
        <v>649.6320530431406</v>
      </c>
      <c r="L137" s="37">
        <f>K140</f>
        <v>577.450713816125</v>
      </c>
      <c r="M137" s="37">
        <f>L140</f>
        <v>505.2693745891094</v>
      </c>
      <c r="N137" s="37">
        <f>M140</f>
        <v>433.0880353620938</v>
      </c>
      <c r="O137" s="37">
        <f>N140</f>
        <v>360.9066961350782</v>
      </c>
      <c r="P137" s="37">
        <f>O140</f>
        <v>288.7253569080626</v>
      </c>
      <c r="Q137" s="37">
        <f>P140</f>
        <v>216.54401768104702</v>
      </c>
      <c r="R137" s="37">
        <f>Q140</f>
        <v>144.36267845403142</v>
      </c>
      <c r="S137" s="37">
        <f>R140</f>
        <v>72.18133922701584</v>
      </c>
      <c r="T137" s="37">
        <f>S140</f>
        <v>2.5579538487363607e-13</v>
      </c>
      <c r="U137" s="37">
        <f>T140</f>
        <v>2.5579538487363607e-13</v>
      </c>
      <c r="V137" s="37">
        <f>U140</f>
        <v>2.5579538487363607e-13</v>
      </c>
      <c r="W137" s="37">
        <f>V140</f>
        <v>2.5579538487363607e-13</v>
      </c>
      <c r="X137" s="37">
        <f>W140</f>
        <v>2.5579538487363607e-13</v>
      </c>
      <c r="Y137" s="37">
        <f>X140</f>
        <v>2.5579538487363607e-13</v>
      </c>
      <c r="Z137" s="37">
        <f>Y140</f>
        <v>2.5579538487363607e-13</v>
      </c>
      <c r="AA137" s="37">
        <f>Z140</f>
        <v>2.5579538487363607e-13</v>
      </c>
      <c r="AB137" s="37">
        <f>AA140</f>
        <v>2.5579538487363607e-13</v>
      </c>
      <c r="AC137" s="37">
        <f>AB140</f>
        <v>2.5579538487363607e-13</v>
      </c>
    </row>
    <row r="138" spans="1:29" x14ac:dyDescent="0.25">
      <c r="A138" s="33" t="s">
        <v>206</v>
      </c>
      <c r="B138" s="26" t="s">
        <v>86</v>
      </c>
      <c r="C138" s="57">
        <f>SUM(E138:AC138)</f>
        <v>779.5584636517686</v>
      </c>
      <c r="E138" s="37">
        <f>E137*$C$63</f>
        <v>97.44480795647104</v>
      </c>
      <c r="F138" s="37">
        <f>F137*$C$63</f>
        <v>90.94848742603963</v>
      </c>
      <c r="G138" s="37">
        <f>G137*$C$63</f>
        <v>84.45216689560824</v>
      </c>
      <c r="H138" s="37">
        <f>H137*$C$63</f>
        <v>77.95584636517684</v>
      </c>
      <c r="I138" s="37">
        <f>I137*$C$63</f>
        <v>71.45952583474545</v>
      </c>
      <c r="J138" s="37">
        <f>J137*$C$63</f>
        <v>64.96320530431404</v>
      </c>
      <c r="K138" s="37">
        <f>K137*$C$63</f>
        <v>58.46688477388265</v>
      </c>
      <c r="L138" s="37">
        <f>L137*$C$63</f>
        <v>51.97056424345125</v>
      </c>
      <c r="M138" s="37">
        <f>M137*$C$63</f>
        <v>45.474243713019845</v>
      </c>
      <c r="N138" s="37">
        <f>N137*$C$63</f>
        <v>38.97792318258844</v>
      </c>
      <c r="O138" s="37">
        <f>O137*$C$63</f>
        <v>32.48160265215704</v>
      </c>
      <c r="P138" s="37">
        <f>P137*$C$63</f>
        <v>25.985282121725636</v>
      </c>
      <c r="Q138" s="37">
        <f>Q137*$C$63</f>
        <v>19.48896159129423</v>
      </c>
      <c r="R138" s="37">
        <f>R137*$C$63</f>
        <v>12.992641060862828</v>
      </c>
      <c r="S138" s="37">
        <f>S137*$C$63</f>
        <v>6.496320530431426</v>
      </c>
      <c r="T138" s="37">
        <f>T137*$C$63</f>
        <v>2.3021584638627244e-14</v>
      </c>
      <c r="U138" s="37">
        <f>U137*$C$63</f>
        <v>2.3021584638627244e-14</v>
      </c>
      <c r="V138" s="37">
        <f>V137*$C$63</f>
        <v>2.3021584638627244e-14</v>
      </c>
      <c r="W138" s="37">
        <f>W137*$C$63</f>
        <v>2.3021584638627244e-14</v>
      </c>
      <c r="X138" s="37">
        <f>X137*$C$63</f>
        <v>2.3021584638627244e-14</v>
      </c>
      <c r="Y138" s="37">
        <f>Y137*$C$63</f>
        <v>2.3021584638627244e-14</v>
      </c>
      <c r="Z138" s="37">
        <f>Z137*$C$63</f>
        <v>2.3021584638627244e-14</v>
      </c>
      <c r="AA138" s="37">
        <f>AA137*$C$63</f>
        <v>2.3021584638627244e-14</v>
      </c>
      <c r="AB138" s="37">
        <f>AB137*$C$63</f>
        <v>2.3021584638627244e-14</v>
      </c>
      <c r="AC138" s="37">
        <f>AC137*$C$63</f>
        <v>2.3021584638627244e-14</v>
      </c>
    </row>
    <row r="139" spans="1:29" x14ac:dyDescent="0.25">
      <c r="A139" s="33" t="s">
        <v>207</v>
      </c>
      <c r="B139" s="26" t="s">
        <v>86</v>
      </c>
      <c r="C139" s="57">
        <f>SUM(E139:AC139)</f>
        <v>1082.7200884052336</v>
      </c>
      <c r="E139" s="37">
        <f>IF(AND(E$5&lt;=$C$88,E137&gt;1E-9),IF($C$65="annuity",MIN(E137,$C$89-E138),MIN(E137,$C$90)),0)</f>
        <v>72.18133922701558</v>
      </c>
      <c r="F139" s="37">
        <f>IF(AND(F$5&lt;=$C$88,F137&gt;1E-9),IF($C$65="annuity",MIN(F137,$C$89-F138),MIN(F137,$C$90)),0)</f>
        <v>72.18133922701558</v>
      </c>
      <c r="G139" s="37">
        <f>IF(AND(G$5&lt;=$C$88,G137&gt;1E-9),IF($C$65="annuity",MIN(G137,$C$89-G138),MIN(G137,$C$90)),0)</f>
        <v>72.18133922701558</v>
      </c>
      <c r="H139" s="37">
        <f>IF(AND(H$5&lt;=$C$88,H137&gt;1E-9),IF($C$65="annuity",MIN(H137,$C$89-H138),MIN(H137,$C$90)),0)</f>
        <v>72.18133922701558</v>
      </c>
      <c r="I139" s="37">
        <f>IF(AND(I$5&lt;=$C$88,I137&gt;1E-9),IF($C$65="annuity",MIN(I137,$C$89-I138),MIN(I137,$C$90)),0)</f>
        <v>72.18133922701558</v>
      </c>
      <c r="J139" s="37">
        <f>IF(AND(J$5&lt;=$C$88,J137&gt;1E-9),IF($C$65="annuity",MIN(J137,$C$89-J138),MIN(J137,$C$90)),0)</f>
        <v>72.18133922701558</v>
      </c>
      <c r="K139" s="37">
        <f>IF(AND(K$5&lt;=$C$88,K137&gt;1E-9),IF($C$65="annuity",MIN(K137,$C$89-K138),MIN(K137,$C$90)),0)</f>
        <v>72.18133922701558</v>
      </c>
      <c r="L139" s="37">
        <f>IF(AND(L$5&lt;=$C$88,L137&gt;1E-9),IF($C$65="annuity",MIN(L137,$C$89-L138),MIN(L137,$C$90)),0)</f>
        <v>72.18133922701558</v>
      </c>
      <c r="M139" s="37">
        <f>IF(AND(M$5&lt;=$C$88,M137&gt;1E-9),IF($C$65="annuity",MIN(M137,$C$89-M138),MIN(M137,$C$90)),0)</f>
        <v>72.18133922701558</v>
      </c>
      <c r="N139" s="37">
        <f>IF(AND(N$5&lt;=$C$88,N137&gt;1E-9),IF($C$65="annuity",MIN(N137,$C$89-N138),MIN(N137,$C$90)),0)</f>
        <v>72.18133922701558</v>
      </c>
      <c r="O139" s="37">
        <f>IF(AND(O$5&lt;=$C$88,O137&gt;1E-9),IF($C$65="annuity",MIN(O137,$C$89-O138),MIN(O137,$C$90)),0)</f>
        <v>72.18133922701558</v>
      </c>
      <c r="P139" s="37">
        <f>IF(AND(P$5&lt;=$C$88,P137&gt;1E-9),IF($C$65="annuity",MIN(P137,$C$89-P138),MIN(P137,$C$90)),0)</f>
        <v>72.18133922701558</v>
      </c>
      <c r="Q139" s="37">
        <f>IF(AND(Q$5&lt;=$C$88,Q137&gt;1E-9),IF($C$65="annuity",MIN(Q137,$C$89-Q138),MIN(Q137,$C$90)),0)</f>
        <v>72.18133922701558</v>
      </c>
      <c r="R139" s="37">
        <f>IF(AND(R$5&lt;=$C$88,R137&gt;1E-9),IF($C$65="annuity",MIN(R137,$C$89-R138),MIN(R137,$C$90)),0)</f>
        <v>72.18133922701558</v>
      </c>
      <c r="S139" s="37">
        <f>IF(AND(S$5&lt;=$C$88,S137&gt;1E-9),IF($C$65="annuity",MIN(S137,$C$89-S138),MIN(S137,$C$90)),0)</f>
        <v>72.18133922701558</v>
      </c>
      <c r="T139" s="37">
        <f>IF(AND(T$5&lt;=$C$88,T137&gt;1E-9),IF($C$65="annuity",MIN(T137,$C$89-T138),MIN(T137,$C$90)),0)</f>
        <v>0</v>
      </c>
      <c r="U139" s="37">
        <f>IF(AND(U$5&lt;=$C$88,U137&gt;1E-9),IF($C$65="annuity",MIN(U137,$C$89-U138),MIN(U137,$C$90)),0)</f>
        <v>0</v>
      </c>
      <c r="V139" s="37">
        <f>IF(AND(V$5&lt;=$C$88,V137&gt;1E-9),IF($C$65="annuity",MIN(V137,$C$89-V138),MIN(V137,$C$90)),0)</f>
        <v>0</v>
      </c>
      <c r="W139" s="37">
        <f>IF(AND(W$5&lt;=$C$88,W137&gt;1E-9),IF($C$65="annuity",MIN(W137,$C$89-W138),MIN(W137,$C$90)),0)</f>
        <v>0</v>
      </c>
      <c r="X139" s="37">
        <f>IF(AND(X$5&lt;=$C$88,X137&gt;1E-9),IF($C$65="annuity",MIN(X137,$C$89-X138),MIN(X137,$C$90)),0)</f>
        <v>0</v>
      </c>
      <c r="Y139" s="37">
        <f>IF(AND(Y$5&lt;=$C$88,Y137&gt;1E-9),IF($C$65="annuity",MIN(Y137,$C$89-Y138),MIN(Y137,$C$90)),0)</f>
        <v>0</v>
      </c>
      <c r="Z139" s="37">
        <f>IF(AND(Z$5&lt;=$C$88,Z137&gt;1E-9),IF($C$65="annuity",MIN(Z137,$C$89-Z138),MIN(Z137,$C$90)),0)</f>
        <v>0</v>
      </c>
      <c r="AA139" s="37">
        <f>IF(AND(AA$5&lt;=$C$88,AA137&gt;1E-9),IF($C$65="annuity",MIN(AA137,$C$89-AA138),MIN(AA137,$C$90)),0)</f>
        <v>0</v>
      </c>
      <c r="AB139" s="37">
        <f>IF(AND(AB$5&lt;=$C$88,AB137&gt;1E-9),IF($C$65="annuity",MIN(AB137,$C$89-AB138),MIN(AB137,$C$90)),0)</f>
        <v>0</v>
      </c>
      <c r="AC139" s="37">
        <f>IF(AND(AC$5&lt;=$C$88,AC137&gt;1E-9),IF($C$65="annuity",MIN(AC137,$C$89-AC138),MIN(AC137,$C$90)),0)</f>
        <v>0</v>
      </c>
    </row>
    <row r="140" spans="1:29" x14ac:dyDescent="0.25">
      <c r="A140" s="33" t="s">
        <v>208</v>
      </c>
      <c r="B140" s="26" t="s">
        <v>86</v>
      </c>
      <c r="E140" s="37">
        <f>E137-E139</f>
        <v>1010.5387491782183</v>
      </c>
      <c r="F140" s="37">
        <f>F137-F139</f>
        <v>938.3574099512027</v>
      </c>
      <c r="G140" s="37">
        <f>G137-G139</f>
        <v>866.1760707241872</v>
      </c>
      <c r="H140" s="37">
        <f>H137-H139</f>
        <v>793.9947314971716</v>
      </c>
      <c r="I140" s="37">
        <f>I137-I139</f>
        <v>721.8133922701561</v>
      </c>
      <c r="J140" s="37">
        <f>J137-J139</f>
        <v>649.6320530431406</v>
      </c>
      <c r="K140" s="37">
        <f>K137-K139</f>
        <v>577.450713816125</v>
      </c>
      <c r="L140" s="37">
        <f>L137-L139</f>
        <v>505.2693745891094</v>
      </c>
      <c r="M140" s="37">
        <f>M137-M139</f>
        <v>433.0880353620938</v>
      </c>
      <c r="N140" s="37">
        <f>N137-N139</f>
        <v>360.9066961350782</v>
      </c>
      <c r="O140" s="37">
        <f>O137-O139</f>
        <v>288.7253569080626</v>
      </c>
      <c r="P140" s="37">
        <f>P137-P139</f>
        <v>216.54401768104702</v>
      </c>
      <c r="Q140" s="37">
        <f>Q137-Q139</f>
        <v>144.36267845403142</v>
      </c>
      <c r="R140" s="37">
        <f>R137-R139</f>
        <v>72.18133922701584</v>
      </c>
      <c r="S140" s="37">
        <f>S137-S139</f>
        <v>2.5579538487363607e-13</v>
      </c>
      <c r="T140" s="37">
        <f>T137-T139</f>
        <v>2.5579538487363607e-13</v>
      </c>
      <c r="U140" s="37">
        <f>U137-U139</f>
        <v>2.5579538487363607e-13</v>
      </c>
      <c r="V140" s="37">
        <f>V137-V139</f>
        <v>2.5579538487363607e-13</v>
      </c>
      <c r="W140" s="37">
        <f>W137-W139</f>
        <v>2.5579538487363607e-13</v>
      </c>
      <c r="X140" s="37">
        <f>X137-X139</f>
        <v>2.5579538487363607e-13</v>
      </c>
      <c r="Y140" s="37">
        <f>Y137-Y139</f>
        <v>2.5579538487363607e-13</v>
      </c>
      <c r="Z140" s="37">
        <f>Z137-Z139</f>
        <v>2.5579538487363607e-13</v>
      </c>
      <c r="AA140" s="37">
        <f>AA137-AA139</f>
        <v>2.5579538487363607e-13</v>
      </c>
      <c r="AB140" s="37">
        <f>AB137-AB139</f>
        <v>2.5579538487363607e-13</v>
      </c>
      <c r="AC140" s="37">
        <f>AC137-AC139</f>
        <v>2.5579538487363607e-13</v>
      </c>
    </row>
    <row r="141" spans="1:29" x14ac:dyDescent="0.25">
      <c r="A141" s="61" t="s">
        <v>209</v>
      </c>
      <c r="B141" s="62" t="s">
        <v>86</v>
      </c>
      <c r="C141" s="63">
        <f>SUM(E141:AC141)</f>
        <v>1862.2785520570021</v>
      </c>
      <c r="D141" s="64"/>
      <c r="E141" s="63">
        <f>E138+E139</f>
        <v>169.62614718348664</v>
      </c>
      <c r="F141" s="63">
        <f>F138+F139</f>
        <v>163.1298266530552</v>
      </c>
      <c r="G141" s="63">
        <f>G138+G139</f>
        <v>156.63350612262383</v>
      </c>
      <c r="H141" s="63">
        <f>H138+H139</f>
        <v>150.13718559219242</v>
      </c>
      <c r="I141" s="63">
        <f>I138+I139</f>
        <v>143.64086506176102</v>
      </c>
      <c r="J141" s="63">
        <f>J138+J139</f>
        <v>137.14454453132964</v>
      </c>
      <c r="K141" s="63">
        <f>K138+K139</f>
        <v>130.64822400089824</v>
      </c>
      <c r="L141" s="63">
        <f>L138+L139</f>
        <v>124.15190347046683</v>
      </c>
      <c r="M141" s="63">
        <f>M138+M139</f>
        <v>117.65558294003543</v>
      </c>
      <c r="N141" s="63">
        <f>N138+N139</f>
        <v>111.15926240960403</v>
      </c>
      <c r="O141" s="63">
        <f>O138+O139</f>
        <v>104.66294187917262</v>
      </c>
      <c r="P141" s="63">
        <f>P138+P139</f>
        <v>98.16662134874122</v>
      </c>
      <c r="Q141" s="63">
        <f>Q138+Q139</f>
        <v>91.67030081830981</v>
      </c>
      <c r="R141" s="63">
        <f>R138+R139</f>
        <v>85.17398028787841</v>
      </c>
      <c r="S141" s="63">
        <f>S138+S139</f>
        <v>78.677659757447</v>
      </c>
      <c r="T141" s="63">
        <f>T138+T139</f>
        <v>2.3021584638627244e-14</v>
      </c>
      <c r="U141" s="63">
        <f>U138+U139</f>
        <v>2.3021584638627244e-14</v>
      </c>
      <c r="V141" s="63">
        <f>V138+V139</f>
        <v>2.3021584638627244e-14</v>
      </c>
      <c r="W141" s="63">
        <f>W138+W139</f>
        <v>2.3021584638627244e-14</v>
      </c>
      <c r="X141" s="63">
        <f>X138+X139</f>
        <v>2.3021584638627244e-14</v>
      </c>
      <c r="Y141" s="63">
        <f>Y138+Y139</f>
        <v>2.3021584638627244e-14</v>
      </c>
      <c r="Z141" s="63">
        <f>Z138+Z139</f>
        <v>2.3021584638627244e-14</v>
      </c>
      <c r="AA141" s="63">
        <f>AA138+AA139</f>
        <v>2.3021584638627244e-14</v>
      </c>
      <c r="AB141" s="63">
        <f>AB138+AB139</f>
        <v>2.3021584638627244e-14</v>
      </c>
      <c r="AC141" s="63">
        <f>AC138+AC139</f>
        <v>2.3021584638627244e-14</v>
      </c>
    </row>
    <row r="143" ht="20" customHeight="1" spans="1:29" x14ac:dyDescent="0.25">
      <c r="A143" s="21" t="s">
        <v>163</v>
      </c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</row>
    <row r="144" spans="1:29" x14ac:dyDescent="0.25">
      <c r="A144" s="33" t="s">
        <v>210</v>
      </c>
      <c r="B144" s="26" t="s">
        <v>86</v>
      </c>
      <c r="E144" s="37">
        <f>$C$84</f>
        <v>1546.7429834360485</v>
      </c>
      <c r="F144" s="37">
        <f>E147</f>
        <v>928.0457900616291</v>
      </c>
      <c r="G144" s="37">
        <f>F147</f>
        <v>562.8985315080922</v>
      </c>
      <c r="H144" s="37">
        <f>G147</f>
        <v>343.8101763759702</v>
      </c>
      <c r="I144" s="37">
        <f>H147</f>
        <v>212.357163296697</v>
      </c>
      <c r="J144" s="37">
        <f>I147</f>
        <v>133.48535544913307</v>
      </c>
      <c r="K144" s="37">
        <f>J147</f>
        <v>86.16227074059472</v>
      </c>
      <c r="L144" s="37">
        <f>K147</f>
        <v>57.76841991547171</v>
      </c>
      <c r="M144" s="37">
        <f>L147</f>
        <v>40.732109420397904</v>
      </c>
      <c r="N144" s="37">
        <f>M147</f>
        <v>30.510323123353622</v>
      </c>
      <c r="O144" s="37">
        <f>N147</f>
        <v>24.377251345127057</v>
      </c>
      <c r="P144" s="37">
        <f>O147</f>
        <v>20.69740827819112</v>
      </c>
      <c r="Q144" s="37">
        <f>P147</f>
        <v>18.489502438029554</v>
      </c>
      <c r="R144" s="37">
        <f>Q147</f>
        <v>17.164758933932614</v>
      </c>
      <c r="S144" s="37">
        <f>R147</f>
        <v>16.36991283147445</v>
      </c>
      <c r="T144" s="37">
        <f>S147</f>
        <v>15.893005169999553</v>
      </c>
      <c r="U144" s="37">
        <f>T147</f>
        <v>15.606860573114613</v>
      </c>
      <c r="V144" s="37">
        <f>U147</f>
        <v>15.43517381498365</v>
      </c>
      <c r="W144" s="37">
        <f>V147</f>
        <v>15.332161760105071</v>
      </c>
      <c r="X144" s="37">
        <f>W147</f>
        <v>15.270354527177924</v>
      </c>
      <c r="Y144" s="37">
        <f>X147</f>
        <v>15.233270187421638</v>
      </c>
      <c r="Z144" s="37">
        <f>Y147</f>
        <v>15.211019583567865</v>
      </c>
      <c r="AA144" s="37">
        <f>Z147</f>
        <v>15.197669221255602</v>
      </c>
      <c r="AB144" s="37">
        <f>AA147</f>
        <v>15.189659003868243</v>
      </c>
      <c r="AC144" s="37">
        <f>AB147</f>
        <v>15.184852873435828</v>
      </c>
    </row>
    <row r="145" spans="1:29" x14ac:dyDescent="0.25">
      <c r="A145" s="33" t="s">
        <v>211</v>
      </c>
      <c r="B145" s="26" t="s">
        <v>86</v>
      </c>
      <c r="C145" s="57">
        <f>SUM(E145:AC145)</f>
        <v>242.84229884459526</v>
      </c>
      <c r="E145" s="37">
        <f>E128</f>
        <v>0</v>
      </c>
      <c r="F145" s="37">
        <f>F128</f>
        <v>10.118429118524805</v>
      </c>
      <c r="G145" s="37">
        <f>G128</f>
        <v>10.118429118524805</v>
      </c>
      <c r="H145" s="37">
        <f>H128</f>
        <v>10.118429118524805</v>
      </c>
      <c r="I145" s="37">
        <f>I128</f>
        <v>10.118429118524805</v>
      </c>
      <c r="J145" s="37">
        <f>J128</f>
        <v>10.118429118524805</v>
      </c>
      <c r="K145" s="37">
        <f>K128</f>
        <v>10.118429118524805</v>
      </c>
      <c r="L145" s="37">
        <f>L128</f>
        <v>10.118429118524805</v>
      </c>
      <c r="M145" s="37">
        <f>M128</f>
        <v>10.118429118524805</v>
      </c>
      <c r="N145" s="37">
        <f>N128</f>
        <v>10.118429118524805</v>
      </c>
      <c r="O145" s="37">
        <f>O128</f>
        <v>10.118429118524805</v>
      </c>
      <c r="P145" s="37">
        <f>P128</f>
        <v>10.118429118524805</v>
      </c>
      <c r="Q145" s="37">
        <f>Q128</f>
        <v>10.118429118524805</v>
      </c>
      <c r="R145" s="37">
        <f>R128</f>
        <v>10.118429118524805</v>
      </c>
      <c r="S145" s="37">
        <f>S128</f>
        <v>10.118429118524805</v>
      </c>
      <c r="T145" s="37">
        <f>T128</f>
        <v>10.118429118524805</v>
      </c>
      <c r="U145" s="37">
        <f>U128</f>
        <v>10.118429118524805</v>
      </c>
      <c r="V145" s="37">
        <f>V128</f>
        <v>10.118429118524805</v>
      </c>
      <c r="W145" s="37">
        <f>W128</f>
        <v>10.118429118524805</v>
      </c>
      <c r="X145" s="37">
        <f>X128</f>
        <v>10.118429118524805</v>
      </c>
      <c r="Y145" s="37">
        <f>Y128</f>
        <v>10.118429118524805</v>
      </c>
      <c r="Z145" s="37">
        <f>Z128</f>
        <v>10.118429118524805</v>
      </c>
      <c r="AA145" s="37">
        <f>AA128</f>
        <v>10.118429118524805</v>
      </c>
      <c r="AB145" s="37">
        <f>AB128</f>
        <v>10.118429118524805</v>
      </c>
      <c r="AC145" s="37">
        <f>AC128</f>
        <v>10.118429118524805</v>
      </c>
    </row>
    <row r="146" spans="1:29" x14ac:dyDescent="0.25">
      <c r="A146" s="61" t="s">
        <v>163</v>
      </c>
      <c r="B146" s="62" t="s">
        <v>86</v>
      </c>
      <c r="C146" s="63">
        <f>SUM(E146:AC146)</f>
        <v>1774.4033130854673</v>
      </c>
      <c r="D146" s="64"/>
      <c r="E146" s="63">
        <f>IF($C$70="wdv",(E144+E145)*$C$71,E134)</f>
        <v>618.6971933744194</v>
      </c>
      <c r="F146" s="63">
        <f>IF($C$70="wdv",(F144+F145)*$C$71,F134)</f>
        <v>375.2656876720616</v>
      </c>
      <c r="G146" s="63">
        <f>IF($C$70="wdv",(G144+G145)*$C$71,G134)</f>
        <v>229.20678425064682</v>
      </c>
      <c r="H146" s="63">
        <f>IF($C$70="wdv",(H144+H145)*$C$71,H134)</f>
        <v>141.571442197798</v>
      </c>
      <c r="I146" s="63">
        <f>IF($C$70="wdv",(I144+I145)*$C$71,I134)</f>
        <v>88.99023696608873</v>
      </c>
      <c r="J146" s="63">
        <f>IF($C$70="wdv",(J144+J145)*$C$71,J134)</f>
        <v>57.44151382706315</v>
      </c>
      <c r="K146" s="63">
        <f>IF($C$70="wdv",(K144+K145)*$C$71,K134)</f>
        <v>38.51227994364781</v>
      </c>
      <c r="L146" s="63">
        <f>IF($C$70="wdv",(L144+L145)*$C$71,L134)</f>
        <v>27.154739613598608</v>
      </c>
      <c r="M146" s="63">
        <f>IF($C$70="wdv",(M144+M145)*$C$71,M134)</f>
        <v>20.340215415569084</v>
      </c>
      <c r="N146" s="63">
        <f>IF($C$70="wdv",(N144+N145)*$C$71,N134)</f>
        <v>16.251500896751374</v>
      </c>
      <c r="O146" s="63">
        <f>IF($C$70="wdv",(O144+O145)*$C$71,O134)</f>
        <v>13.798272185460746</v>
      </c>
      <c r="P146" s="63">
        <f>IF($C$70="wdv",(P144+P145)*$C$71,P134)</f>
        <v>12.32633495868637</v>
      </c>
      <c r="Q146" s="63">
        <f>IF($C$70="wdv",(Q144+Q145)*$C$71,Q134)</f>
        <v>11.443172622621745</v>
      </c>
      <c r="R146" s="63">
        <f>IF($C$70="wdv",(R144+R145)*$C$71,R134)</f>
        <v>10.913275220982968</v>
      </c>
      <c r="S146" s="63">
        <f>IF($C$70="wdv",(S144+S145)*$C$71,S134)</f>
        <v>10.595336779999704</v>
      </c>
      <c r="T146" s="63">
        <f>IF($C$70="wdv",(T144+T145)*$C$71,T134)</f>
        <v>10.404573715409743</v>
      </c>
      <c r="U146" s="63">
        <f>IF($C$70="wdv",(U144+U145)*$C$71,U134)</f>
        <v>10.290115876655769</v>
      </c>
      <c r="V146" s="63">
        <f>IF($C$70="wdv",(V144+V145)*$C$71,V134)</f>
        <v>10.221441173403383</v>
      </c>
      <c r="W146" s="63">
        <f>IF($C$70="wdv",(W144+W145)*$C$71,W134)</f>
        <v>10.180236351451951</v>
      </c>
      <c r="X146" s="63">
        <f>IF($C$70="wdv",(X144+X145)*$C$71,X134)</f>
        <v>10.155513458281092</v>
      </c>
      <c r="Y146" s="63">
        <f>IF($C$70="wdv",(Y144+Y145)*$C$71,Y134)</f>
        <v>10.140679722378579</v>
      </c>
      <c r="Z146" s="63">
        <f>IF($C$70="wdv",(Z144+Z145)*$C$71,Z134)</f>
        <v>10.131779480837068</v>
      </c>
      <c r="AA146" s="63">
        <f>IF($C$70="wdv",(AA144+AA145)*$C$71,AA134)</f>
        <v>10.126439335912163</v>
      </c>
      <c r="AB146" s="63">
        <f>IF($C$70="wdv",(AB144+AB145)*$C$71,AB134)</f>
        <v>10.12323524895722</v>
      </c>
      <c r="AC146" s="63">
        <f>IF($C$70="wdv",(AC144+AC145)*$C$71,AC134)</f>
        <v>10.121312796784252</v>
      </c>
    </row>
    <row r="147" spans="1:29" x14ac:dyDescent="0.25">
      <c r="A147" s="33" t="s">
        <v>212</v>
      </c>
      <c r="B147" s="26" t="s">
        <v>86</v>
      </c>
      <c r="E147" s="37">
        <f>E144+E145-IF($C$70="wdv",E146,0)</f>
        <v>928.0457900616291</v>
      </c>
      <c r="F147" s="37">
        <f>F144+F145-IF($C$70="wdv",F146,0)</f>
        <v>562.8985315080922</v>
      </c>
      <c r="G147" s="37">
        <f>G144+G145-IF($C$70="wdv",G146,0)</f>
        <v>343.8101763759702</v>
      </c>
      <c r="H147" s="37">
        <f>H144+H145-IF($C$70="wdv",H146,0)</f>
        <v>212.357163296697</v>
      </c>
      <c r="I147" s="37">
        <f>I144+I145-IF($C$70="wdv",I146,0)</f>
        <v>133.48535544913307</v>
      </c>
      <c r="J147" s="37">
        <f>J144+J145-IF($C$70="wdv",J146,0)</f>
        <v>86.16227074059472</v>
      </c>
      <c r="K147" s="37">
        <f>K144+K145-IF($C$70="wdv",K146,0)</f>
        <v>57.76841991547171</v>
      </c>
      <c r="L147" s="37">
        <f>L144+L145-IF($C$70="wdv",L146,0)</f>
        <v>40.732109420397904</v>
      </c>
      <c r="M147" s="37">
        <f>M144+M145-IF($C$70="wdv",M146,0)</f>
        <v>30.510323123353622</v>
      </c>
      <c r="N147" s="37">
        <f>N144+N145-IF($C$70="wdv",N146,0)</f>
        <v>24.377251345127057</v>
      </c>
      <c r="O147" s="37">
        <f>O144+O145-IF($C$70="wdv",O146,0)</f>
        <v>20.69740827819112</v>
      </c>
      <c r="P147" s="37">
        <f>P144+P145-IF($C$70="wdv",P146,0)</f>
        <v>18.489502438029554</v>
      </c>
      <c r="Q147" s="37">
        <f>Q144+Q145-IF($C$70="wdv",Q146,0)</f>
        <v>17.164758933932614</v>
      </c>
      <c r="R147" s="37">
        <f>R144+R145-IF($C$70="wdv",R146,0)</f>
        <v>16.36991283147445</v>
      </c>
      <c r="S147" s="37">
        <f>S144+S145-IF($C$70="wdv",S146,0)</f>
        <v>15.893005169999553</v>
      </c>
      <c r="T147" s="37">
        <f>T144+T145-IF($C$70="wdv",T146,0)</f>
        <v>15.606860573114613</v>
      </c>
      <c r="U147" s="37">
        <f>U144+U145-IF($C$70="wdv",U146,0)</f>
        <v>15.43517381498365</v>
      </c>
      <c r="V147" s="37">
        <f>V144+V145-IF($C$70="wdv",V146,0)</f>
        <v>15.332161760105071</v>
      </c>
      <c r="W147" s="37">
        <f>W144+W145-IF($C$70="wdv",W146,0)</f>
        <v>15.270354527177924</v>
      </c>
      <c r="X147" s="37">
        <f>X144+X145-IF($C$70="wdv",X146,0)</f>
        <v>15.233270187421638</v>
      </c>
      <c r="Y147" s="37">
        <f>Y144+Y145-IF($C$70="wdv",Y146,0)</f>
        <v>15.211019583567865</v>
      </c>
      <c r="Z147" s="37">
        <f>Z144+Z145-IF($C$70="wdv",Z146,0)</f>
        <v>15.197669221255602</v>
      </c>
      <c r="AA147" s="37">
        <f>AA144+AA145-IF($C$70="wdv",AA146,0)</f>
        <v>15.189659003868243</v>
      </c>
      <c r="AB147" s="37">
        <f>AB144+AB145-IF($C$70="wdv",AB146,0)</f>
        <v>15.184852873435828</v>
      </c>
      <c r="AC147" s="37">
        <f>AC144+AC145-IF($C$70="wdv",AC146,0)</f>
        <v>15.181969195176379</v>
      </c>
    </row>
    <row r="149" ht="20" customHeight="1" spans="1:29" x14ac:dyDescent="0.25">
      <c r="A149" s="21" t="s">
        <v>213</v>
      </c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</row>
    <row r="150" spans="1:29" x14ac:dyDescent="0.25">
      <c r="A150" s="33" t="s">
        <v>198</v>
      </c>
      <c r="B150" s="26" t="s">
        <v>86</v>
      </c>
      <c r="C150" s="57">
        <f>SUM(E150:AC150)</f>
        <v>5048.078007529001</v>
      </c>
      <c r="E150" s="37">
        <f>E124</f>
        <v>222.46414653854953</v>
      </c>
      <c r="F150" s="37">
        <f>F124</f>
        <v>221.1770533660004</v>
      </c>
      <c r="G150" s="37">
        <f>G124</f>
        <v>219.8487423615161</v>
      </c>
      <c r="H150" s="37">
        <f>H124</f>
        <v>218.47715263350022</v>
      </c>
      <c r="I150" s="37">
        <f>I124</f>
        <v>217.06012024577598</v>
      </c>
      <c r="J150" s="37">
        <f>J124</f>
        <v>215.59537306535788</v>
      </c>
      <c r="K150" s="37">
        <f>K124</f>
        <v>214.08052535261146</v>
      </c>
      <c r="L150" s="37">
        <f>L124</f>
        <v>212.51307208092004</v>
      </c>
      <c r="M150" s="37">
        <f>M124</f>
        <v>210.89038297233665</v>
      </c>
      <c r="N150" s="37">
        <f>N124</f>
        <v>209.20969623501654</v>
      </c>
      <c r="O150" s="37">
        <f>O124</f>
        <v>207.46811198752283</v>
      </c>
      <c r="P150" s="37">
        <f>P124</f>
        <v>205.6625853543469</v>
      </c>
      <c r="Q150" s="37">
        <f>Q124</f>
        <v>203.78991921620468</v>
      </c>
      <c r="R150" s="37">
        <f>R124</f>
        <v>201.8467565978477</v>
      </c>
      <c r="S150" s="37">
        <f>S124</f>
        <v>199.82957267526544</v>
      </c>
      <c r="T150" s="37">
        <f>T124</f>
        <v>197.73466638324652</v>
      </c>
      <c r="U150" s="37">
        <f>U124</f>
        <v>195.5581516033191</v>
      </c>
      <c r="V150" s="37">
        <f>V124</f>
        <v>193.29594791108772</v>
      </c>
      <c r="W150" s="37">
        <f>W124</f>
        <v>190.9437708609373</v>
      </c>
      <c r="X150" s="37">
        <f>X124</f>
        <v>188.4971217849718</v>
      </c>
      <c r="Y150" s="37">
        <f>Y124</f>
        <v>185.95127708190043</v>
      </c>
      <c r="Z150" s="37">
        <f>Z124</f>
        <v>183.30127697036806</v>
      </c>
      <c r="AA150" s="37">
        <f>AA124</f>
        <v>180.54191367995136</v>
      </c>
      <c r="AB150" s="37">
        <f>AB124</f>
        <v>177.66771905170643</v>
      </c>
      <c r="AC150" s="37">
        <f>AC124</f>
        <v>174.67295151874163</v>
      </c>
    </row>
    <row r="151" spans="1:29" x14ac:dyDescent="0.25">
      <c r="A151" s="33" t="s">
        <v>214</v>
      </c>
      <c r="B151" s="26" t="s">
        <v>86</v>
      </c>
      <c r="C151" s="57">
        <f>SUM(E151:AC151)</f>
        <v>1634.910983937039</v>
      </c>
      <c r="E151" s="37">
        <f>E134</f>
        <v>55.682747403697746</v>
      </c>
      <c r="F151" s="37">
        <f>F134</f>
        <v>56.10434861696962</v>
      </c>
      <c r="G151" s="37">
        <f>G134</f>
        <v>56.54428031777504</v>
      </c>
      <c r="H151" s="37">
        <f>H134</f>
        <v>57.00420891407162</v>
      </c>
      <c r="I151" s="37">
        <f>I134</f>
        <v>57.486038872096614</v>
      </c>
      <c r="J151" s="37">
        <f>J134</f>
        <v>57.991960328022856</v>
      </c>
      <c r="K151" s="37">
        <f>K134</f>
        <v>58.52450922899784</v>
      </c>
      <c r="L151" s="37">
        <f>L134</f>
        <v>59.086644180027</v>
      </c>
      <c r="M151" s="37">
        <f>M134</f>
        <v>59.6818458928814</v>
      </c>
      <c r="N151" s="37">
        <f>N134</f>
        <v>60.3142477127892</v>
      </c>
      <c r="O151" s="37">
        <f>O134</f>
        <v>60.98880965402419</v>
      </c>
      <c r="P151" s="37">
        <f>P134</f>
        <v>61.71155459106167</v>
      </c>
      <c r="Q151" s="37">
        <f>Q134</f>
        <v>62.48989529248666</v>
      </c>
      <c r="R151" s="37">
        <f>R134</f>
        <v>63.33309771903039</v>
      </c>
      <c r="S151" s="37">
        <f>S134</f>
        <v>64.25295491162356</v>
      </c>
      <c r="T151" s="37">
        <f>T134</f>
        <v>65.26479782347603</v>
      </c>
      <c r="U151" s="37">
        <f>U134</f>
        <v>66.38906772553435</v>
      </c>
      <c r="V151" s="37">
        <f>V134</f>
        <v>67.65387136534994</v>
      </c>
      <c r="W151" s="37">
        <f>W134</f>
        <v>69.09936123942492</v>
      </c>
      <c r="X151" s="37">
        <f>X134</f>
        <v>70.78576609251239</v>
      </c>
      <c r="Y151" s="37">
        <f>Y134</f>
        <v>72.80945191621734</v>
      </c>
      <c r="Z151" s="37">
        <f>Z134</f>
        <v>75.33905919584855</v>
      </c>
      <c r="AA151" s="37">
        <f>AA134</f>
        <v>78.71186890202348</v>
      </c>
      <c r="AB151" s="37">
        <f>AB134</f>
        <v>83.77108346128588</v>
      </c>
      <c r="AC151" s="37">
        <f>AC134</f>
        <v>93.88951257981068</v>
      </c>
    </row>
    <row r="152" spans="1:29" x14ac:dyDescent="0.25">
      <c r="A152" s="33" t="s">
        <v>215</v>
      </c>
      <c r="B152" s="26" t="s">
        <v>86</v>
      </c>
      <c r="C152" s="57">
        <f>SUM(E152:AC152)</f>
        <v>779.5584636517686</v>
      </c>
      <c r="E152" s="37">
        <f>E138</f>
        <v>97.44480795647104</v>
      </c>
      <c r="F152" s="37">
        <f>F138</f>
        <v>90.94848742603963</v>
      </c>
      <c r="G152" s="37">
        <f>G138</f>
        <v>84.45216689560824</v>
      </c>
      <c r="H152" s="37">
        <f>H138</f>
        <v>77.95584636517684</v>
      </c>
      <c r="I152" s="37">
        <f>I138</f>
        <v>71.45952583474545</v>
      </c>
      <c r="J152" s="37">
        <f>J138</f>
        <v>64.96320530431404</v>
      </c>
      <c r="K152" s="37">
        <f>K138</f>
        <v>58.46688477388265</v>
      </c>
      <c r="L152" s="37">
        <f>L138</f>
        <v>51.97056424345125</v>
      </c>
      <c r="M152" s="37">
        <f>M138</f>
        <v>45.474243713019845</v>
      </c>
      <c r="N152" s="37">
        <f>N138</f>
        <v>38.97792318258844</v>
      </c>
      <c r="O152" s="37">
        <f>O138</f>
        <v>32.48160265215704</v>
      </c>
      <c r="P152" s="37">
        <f>P138</f>
        <v>25.985282121725636</v>
      </c>
      <c r="Q152" s="37">
        <f>Q138</f>
        <v>19.48896159129423</v>
      </c>
      <c r="R152" s="37">
        <f>R138</f>
        <v>12.992641060862828</v>
      </c>
      <c r="S152" s="37">
        <f>S138</f>
        <v>6.496320530431426</v>
      </c>
      <c r="T152" s="37">
        <f>T138</f>
        <v>2.3021584638627244e-14</v>
      </c>
      <c r="U152" s="37">
        <f>U138</f>
        <v>2.3021584638627244e-14</v>
      </c>
      <c r="V152" s="37">
        <f>V138</f>
        <v>2.3021584638627244e-14</v>
      </c>
      <c r="W152" s="37">
        <f>W138</f>
        <v>2.3021584638627244e-14</v>
      </c>
      <c r="X152" s="37">
        <f>X138</f>
        <v>2.3021584638627244e-14</v>
      </c>
      <c r="Y152" s="37">
        <f>Y138</f>
        <v>2.3021584638627244e-14</v>
      </c>
      <c r="Z152" s="37">
        <f>Z138</f>
        <v>2.3021584638627244e-14</v>
      </c>
      <c r="AA152" s="37">
        <f>AA138</f>
        <v>2.3021584638627244e-14</v>
      </c>
      <c r="AB152" s="37">
        <f>AB138</f>
        <v>2.3021584638627244e-14</v>
      </c>
      <c r="AC152" s="37">
        <f>AC138</f>
        <v>2.3021584638627244e-14</v>
      </c>
    </row>
    <row r="153" spans="1:29" x14ac:dyDescent="0.25">
      <c r="A153" s="61" t="s">
        <v>216</v>
      </c>
      <c r="B153" s="62" t="s">
        <v>86</v>
      </c>
      <c r="C153" s="63">
        <f>SUM(E153:AC153)</f>
        <v>2633.608559940195</v>
      </c>
      <c r="D153" s="64"/>
      <c r="E153" s="63">
        <f>E150-E151-E152</f>
        <v>69.33659117838073</v>
      </c>
      <c r="F153" s="63">
        <f>F150-F151-F152</f>
        <v>74.12421732299114</v>
      </c>
      <c r="G153" s="63">
        <f>G150-G151-G152</f>
        <v>78.8522951481328</v>
      </c>
      <c r="H153" s="63">
        <f>H150-H151-H152</f>
        <v>83.51709735425176</v>
      </c>
      <c r="I153" s="63">
        <f>I150-I151-I152</f>
        <v>88.1145555389339</v>
      </c>
      <c r="J153" s="63">
        <f>J150-J151-J152</f>
        <v>92.64020743302098</v>
      </c>
      <c r="K153" s="63">
        <f>K150-K151-K152</f>
        <v>97.08913134973099</v>
      </c>
      <c r="L153" s="63">
        <f>L150-L151-L152</f>
        <v>101.45586365744178</v>
      </c>
      <c r="M153" s="63">
        <f>M150-M151-M152</f>
        <v>105.73429336643541</v>
      </c>
      <c r="N153" s="63">
        <f>N150-N151-N152</f>
        <v>109.91752533963891</v>
      </c>
      <c r="O153" s="63">
        <f>O150-O151-O152</f>
        <v>113.99769968134162</v>
      </c>
      <c r="P153" s="63">
        <f>P150-P151-P152</f>
        <v>117.96574864155961</v>
      </c>
      <c r="Q153" s="63">
        <f>Q150-Q151-Q152</f>
        <v>121.81106233242379</v>
      </c>
      <c r="R153" s="63">
        <f>R150-R151-R152</f>
        <v>125.52101781795447</v>
      </c>
      <c r="S153" s="63">
        <f>S150-S151-S152</f>
        <v>129.08029723321044</v>
      </c>
      <c r="T153" s="63">
        <f>T150-T151-T152</f>
        <v>132.46986855977045</v>
      </c>
      <c r="U153" s="63">
        <f>U150-U151-U152</f>
        <v>129.16908387778471</v>
      </c>
      <c r="V153" s="63">
        <f>V150-V151-V152</f>
        <v>125.64207654573775</v>
      </c>
      <c r="W153" s="63">
        <f>W150-W151-W152</f>
        <v>121.84440962151234</v>
      </c>
      <c r="X153" s="63">
        <f>X150-X151-X152</f>
        <v>117.71135569245938</v>
      </c>
      <c r="Y153" s="63">
        <f>Y150-Y151-Y152</f>
        <v>113.14182516568306</v>
      </c>
      <c r="Z153" s="63">
        <f>Z150-Z151-Z152</f>
        <v>107.96221777451949</v>
      </c>
      <c r="AA153" s="63">
        <f>AA150-AA151-AA152</f>
        <v>101.83004477792785</v>
      </c>
      <c r="AB153" s="63">
        <f>AB150-AB151-AB152</f>
        <v>93.89663559042052</v>
      </c>
      <c r="AC153" s="63">
        <f>AC150-AC151-AC152</f>
        <v>80.78343893893091</v>
      </c>
    </row>
    <row r="154" spans="1:29" x14ac:dyDescent="0.25">
      <c r="A154" s="33" t="s">
        <v>217</v>
      </c>
      <c r="B154" s="26" t="s">
        <v>86</v>
      </c>
      <c r="E154" s="37">
        <f>E124-E138-E146</f>
        <v>-493.6778547923409</v>
      </c>
      <c r="F154" s="37">
        <f>F124-F138-F146</f>
        <v>-245.03712173210081</v>
      </c>
      <c r="G154" s="37">
        <f>G124-G138-G146</f>
        <v>-93.81020878473896</v>
      </c>
      <c r="H154" s="37">
        <f>H124-H138-H146</f>
        <v>-1.050135929474635</v>
      </c>
      <c r="I154" s="37">
        <f>I124-I138-I146</f>
        <v>56.6103574449418</v>
      </c>
      <c r="J154" s="37">
        <f>J124-J138-J146</f>
        <v>93.19065393398068</v>
      </c>
      <c r="K154" s="37">
        <f>K124-K138-K146</f>
        <v>117.10136063508101</v>
      </c>
      <c r="L154" s="37">
        <f>L124-L138-L146</f>
        <v>133.38776822387018</v>
      </c>
      <c r="M154" s="37">
        <f>M124-M138-M146</f>
        <v>145.07592384374774</v>
      </c>
      <c r="N154" s="37">
        <f>N124-N138-N146</f>
        <v>153.98027215567672</v>
      </c>
      <c r="O154" s="37">
        <f>O124-O138-O146</f>
        <v>161.18823714990504</v>
      </c>
      <c r="P154" s="37">
        <f>P124-P138-P146</f>
        <v>167.35096827393488</v>
      </c>
      <c r="Q154" s="37">
        <f>Q124-Q138-Q146</f>
        <v>172.8577850022887</v>
      </c>
      <c r="R154" s="37">
        <f>R124-R138-R146</f>
        <v>177.9408403160019</v>
      </c>
      <c r="S154" s="37">
        <f>S124-S138-S146</f>
        <v>182.7379153648343</v>
      </c>
      <c r="T154" s="37">
        <f>T124-T138-T146</f>
        <v>187.33009266783674</v>
      </c>
      <c r="U154" s="37">
        <f>U124-U138-U146</f>
        <v>185.2680357266633</v>
      </c>
      <c r="V154" s="37">
        <f>V124-V138-V146</f>
        <v>183.07450673768432</v>
      </c>
      <c r="W154" s="37">
        <f>W124-W138-W146</f>
        <v>180.7635345094853</v>
      </c>
      <c r="X154" s="37">
        <f>X124-X138-X146</f>
        <v>178.34160832669068</v>
      </c>
      <c r="Y154" s="37">
        <f>Y124-Y138-Y146</f>
        <v>175.8105973595218</v>
      </c>
      <c r="Z154" s="37">
        <f>Z124-Z138-Z146</f>
        <v>173.16949748953095</v>
      </c>
      <c r="AA154" s="37">
        <f>AA124-AA138-AA146</f>
        <v>170.41547434403918</v>
      </c>
      <c r="AB154" s="37">
        <f>AB124-AB138-AB146</f>
        <v>167.54448380274917</v>
      </c>
      <c r="AC154" s="37">
        <f>AC124-AC138-AC146</f>
        <v>164.55163872195735</v>
      </c>
    </row>
    <row r="155" spans="1:29" x14ac:dyDescent="0.25">
      <c r="A155" s="33" t="s">
        <v>218</v>
      </c>
      <c r="B155" s="26" t="s">
        <v>86</v>
      </c>
      <c r="E155" s="37">
        <f>0</f>
        <v>0</v>
      </c>
      <c r="F155" s="37">
        <f>E158</f>
        <v>493.6778547923409</v>
      </c>
      <c r="G155" s="37">
        <f>F158</f>
        <v>738.7149765244417</v>
      </c>
      <c r="H155" s="37">
        <f>G158</f>
        <v>832.5251853091806</v>
      </c>
      <c r="I155" s="37">
        <f>H158</f>
        <v>833.5753212386553</v>
      </c>
      <c r="J155" s="37">
        <f>I158</f>
        <v>776.9649637937135</v>
      </c>
      <c r="K155" s="37">
        <f>J158</f>
        <v>683.7743098597329</v>
      </c>
      <c r="L155" s="37">
        <f>K158</f>
        <v>566.6729492246518</v>
      </c>
      <c r="M155" s="37">
        <f>L158</f>
        <v>433.2851810007816</v>
      </c>
      <c r="N155" s="37">
        <f>M158</f>
        <v>288.2092571570339</v>
      </c>
      <c r="O155" s="37">
        <f>N158</f>
        <v>134.2289850013572</v>
      </c>
      <c r="P155" s="37">
        <f>O158</f>
        <v>0</v>
      </c>
      <c r="Q155" s="37">
        <f>P158</f>
        <v>0</v>
      </c>
      <c r="R155" s="37">
        <f>Q158</f>
        <v>0</v>
      </c>
      <c r="S155" s="37">
        <f>R158</f>
        <v>0</v>
      </c>
      <c r="T155" s="37">
        <f>S158</f>
        <v>0</v>
      </c>
      <c r="U155" s="37">
        <f>T158</f>
        <v>0</v>
      </c>
      <c r="V155" s="37">
        <f>U158</f>
        <v>0</v>
      </c>
      <c r="W155" s="37">
        <f>V158</f>
        <v>0</v>
      </c>
      <c r="X155" s="37">
        <f>W158</f>
        <v>0</v>
      </c>
      <c r="Y155" s="37">
        <f>X158</f>
        <v>0</v>
      </c>
      <c r="Z155" s="37">
        <f>Y158</f>
        <v>0</v>
      </c>
      <c r="AA155" s="37">
        <f>Z158</f>
        <v>0</v>
      </c>
      <c r="AB155" s="37">
        <f>AA158</f>
        <v>0</v>
      </c>
      <c r="AC155" s="37">
        <f>AB158</f>
        <v>0</v>
      </c>
    </row>
    <row r="156" spans="1:29" x14ac:dyDescent="0.25">
      <c r="A156" s="33" t="s">
        <v>219</v>
      </c>
      <c r="B156" s="26" t="s">
        <v>86</v>
      </c>
      <c r="C156" s="57">
        <f>SUM(E156:AC156)</f>
        <v>833.5753212386553</v>
      </c>
      <c r="E156" s="37">
        <f>IF(E154&gt;0,MIN(E155,E154),0)</f>
        <v>0</v>
      </c>
      <c r="F156" s="37">
        <f>IF(F154&gt;0,MIN(F155,F154),0)</f>
        <v>0</v>
      </c>
      <c r="G156" s="37">
        <f>IF(G154&gt;0,MIN(G155,G154),0)</f>
        <v>0</v>
      </c>
      <c r="H156" s="37">
        <f>IF(H154&gt;0,MIN(H155,H154),0)</f>
        <v>0</v>
      </c>
      <c r="I156" s="37">
        <f>IF(I154&gt;0,MIN(I155,I154),0)</f>
        <v>56.6103574449418</v>
      </c>
      <c r="J156" s="37">
        <f>IF(J154&gt;0,MIN(J155,J154),0)</f>
        <v>93.19065393398068</v>
      </c>
      <c r="K156" s="37">
        <f>IF(K154&gt;0,MIN(K155,K154),0)</f>
        <v>117.10136063508101</v>
      </c>
      <c r="L156" s="37">
        <f>IF(L154&gt;0,MIN(L155,L154),0)</f>
        <v>133.38776822387018</v>
      </c>
      <c r="M156" s="37">
        <f>IF(M154&gt;0,MIN(M155,M154),0)</f>
        <v>145.07592384374774</v>
      </c>
      <c r="N156" s="37">
        <f>IF(N154&gt;0,MIN(N155,N154),0)</f>
        <v>153.98027215567672</v>
      </c>
      <c r="O156" s="37">
        <f>IF(O154&gt;0,MIN(O155,O154),0)</f>
        <v>134.2289850013572</v>
      </c>
      <c r="P156" s="37">
        <f>IF(P154&gt;0,MIN(P155,P154),0)</f>
        <v>0</v>
      </c>
      <c r="Q156" s="37">
        <f>IF(Q154&gt;0,MIN(Q155,Q154),0)</f>
        <v>0</v>
      </c>
      <c r="R156" s="37">
        <f>IF(R154&gt;0,MIN(R155,R154),0)</f>
        <v>0</v>
      </c>
      <c r="S156" s="37">
        <f>IF(S154&gt;0,MIN(S155,S154),0)</f>
        <v>0</v>
      </c>
      <c r="T156" s="37">
        <f>IF(T154&gt;0,MIN(T155,T154),0)</f>
        <v>0</v>
      </c>
      <c r="U156" s="37">
        <f>IF(U154&gt;0,MIN(U155,U154),0)</f>
        <v>0</v>
      </c>
      <c r="V156" s="37">
        <f>IF(V154&gt;0,MIN(V155,V154),0)</f>
        <v>0</v>
      </c>
      <c r="W156" s="37">
        <f>IF(W154&gt;0,MIN(W155,W154),0)</f>
        <v>0</v>
      </c>
      <c r="X156" s="37">
        <f>IF(X154&gt;0,MIN(X155,X154),0)</f>
        <v>0</v>
      </c>
      <c r="Y156" s="37">
        <f>IF(Y154&gt;0,MIN(Y155,Y154),0)</f>
        <v>0</v>
      </c>
      <c r="Z156" s="37">
        <f>IF(Z154&gt;0,MIN(Z155,Z154),0)</f>
        <v>0</v>
      </c>
      <c r="AA156" s="37">
        <f>IF(AA154&gt;0,MIN(AA155,AA154),0)</f>
        <v>0</v>
      </c>
      <c r="AB156" s="37">
        <f>IF(AB154&gt;0,MIN(AB155,AB154),0)</f>
        <v>0</v>
      </c>
      <c r="AC156" s="37">
        <f>IF(AC154&gt;0,MIN(AC155,AC154),0)</f>
        <v>0</v>
      </c>
    </row>
    <row r="157" spans="1:29" x14ac:dyDescent="0.25">
      <c r="A157" s="33" t="s">
        <v>220</v>
      </c>
      <c r="B157" s="26" t="s">
        <v>86</v>
      </c>
      <c r="C157" s="57">
        <f>SUM(E157:AC157)</f>
        <v>2494.116230791766</v>
      </c>
      <c r="E157" s="37">
        <f>MAX(0,E154-E156)</f>
        <v>0</v>
      </c>
      <c r="F157" s="37">
        <f>MAX(0,F154-F156)</f>
        <v>0</v>
      </c>
      <c r="G157" s="37">
        <f>MAX(0,G154-G156)</f>
        <v>0</v>
      </c>
      <c r="H157" s="37">
        <f>MAX(0,H154-H156)</f>
        <v>0</v>
      </c>
      <c r="I157" s="37">
        <f>MAX(0,I154-I156)</f>
        <v>0</v>
      </c>
      <c r="J157" s="37">
        <f>MAX(0,J154-J156)</f>
        <v>0</v>
      </c>
      <c r="K157" s="37">
        <f>MAX(0,K154-K156)</f>
        <v>0</v>
      </c>
      <c r="L157" s="37">
        <f>MAX(0,L154-L156)</f>
        <v>0</v>
      </c>
      <c r="M157" s="37">
        <f>MAX(0,M154-M156)</f>
        <v>0</v>
      </c>
      <c r="N157" s="37">
        <f>MAX(0,N154-N156)</f>
        <v>0</v>
      </c>
      <c r="O157" s="37">
        <f>MAX(0,O154-O156)</f>
        <v>26.959252148547847</v>
      </c>
      <c r="P157" s="37">
        <f>MAX(0,P154-P156)</f>
        <v>167.35096827393488</v>
      </c>
      <c r="Q157" s="37">
        <f>MAX(0,Q154-Q156)</f>
        <v>172.8577850022887</v>
      </c>
      <c r="R157" s="37">
        <f>MAX(0,R154-R156)</f>
        <v>177.9408403160019</v>
      </c>
      <c r="S157" s="37">
        <f>MAX(0,S154-S156)</f>
        <v>182.7379153648343</v>
      </c>
      <c r="T157" s="37">
        <f>MAX(0,T154-T156)</f>
        <v>187.33009266783674</v>
      </c>
      <c r="U157" s="37">
        <f>MAX(0,U154-U156)</f>
        <v>185.2680357266633</v>
      </c>
      <c r="V157" s="37">
        <f>MAX(0,V154-V156)</f>
        <v>183.07450673768432</v>
      </c>
      <c r="W157" s="37">
        <f>MAX(0,W154-W156)</f>
        <v>180.7635345094853</v>
      </c>
      <c r="X157" s="37">
        <f>MAX(0,X154-X156)</f>
        <v>178.34160832669068</v>
      </c>
      <c r="Y157" s="37">
        <f>MAX(0,Y154-Y156)</f>
        <v>175.8105973595218</v>
      </c>
      <c r="Z157" s="37">
        <f>MAX(0,Z154-Z156)</f>
        <v>173.16949748953095</v>
      </c>
      <c r="AA157" s="37">
        <f>MAX(0,AA154-AA156)</f>
        <v>170.41547434403918</v>
      </c>
      <c r="AB157" s="37">
        <f>MAX(0,AB154-AB156)</f>
        <v>167.54448380274917</v>
      </c>
      <c r="AC157" s="37">
        <f>MAX(0,AC154-AC156)</f>
        <v>164.55163872195735</v>
      </c>
    </row>
    <row r="158" spans="1:29" x14ac:dyDescent="0.25">
      <c r="A158" s="33" t="s">
        <v>221</v>
      </c>
      <c r="B158" s="26" t="s">
        <v>86</v>
      </c>
      <c r="E158" s="37">
        <f>E155-E156+MAX(0,-E154)</f>
        <v>493.6778547923409</v>
      </c>
      <c r="F158" s="37">
        <f>F155-F156+MAX(0,-F154)</f>
        <v>738.7149765244417</v>
      </c>
      <c r="G158" s="37">
        <f>G155-G156+MAX(0,-G154)</f>
        <v>832.5251853091806</v>
      </c>
      <c r="H158" s="37">
        <f>H155-H156+MAX(0,-H154)</f>
        <v>833.5753212386553</v>
      </c>
      <c r="I158" s="37">
        <f>I155-I156+MAX(0,-I154)</f>
        <v>776.9649637937135</v>
      </c>
      <c r="J158" s="37">
        <f>J155-J156+MAX(0,-J154)</f>
        <v>683.7743098597329</v>
      </c>
      <c r="K158" s="37">
        <f>K155-K156+MAX(0,-K154)</f>
        <v>566.6729492246518</v>
      </c>
      <c r="L158" s="37">
        <f>L155-L156+MAX(0,-L154)</f>
        <v>433.2851810007816</v>
      </c>
      <c r="M158" s="37">
        <f>M155-M156+MAX(0,-M154)</f>
        <v>288.2092571570339</v>
      </c>
      <c r="N158" s="37">
        <f>N155-N156+MAX(0,-N154)</f>
        <v>134.2289850013572</v>
      </c>
      <c r="O158" s="37">
        <f>O155-O156+MAX(0,-O154)</f>
        <v>0</v>
      </c>
      <c r="P158" s="37">
        <f>P155-P156+MAX(0,-P154)</f>
        <v>0</v>
      </c>
      <c r="Q158" s="37">
        <f>Q155-Q156+MAX(0,-Q154)</f>
        <v>0</v>
      </c>
      <c r="R158" s="37">
        <f>R155-R156+MAX(0,-R154)</f>
        <v>0</v>
      </c>
      <c r="S158" s="37">
        <f>S155-S156+MAX(0,-S154)</f>
        <v>0</v>
      </c>
      <c r="T158" s="37">
        <f>T155-T156+MAX(0,-T154)</f>
        <v>0</v>
      </c>
      <c r="U158" s="37">
        <f>U155-U156+MAX(0,-U154)</f>
        <v>0</v>
      </c>
      <c r="V158" s="37">
        <f>V155-V156+MAX(0,-V154)</f>
        <v>0</v>
      </c>
      <c r="W158" s="37">
        <f>W155-W156+MAX(0,-W154)</f>
        <v>0</v>
      </c>
      <c r="X158" s="37">
        <f>X155-X156+MAX(0,-X154)</f>
        <v>0</v>
      </c>
      <c r="Y158" s="37">
        <f>Y155-Y156+MAX(0,-Y154)</f>
        <v>0</v>
      </c>
      <c r="Z158" s="37">
        <f>Z155-Z156+MAX(0,-Z154)</f>
        <v>0</v>
      </c>
      <c r="AA158" s="37">
        <f>AA155-AA156+MAX(0,-AA154)</f>
        <v>0</v>
      </c>
      <c r="AB158" s="37">
        <f>AB155-AB156+MAX(0,-AB154)</f>
        <v>0</v>
      </c>
      <c r="AC158" s="37">
        <f>AC155-AC156+MAX(0,-AC154)</f>
        <v>0</v>
      </c>
    </row>
    <row r="159" spans="1:29" x14ac:dyDescent="0.25">
      <c r="A159" s="33" t="s">
        <v>222</v>
      </c>
      <c r="B159" s="26" t="s">
        <v>86</v>
      </c>
      <c r="C159" s="57">
        <f>SUM(E159:AC159)</f>
        <v>627.7690552902875</v>
      </c>
      <c r="E159" s="37">
        <f>E157*$C$69</f>
        <v>0</v>
      </c>
      <c r="F159" s="37">
        <f>F157*$C$69</f>
        <v>0</v>
      </c>
      <c r="G159" s="37">
        <f>G157*$C$69</f>
        <v>0</v>
      </c>
      <c r="H159" s="37">
        <f>H157*$C$69</f>
        <v>0</v>
      </c>
      <c r="I159" s="37">
        <f>I157*$C$69</f>
        <v>0</v>
      </c>
      <c r="J159" s="37">
        <f>J157*$C$69</f>
        <v>0</v>
      </c>
      <c r="K159" s="37">
        <f>K157*$C$69</f>
        <v>0</v>
      </c>
      <c r="L159" s="37">
        <f>L157*$C$69</f>
        <v>0</v>
      </c>
      <c r="M159" s="37">
        <f>M157*$C$69</f>
        <v>0</v>
      </c>
      <c r="N159" s="37">
        <f>N157*$C$69</f>
        <v>0</v>
      </c>
      <c r="O159" s="37">
        <f>O157*$C$69</f>
        <v>6.785643765789493</v>
      </c>
      <c r="P159" s="37">
        <f>P157*$C$69</f>
        <v>42.122238714549404</v>
      </c>
      <c r="Q159" s="37">
        <f>Q157*$C$69</f>
        <v>43.50830448507606</v>
      </c>
      <c r="R159" s="37">
        <f>R157*$C$69</f>
        <v>44.78770950753767</v>
      </c>
      <c r="S159" s="37">
        <f>S157*$C$69</f>
        <v>45.995133297328785</v>
      </c>
      <c r="T159" s="37">
        <f>T157*$C$69</f>
        <v>47.1509843244945</v>
      </c>
      <c r="U159" s="37">
        <f>U157*$C$69</f>
        <v>46.63196459240115</v>
      </c>
      <c r="V159" s="37">
        <f>V157*$C$69</f>
        <v>46.07985334587514</v>
      </c>
      <c r="W159" s="37">
        <f>W157*$C$69</f>
        <v>45.49818163603745</v>
      </c>
      <c r="X159" s="37">
        <f>X157*$C$69</f>
        <v>44.88858281582804</v>
      </c>
      <c r="Y159" s="37">
        <f>Y157*$C$69</f>
        <v>44.25152735539164</v>
      </c>
      <c r="Z159" s="37">
        <f>Z157*$C$69</f>
        <v>43.58676251811494</v>
      </c>
      <c r="AA159" s="37">
        <f>AA157*$C$69</f>
        <v>42.89357489239466</v>
      </c>
      <c r="AB159" s="37">
        <f>AB157*$C$69</f>
        <v>42.170946573151966</v>
      </c>
      <c r="AC159" s="37">
        <f>AC157*$C$69</f>
        <v>41.41764746631666</v>
      </c>
    </row>
    <row r="160" spans="1:29" x14ac:dyDescent="0.25">
      <c r="A160" s="61" t="s">
        <v>223</v>
      </c>
      <c r="B160" s="62" t="s">
        <v>86</v>
      </c>
      <c r="C160" s="63">
        <f>SUM(E160:AC160)</f>
        <v>2005.8395046499072</v>
      </c>
      <c r="D160" s="64"/>
      <c r="E160" s="63">
        <f>E153-E159</f>
        <v>69.33659117838073</v>
      </c>
      <c r="F160" s="63">
        <f>F153-F159</f>
        <v>74.12421732299114</v>
      </c>
      <c r="G160" s="63">
        <f>G153-G159</f>
        <v>78.8522951481328</v>
      </c>
      <c r="H160" s="63">
        <f>H153-H159</f>
        <v>83.51709735425176</v>
      </c>
      <c r="I160" s="63">
        <f>I153-I159</f>
        <v>88.1145555389339</v>
      </c>
      <c r="J160" s="63">
        <f>J153-J159</f>
        <v>92.64020743302098</v>
      </c>
      <c r="K160" s="63">
        <f>K153-K159</f>
        <v>97.08913134973099</v>
      </c>
      <c r="L160" s="63">
        <f>L153-L159</f>
        <v>101.45586365744178</v>
      </c>
      <c r="M160" s="63">
        <f>M153-M159</f>
        <v>105.73429336643541</v>
      </c>
      <c r="N160" s="63">
        <f>N153-N159</f>
        <v>109.91752533963891</v>
      </c>
      <c r="O160" s="63">
        <f>O153-O159</f>
        <v>107.21205591555213</v>
      </c>
      <c r="P160" s="63">
        <f>P153-P159</f>
        <v>75.84350992701022</v>
      </c>
      <c r="Q160" s="63">
        <f>Q153-Q159</f>
        <v>78.30275784734772</v>
      </c>
      <c r="R160" s="63">
        <f>R153-R159</f>
        <v>80.7333083104168</v>
      </c>
      <c r="S160" s="63">
        <f>S153-S159</f>
        <v>83.08516393588167</v>
      </c>
      <c r="T160" s="63">
        <f>T153-T159</f>
        <v>85.31888423527595</v>
      </c>
      <c r="U160" s="63">
        <f>U153-U159</f>
        <v>82.53711928538357</v>
      </c>
      <c r="V160" s="63">
        <f>V153-V159</f>
        <v>79.56222319986261</v>
      </c>
      <c r="W160" s="63">
        <f>W153-W159</f>
        <v>76.34622798547488</v>
      </c>
      <c r="X160" s="63">
        <f>X153-X159</f>
        <v>72.82277287663135</v>
      </c>
      <c r="Y160" s="63">
        <f>Y153-Y159</f>
        <v>68.89029781029143</v>
      </c>
      <c r="Z160" s="63">
        <f>Z153-Z159</f>
        <v>64.37545525640455</v>
      </c>
      <c r="AA160" s="63">
        <f>AA153-AA159</f>
        <v>58.93646988553319</v>
      </c>
      <c r="AB160" s="63">
        <f>AB153-AB159</f>
        <v>51.72568901726855</v>
      </c>
      <c r="AC160" s="63">
        <f>AC153-AC159</f>
        <v>39.365791472614255</v>
      </c>
    </row>
    <row r="162" ht="20" customHeight="1" spans="1:29" x14ac:dyDescent="0.25">
      <c r="A162" s="21" t="s">
        <v>224</v>
      </c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</row>
    <row r="163" spans="1:29" x14ac:dyDescent="0.25">
      <c r="A163" s="33" t="s">
        <v>225</v>
      </c>
      <c r="B163" s="26" t="s">
        <v>86</v>
      </c>
      <c r="E163" s="37">
        <f>E115*$C$74/365</f>
        <v>30.00458773719977</v>
      </c>
      <c r="F163" s="37">
        <f>F115*$C$74/365</f>
        <v>29.94753802754713</v>
      </c>
      <c r="G163" s="37">
        <f>G115*$C$74/365</f>
        <v>29.89048831789448</v>
      </c>
      <c r="H163" s="37">
        <f>H115*$C$74/365</f>
        <v>29.833438608241842</v>
      </c>
      <c r="I163" s="37">
        <f>I115*$C$74/365</f>
        <v>29.776388898589204</v>
      </c>
      <c r="J163" s="37">
        <f>J115*$C$74/365</f>
        <v>29.71933918893656</v>
      </c>
      <c r="K163" s="37">
        <f>K115*$C$74/365</f>
        <v>29.662289479283917</v>
      </c>
      <c r="L163" s="37">
        <f>L115*$C$74/365</f>
        <v>29.605239769631265</v>
      </c>
      <c r="M163" s="37">
        <f>M115*$C$74/365</f>
        <v>29.54819005997863</v>
      </c>
      <c r="N163" s="37">
        <f>N115*$C$74/365</f>
        <v>29.49114035032599</v>
      </c>
      <c r="O163" s="37">
        <f>O115*$C$74/365</f>
        <v>29.434090640673343</v>
      </c>
      <c r="P163" s="37">
        <f>P115*$C$74/365</f>
        <v>29.3770409310207</v>
      </c>
      <c r="Q163" s="37">
        <f>Q115*$C$74/365</f>
        <v>29.31999122136806</v>
      </c>
      <c r="R163" s="37">
        <f>R115*$C$74/365</f>
        <v>29.262941511715415</v>
      </c>
      <c r="S163" s="37">
        <f>S115*$C$74/365</f>
        <v>29.205891802062773</v>
      </c>
      <c r="T163" s="37">
        <f>T115*$C$74/365</f>
        <v>29.148842092410135</v>
      </c>
      <c r="U163" s="37">
        <f>U115*$C$74/365</f>
        <v>29.091792382757493</v>
      </c>
      <c r="V163" s="37">
        <f>V115*$C$74/365</f>
        <v>29.034742673104848</v>
      </c>
      <c r="W163" s="37">
        <f>W115*$C$74/365</f>
        <v>28.977692963452206</v>
      </c>
      <c r="X163" s="37">
        <f>X115*$C$74/365</f>
        <v>28.920643253799565</v>
      </c>
      <c r="Y163" s="37">
        <f>Y115*$C$74/365</f>
        <v>28.86359354414692</v>
      </c>
      <c r="Z163" s="37">
        <f>Z115*$C$74/365</f>
        <v>28.806543834494285</v>
      </c>
      <c r="AA163" s="37">
        <f>AA115*$C$74/365</f>
        <v>28.749494124841632</v>
      </c>
      <c r="AB163" s="37">
        <f>AB115*$C$74/365</f>
        <v>28.69244441518899</v>
      </c>
      <c r="AC163" s="37">
        <f>AC115*$C$74/365</f>
        <v>28.635394705536346</v>
      </c>
    </row>
    <row r="164" spans="1:29" x14ac:dyDescent="0.25">
      <c r="A164" s="33" t="s">
        <v>226</v>
      </c>
      <c r="B164" s="26" t="s">
        <v>86</v>
      </c>
      <c r="C164" s="57">
        <f>SUM(E164:AC164)</f>
        <v>28.635394705536346</v>
      </c>
      <c r="E164" s="37">
        <f>E163</f>
        <v>30.00458773719977</v>
      </c>
      <c r="F164" s="37">
        <f>F163-E163</f>
        <v>-0.05704970965264167</v>
      </c>
      <c r="G164" s="37">
        <f>G163-F163</f>
        <v>-0.05704970965264877</v>
      </c>
      <c r="H164" s="37">
        <f>H163-G163</f>
        <v>-0.057049709652638114</v>
      </c>
      <c r="I164" s="37">
        <f>I163-H163</f>
        <v>-0.057049709652638114</v>
      </c>
      <c r="J164" s="37">
        <f>J163-I163</f>
        <v>-0.05704970965264522</v>
      </c>
      <c r="K164" s="37">
        <f>K163-J163</f>
        <v>-0.05704970965264167</v>
      </c>
      <c r="L164" s="37">
        <f>L163-K163</f>
        <v>-0.057049709652652325</v>
      </c>
      <c r="M164" s="37">
        <f>M163-L163</f>
        <v>-0.05704970965263456</v>
      </c>
      <c r="N164" s="37">
        <f>N163-M163</f>
        <v>-0.05704970965264167</v>
      </c>
      <c r="O164" s="37">
        <f>O163-N163</f>
        <v>-0.05704970965264522</v>
      </c>
      <c r="P164" s="37">
        <f>P163-O163</f>
        <v>-0.05704970965264167</v>
      </c>
      <c r="Q164" s="37">
        <f>Q163-P163</f>
        <v>-0.05704970965264167</v>
      </c>
      <c r="R164" s="37">
        <f>R163-Q163</f>
        <v>-0.05704970965264522</v>
      </c>
      <c r="S164" s="37">
        <f>S163-R163</f>
        <v>-0.05704970965264167</v>
      </c>
      <c r="T164" s="37">
        <f>T163-S163</f>
        <v>-0.057049709652638114</v>
      </c>
      <c r="U164" s="37">
        <f>U163-T163</f>
        <v>-0.05704970965264167</v>
      </c>
      <c r="V164" s="37">
        <f>V163-U163</f>
        <v>-0.05704970965264522</v>
      </c>
      <c r="W164" s="37">
        <f>W163-V163</f>
        <v>-0.05704970965264167</v>
      </c>
      <c r="X164" s="37">
        <f>X163-W163</f>
        <v>-0.05704970965264167</v>
      </c>
      <c r="Y164" s="37">
        <f>Y163-X163</f>
        <v>-0.05704970965264522</v>
      </c>
      <c r="Z164" s="37">
        <f>Z163-Y163</f>
        <v>-0.05704970965263456</v>
      </c>
      <c r="AA164" s="37">
        <f>AA163-Z163</f>
        <v>-0.057049709652652325</v>
      </c>
      <c r="AB164" s="37">
        <f>AB163-AA163</f>
        <v>-0.05704970965264167</v>
      </c>
      <c r="AC164" s="37">
        <f>AC163-AB163</f>
        <v>-0.05704970965264522</v>
      </c>
    </row>
    <row r="165" spans="1:29" x14ac:dyDescent="0.25">
      <c r="A165" s="61" t="s">
        <v>227</v>
      </c>
      <c r="B165" s="62" t="s">
        <v>86</v>
      </c>
      <c r="C165" s="63">
        <f>SUM(E165:AC165)</f>
        <v>4148.831258688584</v>
      </c>
      <c r="D165" s="64"/>
      <c r="E165" s="63">
        <f>E124-E159-E164-E128</f>
        <v>192.45955880134977</v>
      </c>
      <c r="F165" s="63">
        <f>F124-F159-F164-F128</f>
        <v>211.11567395712822</v>
      </c>
      <c r="G165" s="63">
        <f>G124-G159-G164-G128</f>
        <v>209.78736295264395</v>
      </c>
      <c r="H165" s="63">
        <f>H124-H159-H164-H128</f>
        <v>208.41577322462805</v>
      </c>
      <c r="I165" s="63">
        <f>I124-I159-I164-I128</f>
        <v>206.9987408369038</v>
      </c>
      <c r="J165" s="63">
        <f>J124-J159-J164-J128</f>
        <v>205.5339936564857</v>
      </c>
      <c r="K165" s="63">
        <f>K124-K159-K164-K128</f>
        <v>204.0191459437393</v>
      </c>
      <c r="L165" s="63">
        <f>L124-L159-L164-L128</f>
        <v>202.4516926720479</v>
      </c>
      <c r="M165" s="63">
        <f>M124-M159-M164-M128</f>
        <v>200.82900356346448</v>
      </c>
      <c r="N165" s="63">
        <f>N124-N159-N164-N128</f>
        <v>199.14831682614437</v>
      </c>
      <c r="O165" s="63">
        <f>O124-O159-O164-O128</f>
        <v>190.6210888128612</v>
      </c>
      <c r="P165" s="63">
        <f>P124-P159-P164-P128</f>
        <v>153.47896723092532</v>
      </c>
      <c r="Q165" s="63">
        <f>Q124-Q159-Q164-Q128</f>
        <v>150.22023532225646</v>
      </c>
      <c r="R165" s="63">
        <f>R124-R159-R164-R128</f>
        <v>146.9976676814379</v>
      </c>
      <c r="S165" s="63">
        <f>S124-S159-S164-S128</f>
        <v>143.7730599690645</v>
      </c>
      <c r="T165" s="63">
        <f>T124-T159-T164-T128</f>
        <v>140.52230264987983</v>
      </c>
      <c r="U165" s="63">
        <f>U124-U159-U164-U128</f>
        <v>138.86480760204577</v>
      </c>
      <c r="V165" s="63">
        <f>V124-V159-V164-V128</f>
        <v>137.15471515634042</v>
      </c>
      <c r="W165" s="63">
        <f>W124-W159-W164-W128</f>
        <v>135.38420981602766</v>
      </c>
      <c r="X165" s="63">
        <f>X124-X159-X164-X128</f>
        <v>133.54715956027158</v>
      </c>
      <c r="Y165" s="63">
        <f>Y124-Y159-Y164-Y128</f>
        <v>131.63837031763663</v>
      </c>
      <c r="Z165" s="63">
        <f>Z124-Z159-Z164-Z128</f>
        <v>129.65313504338096</v>
      </c>
      <c r="AA165" s="63">
        <f>AA124-AA159-AA164-AA128</f>
        <v>127.58695937868455</v>
      </c>
      <c r="AB165" s="63">
        <f>AB124-AB159-AB164-AB128</f>
        <v>125.4353930696823</v>
      </c>
      <c r="AC165" s="63">
        <f>AC124-AC159-AC164-AC128</f>
        <v>123.19392464355283</v>
      </c>
    </row>
    <row r="166" spans="1:29" x14ac:dyDescent="0.25">
      <c r="A166" s="33" t="s">
        <v>228</v>
      </c>
      <c r="B166" s="26" t="s">
        <v>86</v>
      </c>
      <c r="C166" s="57">
        <f>SUM(E166:AC166)</f>
        <v>1862.2785520570021</v>
      </c>
      <c r="E166" s="37">
        <f>E141</f>
        <v>169.62614718348664</v>
      </c>
      <c r="F166" s="37">
        <f>F141</f>
        <v>163.1298266530552</v>
      </c>
      <c r="G166" s="37">
        <f>G141</f>
        <v>156.63350612262383</v>
      </c>
      <c r="H166" s="37">
        <f>H141</f>
        <v>150.13718559219242</v>
      </c>
      <c r="I166" s="37">
        <f>I141</f>
        <v>143.64086506176102</v>
      </c>
      <c r="J166" s="37">
        <f>J141</f>
        <v>137.14454453132964</v>
      </c>
      <c r="K166" s="37">
        <f>K141</f>
        <v>130.64822400089824</v>
      </c>
      <c r="L166" s="37">
        <f>L141</f>
        <v>124.15190347046683</v>
      </c>
      <c r="M166" s="37">
        <f>M141</f>
        <v>117.65558294003543</v>
      </c>
      <c r="N166" s="37">
        <f>N141</f>
        <v>111.15926240960403</v>
      </c>
      <c r="O166" s="37">
        <f>O141</f>
        <v>104.66294187917262</v>
      </c>
      <c r="P166" s="37">
        <f>P141</f>
        <v>98.16662134874122</v>
      </c>
      <c r="Q166" s="37">
        <f>Q141</f>
        <v>91.67030081830981</v>
      </c>
      <c r="R166" s="37">
        <f>R141</f>
        <v>85.17398028787841</v>
      </c>
      <c r="S166" s="37">
        <f>S141</f>
        <v>78.677659757447</v>
      </c>
      <c r="T166" s="37">
        <f>T141</f>
        <v>2.3021584638627244e-14</v>
      </c>
      <c r="U166" s="37">
        <f>U141</f>
        <v>2.3021584638627244e-14</v>
      </c>
      <c r="V166" s="37">
        <f>V141</f>
        <v>2.3021584638627244e-14</v>
      </c>
      <c r="W166" s="37">
        <f>W141</f>
        <v>2.3021584638627244e-14</v>
      </c>
      <c r="X166" s="37">
        <f>X141</f>
        <v>2.3021584638627244e-14</v>
      </c>
      <c r="Y166" s="37">
        <f>Y141</f>
        <v>2.3021584638627244e-14</v>
      </c>
      <c r="Z166" s="37">
        <f>Z141</f>
        <v>2.3021584638627244e-14</v>
      </c>
      <c r="AA166" s="37">
        <f>AA141</f>
        <v>2.3021584638627244e-14</v>
      </c>
      <c r="AB166" s="37">
        <f>AB141</f>
        <v>2.3021584638627244e-14</v>
      </c>
      <c r="AC166" s="37">
        <f>AC141</f>
        <v>2.3021584638627244e-14</v>
      </c>
    </row>
    <row r="167" spans="1:29" x14ac:dyDescent="0.25">
      <c r="A167" s="33" t="s">
        <v>229</v>
      </c>
      <c r="B167" s="26" t="s">
        <v>88</v>
      </c>
      <c r="E167" s="40">
        <f>IF(E141&gt;1E-9,E165/E141,"")</f>
        <v>1.1346102119101011</v>
      </c>
      <c r="F167" s="40">
        <f>IF(F141&gt;1E-9,F165/F141,"")</f>
        <v>1.294157410012636</v>
      </c>
      <c r="G167" s="40">
        <f>IF(G141&gt;1E-9,G165/G141,"")</f>
        <v>1.3393517654416003</v>
      </c>
      <c r="H167" s="40">
        <f>IF(H141&gt;1E-9,H165/H141,"")</f>
        <v>1.388168909671278</v>
      </c>
      <c r="I167" s="40">
        <f>IF(I141&gt;1E-9,I165/I141,"")</f>
        <v>1.4410853119542333</v>
      </c>
      <c r="J167" s="40">
        <f>IF(J141&gt;1E-9,J165/J141,"")</f>
        <v>1.4986669310023704</v>
      </c>
      <c r="K167" s="40">
        <f>IF(K141&gt;1E-9,K165/K141,"")</f>
        <v>1.5615914223398597</v>
      </c>
      <c r="L167" s="40">
        <f>IF(L141&gt;1E-9,L165/L141,"")</f>
        <v>1.6306773155532566</v>
      </c>
      <c r="M167" s="40">
        <f>IF(M141&gt;1E-9,M165/M141,"")</f>
        <v>1.706922855210529</v>
      </c>
      <c r="N167" s="40">
        <f>IF(N141&gt;1E-9,N165/N141,"")</f>
        <v>1.791558458640314</v>
      </c>
      <c r="O167" s="40">
        <f>IF(O141&gt;1E-9,O165/O141,"")</f>
        <v>1.8212854080952772</v>
      </c>
      <c r="P167" s="40">
        <f>IF(P141&gt;1E-9,P165/P141,"")</f>
        <v>1.5634536986424803</v>
      </c>
      <c r="Q167" s="40">
        <f>IF(Q141&gt;1E-9,Q165/Q141,"")</f>
        <v>1.6387012367287024</v>
      </c>
      <c r="R167" s="40">
        <f>IF(R141&gt;1E-9,R165/R141,"")</f>
        <v>1.7258518057345966</v>
      </c>
      <c r="S167" s="40">
        <f>IF(S141&gt;1E-9,S165/S141,"")</f>
        <v>1.8273682823345043</v>
      </c>
      <c r="T167" s="40" t="str">
        <f>IF(T141&gt;1E-9,T165/T141,"")</f>
        <v/>
      </c>
      <c r="U167" s="40" t="str">
        <f>IF(U141&gt;1E-9,U165/U141,"")</f>
        <v/>
      </c>
      <c r="V167" s="40" t="str">
        <f>IF(V141&gt;1E-9,V165/V141,"")</f>
        <v/>
      </c>
      <c r="W167" s="40" t="str">
        <f>IF(W141&gt;1E-9,W165/W141,"")</f>
        <v/>
      </c>
      <c r="X167" s="40" t="str">
        <f>IF(X141&gt;1E-9,X165/X141,"")</f>
        <v/>
      </c>
      <c r="Y167" s="40" t="str">
        <f>IF(Y141&gt;1E-9,Y165/Y141,"")</f>
        <v/>
      </c>
      <c r="Z167" s="40" t="str">
        <f>IF(Z141&gt;1E-9,Z165/Z141,"")</f>
        <v/>
      </c>
      <c r="AA167" s="40" t="str">
        <f>IF(AA141&gt;1E-9,AA165/AA141,"")</f>
        <v/>
      </c>
      <c r="AB167" s="40" t="str">
        <f>IF(AB141&gt;1E-9,AB165/AB141,"")</f>
        <v/>
      </c>
      <c r="AC167" s="40" t="str">
        <f>IF(AC141&gt;1E-9,AC165/AC141,"")</f>
        <v/>
      </c>
    </row>
    <row r="168" spans="1:29" x14ac:dyDescent="0.25">
      <c r="A168" s="33" t="s">
        <v>230</v>
      </c>
      <c r="B168" s="26" t="s">
        <v>86</v>
      </c>
      <c r="C168" s="57">
        <f>SUM(E168:AC168)</f>
        <v>183.3096930491412</v>
      </c>
      <c r="E168" s="37">
        <f>IF(E$5=$C$87,$C$84*$C$73+E163,0)</f>
        <v>0</v>
      </c>
      <c r="F168" s="37">
        <f>IF(F$5=$C$87,$C$84*$C$73+F163,0)</f>
        <v>0</v>
      </c>
      <c r="G168" s="37">
        <f>IF(G$5=$C$87,$C$84*$C$73+G163,0)</f>
        <v>0</v>
      </c>
      <c r="H168" s="37">
        <f>IF(H$5=$C$87,$C$84*$C$73+H163,0)</f>
        <v>0</v>
      </c>
      <c r="I168" s="37">
        <f>IF(I$5=$C$87,$C$84*$C$73+I163,0)</f>
        <v>0</v>
      </c>
      <c r="J168" s="37">
        <f>IF(J$5=$C$87,$C$84*$C$73+J163,0)</f>
        <v>0</v>
      </c>
      <c r="K168" s="37">
        <f>IF(K$5=$C$87,$C$84*$C$73+K163,0)</f>
        <v>0</v>
      </c>
      <c r="L168" s="37">
        <f>IF(L$5=$C$87,$C$84*$C$73+L163,0)</f>
        <v>0</v>
      </c>
      <c r="M168" s="37">
        <f>IF(M$5=$C$87,$C$84*$C$73+M163,0)</f>
        <v>0</v>
      </c>
      <c r="N168" s="37">
        <f>IF(N$5=$C$87,$C$84*$C$73+N163,0)</f>
        <v>0</v>
      </c>
      <c r="O168" s="37">
        <f>IF(O$5=$C$87,$C$84*$C$73+O163,0)</f>
        <v>0</v>
      </c>
      <c r="P168" s="37">
        <f>IF(P$5=$C$87,$C$84*$C$73+P163,0)</f>
        <v>0</v>
      </c>
      <c r="Q168" s="37">
        <f>IF(Q$5=$C$87,$C$84*$C$73+Q163,0)</f>
        <v>0</v>
      </c>
      <c r="R168" s="37">
        <f>IF(R$5=$C$87,$C$84*$C$73+R163,0)</f>
        <v>0</v>
      </c>
      <c r="S168" s="37">
        <f>IF(S$5=$C$87,$C$84*$C$73+S163,0)</f>
        <v>0</v>
      </c>
      <c r="T168" s="37">
        <f>IF(T$5=$C$87,$C$84*$C$73+T163,0)</f>
        <v>0</v>
      </c>
      <c r="U168" s="37">
        <f>IF(U$5=$C$87,$C$84*$C$73+U163,0)</f>
        <v>0</v>
      </c>
      <c r="V168" s="37">
        <f>IF(V$5=$C$87,$C$84*$C$73+V163,0)</f>
        <v>0</v>
      </c>
      <c r="W168" s="37">
        <f>IF(W$5=$C$87,$C$84*$C$73+W163,0)</f>
        <v>0</v>
      </c>
      <c r="X168" s="37">
        <f>IF(X$5=$C$87,$C$84*$C$73+X163,0)</f>
        <v>0</v>
      </c>
      <c r="Y168" s="37">
        <f>IF(Y$5=$C$87,$C$84*$C$73+Y163,0)</f>
        <v>0</v>
      </c>
      <c r="Z168" s="37">
        <f>IF(Z$5=$C$87,$C$84*$C$73+Z163,0)</f>
        <v>0</v>
      </c>
      <c r="AA168" s="37">
        <f>IF(AA$5=$C$87,$C$84*$C$73+AA163,0)</f>
        <v>0</v>
      </c>
      <c r="AB168" s="37">
        <f>IF(AB$5=$C$87,$C$84*$C$73+AB163,0)</f>
        <v>0</v>
      </c>
      <c r="AC168" s="37">
        <f>IF(AC$5=$C$87,$C$84*$C$73+AC163,0)</f>
        <v>183.3096930491412</v>
      </c>
    </row>
    <row r="169" spans="1:29" x14ac:dyDescent="0.25">
      <c r="A169" s="33" t="s">
        <v>231</v>
      </c>
      <c r="B169" s="26" t="s">
        <v>86</v>
      </c>
      <c r="C169" s="57">
        <f>SUM(E169:AC169)</f>
        <v>2.5579538487363607e-13</v>
      </c>
      <c r="E169" s="37">
        <f>IF(E$5=$C$87,E140,0)</f>
        <v>0</v>
      </c>
      <c r="F169" s="37">
        <f>IF(F$5=$C$87,F140,0)</f>
        <v>0</v>
      </c>
      <c r="G169" s="37">
        <f>IF(G$5=$C$87,G140,0)</f>
        <v>0</v>
      </c>
      <c r="H169" s="37">
        <f>IF(H$5=$C$87,H140,0)</f>
        <v>0</v>
      </c>
      <c r="I169" s="37">
        <f>IF(I$5=$C$87,I140,0)</f>
        <v>0</v>
      </c>
      <c r="J169" s="37">
        <f>IF(J$5=$C$87,J140,0)</f>
        <v>0</v>
      </c>
      <c r="K169" s="37">
        <f>IF(K$5=$C$87,K140,0)</f>
        <v>0</v>
      </c>
      <c r="L169" s="37">
        <f>IF(L$5=$C$87,L140,0)</f>
        <v>0</v>
      </c>
      <c r="M169" s="37">
        <f>IF(M$5=$C$87,M140,0)</f>
        <v>0</v>
      </c>
      <c r="N169" s="37">
        <f>IF(N$5=$C$87,N140,0)</f>
        <v>0</v>
      </c>
      <c r="O169" s="37">
        <f>IF(O$5=$C$87,O140,0)</f>
        <v>0</v>
      </c>
      <c r="P169" s="37">
        <f>IF(P$5=$C$87,P140,0)</f>
        <v>0</v>
      </c>
      <c r="Q169" s="37">
        <f>IF(Q$5=$C$87,Q140,0)</f>
        <v>0</v>
      </c>
      <c r="R169" s="37">
        <f>IF(R$5=$C$87,R140,0)</f>
        <v>0</v>
      </c>
      <c r="S169" s="37">
        <f>IF(S$5=$C$87,S140,0)</f>
        <v>0</v>
      </c>
      <c r="T169" s="37">
        <f>IF(T$5=$C$87,T140,0)</f>
        <v>0</v>
      </c>
      <c r="U169" s="37">
        <f>IF(U$5=$C$87,U140,0)</f>
        <v>0</v>
      </c>
      <c r="V169" s="37">
        <f>IF(V$5=$C$87,V140,0)</f>
        <v>0</v>
      </c>
      <c r="W169" s="37">
        <f>IF(W$5=$C$87,W140,0)</f>
        <v>0</v>
      </c>
      <c r="X169" s="37">
        <f>IF(X$5=$C$87,X140,0)</f>
        <v>0</v>
      </c>
      <c r="Y169" s="37">
        <f>IF(Y$5=$C$87,Y140,0)</f>
        <v>0</v>
      </c>
      <c r="Z169" s="37">
        <f>IF(Z$5=$C$87,Z140,0)</f>
        <v>0</v>
      </c>
      <c r="AA169" s="37">
        <f>IF(AA$5=$C$87,AA140,0)</f>
        <v>0</v>
      </c>
      <c r="AB169" s="37">
        <f>IF(AB$5=$C$87,AB140,0)</f>
        <v>0</v>
      </c>
      <c r="AC169" s="37">
        <f>IF(AC$5=$C$87,AC140,0)</f>
        <v>2.5579538487363607e-13</v>
      </c>
    </row>
    <row r="170" spans="1:29" x14ac:dyDescent="0.25">
      <c r="A170" s="61" t="s">
        <v>232</v>
      </c>
      <c r="B170" s="62" t="s">
        <v>86</v>
      </c>
      <c r="C170" s="63">
        <f>SUM(E170:AC170)</f>
        <v>2469.8623996807223</v>
      </c>
      <c r="D170" s="63">
        <f>-$C$86</f>
        <v>-464.02289503081465</v>
      </c>
      <c r="E170" s="63">
        <f>E165-E141+E168-E169</f>
        <v>22.833411617863135</v>
      </c>
      <c r="F170" s="63">
        <f>F165-F141+F168-F169</f>
        <v>47.98584730407302</v>
      </c>
      <c r="G170" s="63">
        <f>G165-G141+G168-G169</f>
        <v>53.15385683002012</v>
      </c>
      <c r="H170" s="63">
        <f>H165-H141+H168-H169</f>
        <v>58.27858763243563</v>
      </c>
      <c r="I170" s="63">
        <f>I165-I141+I168-I169</f>
        <v>63.35787577514279</v>
      </c>
      <c r="J170" s="63">
        <f>J165-J141+J168-J169</f>
        <v>68.38944912515606</v>
      </c>
      <c r="K170" s="63">
        <f>K165-K141+K168-K169</f>
        <v>73.37092194284105</v>
      </c>
      <c r="L170" s="63">
        <f>L165-L141+L168-L169</f>
        <v>78.29978920158106</v>
      </c>
      <c r="M170" s="63">
        <f>M165-M141+M168-M169</f>
        <v>83.17342062342905</v>
      </c>
      <c r="N170" s="63">
        <f>N165-N141+N168-N169</f>
        <v>87.98905441654034</v>
      </c>
      <c r="O170" s="63">
        <f>O165-O141+O168-O169</f>
        <v>85.95814693368857</v>
      </c>
      <c r="P170" s="63">
        <f>P165-P141+P168-P169</f>
        <v>55.312345882184104</v>
      </c>
      <c r="Q170" s="63">
        <f>Q165-Q141+Q168-Q169</f>
        <v>58.549934503946645</v>
      </c>
      <c r="R170" s="63">
        <f>R165-R141+R168-R169</f>
        <v>61.82368739355948</v>
      </c>
      <c r="S170" s="63">
        <f>S165-S141+S168-S169</f>
        <v>65.09540021161749</v>
      </c>
      <c r="T170" s="63">
        <f>T165-T141+T168-T169</f>
        <v>140.5223026498798</v>
      </c>
      <c r="U170" s="63">
        <f>U165-U141+U168-U169</f>
        <v>138.86480760204574</v>
      </c>
      <c r="V170" s="63">
        <f>V165-V141+V168-V169</f>
        <v>137.1547151563404</v>
      </c>
      <c r="W170" s="63">
        <f>W165-W141+W168-W169</f>
        <v>135.38420981602764</v>
      </c>
      <c r="X170" s="63">
        <f>X165-X141+X168-X169</f>
        <v>133.54715956027155</v>
      </c>
      <c r="Y170" s="63">
        <f>Y165-Y141+Y168-Y169</f>
        <v>131.6383703176366</v>
      </c>
      <c r="Z170" s="63">
        <f>Z165-Z141+Z168-Z169</f>
        <v>129.65313504338093</v>
      </c>
      <c r="AA170" s="63">
        <f>AA165-AA141+AA168-AA169</f>
        <v>127.58695937868453</v>
      </c>
      <c r="AB170" s="63">
        <f>AB165-AB141+AB168-AB169</f>
        <v>125.43539306968228</v>
      </c>
      <c r="AC170" s="63">
        <f>AC165-AC141+AC168-AC169</f>
        <v>306.50361769269375</v>
      </c>
    </row>
    <row r="171" spans="1:29" x14ac:dyDescent="0.25">
      <c r="A171" s="33" t="s">
        <v>233</v>
      </c>
      <c r="B171" s="26" t="s">
        <v>86</v>
      </c>
      <c r="D171" s="37">
        <f>D170</f>
        <v>-464.02289503081465</v>
      </c>
      <c r="E171" s="37">
        <f>D171+E170</f>
        <v>-441.1894834129515</v>
      </c>
      <c r="F171" s="37">
        <f>E171+F170</f>
        <v>-393.2036361088785</v>
      </c>
      <c r="G171" s="37">
        <f>F171+G170</f>
        <v>-340.0497792788584</v>
      </c>
      <c r="H171" s="37">
        <f>G171+H170</f>
        <v>-281.7711916464228</v>
      </c>
      <c r="I171" s="37">
        <f>H171+I170</f>
        <v>-218.41331587128</v>
      </c>
      <c r="J171" s="37">
        <f>I171+J170</f>
        <v>-150.02386674612393</v>
      </c>
      <c r="K171" s="37">
        <f>J171+K170</f>
        <v>-76.65294480328288</v>
      </c>
      <c r="L171" s="37">
        <f>K171+L170</f>
        <v>1.6468443982981853</v>
      </c>
      <c r="M171" s="37">
        <f>L171+M170</f>
        <v>84.82026502172724</v>
      </c>
      <c r="N171" s="37">
        <f>M171+N170</f>
        <v>172.80931943826758</v>
      </c>
      <c r="O171" s="37">
        <f>N171+O170</f>
        <v>258.7674663719562</v>
      </c>
      <c r="P171" s="37">
        <f>O171+P170</f>
        <v>314.0798122541403</v>
      </c>
      <c r="Q171" s="37">
        <f>P171+Q170</f>
        <v>372.6297467580869</v>
      </c>
      <c r="R171" s="37">
        <f>Q171+R170</f>
        <v>434.45343415164643</v>
      </c>
      <c r="S171" s="37">
        <f>R171+S170</f>
        <v>499.54883436326395</v>
      </c>
      <c r="T171" s="37">
        <f>S171+T170</f>
        <v>640.0711370131437</v>
      </c>
      <c r="U171" s="37">
        <f>T171+U170</f>
        <v>778.9359446151894</v>
      </c>
      <c r="V171" s="37">
        <f>U171+V170</f>
        <v>916.0906597715298</v>
      </c>
      <c r="W171" s="37">
        <f>V171+W170</f>
        <v>1051.4748695875574</v>
      </c>
      <c r="X171" s="37">
        <f>W171+X170</f>
        <v>1185.022029147829</v>
      </c>
      <c r="Y171" s="37">
        <f>X171+Y170</f>
        <v>1316.6603994654656</v>
      </c>
      <c r="Z171" s="37">
        <f>Y171+Z170</f>
        <v>1446.3135345088465</v>
      </c>
      <c r="AA171" s="37">
        <f>Z171+AA170</f>
        <v>1573.900493887531</v>
      </c>
      <c r="AB171" s="37">
        <f>AA171+AB170</f>
        <v>1699.3358869572132</v>
      </c>
      <c r="AC171" s="37">
        <f>AB171+AC170</f>
        <v>2005.839504649907</v>
      </c>
    </row>
    <row r="172" spans="1:29" x14ac:dyDescent="0.25">
      <c r="A172" s="33" t="s">
        <v>234</v>
      </c>
      <c r="B172" s="26" t="s">
        <v>92</v>
      </c>
      <c r="E172" s="44" t="str">
        <f>IF(E171&gt;=0,E$5,"")</f>
        <v/>
      </c>
      <c r="F172" s="44" t="str">
        <f>IF(F171&gt;=0,F$5,"")</f>
        <v/>
      </c>
      <c r="G172" s="44" t="str">
        <f>IF(G171&gt;=0,G$5,"")</f>
        <v/>
      </c>
      <c r="H172" s="44" t="str">
        <f>IF(H171&gt;=0,H$5,"")</f>
        <v/>
      </c>
      <c r="I172" s="44" t="str">
        <f>IF(I171&gt;=0,I$5,"")</f>
        <v/>
      </c>
      <c r="J172" s="44" t="str">
        <f>IF(J171&gt;=0,J$5,"")</f>
        <v/>
      </c>
      <c r="K172" s="44" t="str">
        <f>IF(K171&gt;=0,K$5,"")</f>
        <v/>
      </c>
      <c r="L172" s="44">
        <f>IF(L171&gt;=0,L$5,"")</f>
        <v>8</v>
      </c>
      <c r="M172" s="44">
        <f>IF(M171&gt;=0,M$5,"")</f>
        <v>9</v>
      </c>
      <c r="N172" s="44">
        <f>IF(N171&gt;=0,N$5,"")</f>
        <v>10</v>
      </c>
      <c r="O172" s="44">
        <f>IF(O171&gt;=0,O$5,"")</f>
        <v>11</v>
      </c>
      <c r="P172" s="44">
        <f>IF(P171&gt;=0,P$5,"")</f>
        <v>12</v>
      </c>
      <c r="Q172" s="44">
        <f>IF(Q171&gt;=0,Q$5,"")</f>
        <v>13</v>
      </c>
      <c r="R172" s="44">
        <f>IF(R171&gt;=0,R$5,"")</f>
        <v>14</v>
      </c>
      <c r="S172" s="44">
        <f>IF(S171&gt;=0,S$5,"")</f>
        <v>15</v>
      </c>
      <c r="T172" s="44">
        <f>IF(T171&gt;=0,T$5,"")</f>
        <v>16</v>
      </c>
      <c r="U172" s="44">
        <f>IF(U171&gt;=0,U$5,"")</f>
        <v>17</v>
      </c>
      <c r="V172" s="44">
        <f>IF(V171&gt;=0,V$5,"")</f>
        <v>18</v>
      </c>
      <c r="W172" s="44">
        <f>IF(W171&gt;=0,W$5,"")</f>
        <v>19</v>
      </c>
      <c r="X172" s="44">
        <f>IF(X171&gt;=0,X$5,"")</f>
        <v>20</v>
      </c>
      <c r="Y172" s="44">
        <f>IF(Y171&gt;=0,Y$5,"")</f>
        <v>21</v>
      </c>
      <c r="Z172" s="44">
        <f>IF(Z171&gt;=0,Z$5,"")</f>
        <v>22</v>
      </c>
      <c r="AA172" s="44">
        <f>IF(AA171&gt;=0,AA$5,"")</f>
        <v>23</v>
      </c>
      <c r="AB172" s="44">
        <f>IF(AB171&gt;=0,AB$5,"")</f>
        <v>24</v>
      </c>
      <c r="AC172" s="44">
        <f>IF(AC171&gt;=0,AC$5,"")</f>
        <v>25</v>
      </c>
    </row>
    <row r="173" spans="1:29" x14ac:dyDescent="0.25">
      <c r="A173" s="33" t="s">
        <v>235</v>
      </c>
      <c r="B173" s="26" t="s">
        <v>86</v>
      </c>
      <c r="C173" s="57">
        <f>SUM(E173:AC173)</f>
        <v>964.8553068783559</v>
      </c>
      <c r="E173" s="37">
        <f>MAX(0,(E124-E146)*$C$69)</f>
        <v>0</v>
      </c>
      <c r="F173" s="37">
        <f>MAX(0,(F124-F146)*$C$69)</f>
        <v>0</v>
      </c>
      <c r="G173" s="37">
        <f>MAX(0,(G124-G146)*$C$69)</f>
        <v>0</v>
      </c>
      <c r="H173" s="37">
        <f>MAX(0,(H124-H146)*$C$69)</f>
        <v>19.357167316666246</v>
      </c>
      <c r="I173" s="37">
        <f>MAX(0,(I124-I146)*$C$69)</f>
        <v>32.23518962149728</v>
      </c>
      <c r="J173" s="37">
        <f>MAX(0,(J124-J146)*$C$69)</f>
        <v>39.80732637027878</v>
      </c>
      <c r="K173" s="37">
        <f>MAX(0,(K124-K146)*$C$69)</f>
        <v>44.19052736943615</v>
      </c>
      <c r="L173" s="37">
        <f>MAX(0,(L124-L146)*$C$69)</f>
        <v>46.6546922820248</v>
      </c>
      <c r="M173" s="37">
        <f>MAX(0,(M124-M146)*$C$69)</f>
        <v>47.96147717403839</v>
      </c>
      <c r="N173" s="37">
        <f>MAX(0,(N124-N146)*$C$69)</f>
        <v>48.56757776664134</v>
      </c>
      <c r="O173" s="37">
        <f>MAX(0,(O124-O146)*$C$69)</f>
        <v>48.74669867817902</v>
      </c>
      <c r="P173" s="37">
        <f>MAX(0,(P124-P146)*$C$69)</f>
        <v>48.66273422458775</v>
      </c>
      <c r="Q173" s="37">
        <f>MAX(0,(Q124-Q146)*$C$69)</f>
        <v>48.41367611760482</v>
      </c>
      <c r="R173" s="37">
        <f>MAX(0,(R124-R146)*$C$69)</f>
        <v>48.05795726255685</v>
      </c>
      <c r="S173" s="37">
        <f>MAX(0,(S124-S146)*$C$69)</f>
        <v>47.63025717483838</v>
      </c>
      <c r="T173" s="37">
        <f>MAX(0,(T124-T146)*$C$69)</f>
        <v>47.15098432449451</v>
      </c>
      <c r="U173" s="37">
        <f>MAX(0,(U124-U146)*$C$69)</f>
        <v>46.631964592401154</v>
      </c>
      <c r="V173" s="37">
        <f>MAX(0,(V124-V146)*$C$69)</f>
        <v>46.079853345875144</v>
      </c>
      <c r="W173" s="37">
        <f>MAX(0,(W124-W146)*$C$69)</f>
        <v>45.49818163603746</v>
      </c>
      <c r="X173" s="37">
        <f>MAX(0,(X124-X146)*$C$69)</f>
        <v>44.888582815828045</v>
      </c>
      <c r="Y173" s="37">
        <f>MAX(0,(Y124-Y146)*$C$69)</f>
        <v>44.25152735539165</v>
      </c>
      <c r="Z173" s="37">
        <f>MAX(0,(Z124-Z146)*$C$69)</f>
        <v>43.58676251811495</v>
      </c>
      <c r="AA173" s="37">
        <f>MAX(0,(AA124-AA146)*$C$69)</f>
        <v>42.89357489239467</v>
      </c>
      <c r="AB173" s="37">
        <f>MAX(0,(AB124-AB146)*$C$69)</f>
        <v>42.17094657315197</v>
      </c>
      <c r="AC173" s="37">
        <f>MAX(0,(AC124-AC146)*$C$69)</f>
        <v>41.417647466316666</v>
      </c>
    </row>
    <row r="174" spans="1:29" x14ac:dyDescent="0.25">
      <c r="A174" s="61" t="s">
        <v>236</v>
      </c>
      <c r="B174" s="62" t="s">
        <v>86</v>
      </c>
      <c r="C174" s="63">
        <f>SUM(E174:AC174)</f>
        <v>3995.054700149657</v>
      </c>
      <c r="D174" s="63">
        <f>-$C$84</f>
        <v>-1546.7429834360485</v>
      </c>
      <c r="E174" s="63">
        <f>E124-E173-E164-E128+E168</f>
        <v>192.45955880134977</v>
      </c>
      <c r="F174" s="63">
        <f>F124-F173-F164-F128+F168</f>
        <v>211.11567395712822</v>
      </c>
      <c r="G174" s="63">
        <f>G124-G173-G164-G128+G168</f>
        <v>209.78736295264395</v>
      </c>
      <c r="H174" s="63">
        <f>H124-H173-H164-H128+H168</f>
        <v>189.0586059079618</v>
      </c>
      <c r="I174" s="63">
        <f>I124-I173-I164-I128+I168</f>
        <v>174.76355121540652</v>
      </c>
      <c r="J174" s="63">
        <f>J124-J173-J164-J128+J168</f>
        <v>165.72666728620695</v>
      </c>
      <c r="K174" s="63">
        <f>K124-K173-K164-K128+K168</f>
        <v>159.82861857430314</v>
      </c>
      <c r="L174" s="63">
        <f>L124-L173-L164-L128+L168</f>
        <v>155.7970003900231</v>
      </c>
      <c r="M174" s="63">
        <f>M124-M173-M164-M128+M168</f>
        <v>152.8675263894261</v>
      </c>
      <c r="N174" s="63">
        <f>N124-N173-N164-N128+N168</f>
        <v>150.58073905950303</v>
      </c>
      <c r="O174" s="63">
        <f>O124-O173-O164-O128+O168</f>
        <v>148.66003390047163</v>
      </c>
      <c r="P174" s="63">
        <f>P124-P173-P164-P128+P168</f>
        <v>146.93847172088698</v>
      </c>
      <c r="Q174" s="63">
        <f>Q124-Q173-Q164-Q128+Q168</f>
        <v>145.31486368972767</v>
      </c>
      <c r="R174" s="63">
        <f>R124-R173-R164-R128+R168</f>
        <v>143.72741992641872</v>
      </c>
      <c r="S174" s="63">
        <f>S124-S173-S164-S128+S168</f>
        <v>142.1379360915549</v>
      </c>
      <c r="T174" s="63">
        <f>T124-T173-T164-T128+T168</f>
        <v>140.52230264987983</v>
      </c>
      <c r="U174" s="63">
        <f>U124-U173-U164-U128+U168</f>
        <v>138.86480760204577</v>
      </c>
      <c r="V174" s="63">
        <f>V124-V173-V164-V128+V168</f>
        <v>137.15471515634042</v>
      </c>
      <c r="W174" s="63">
        <f>W124-W173-W164-W128+W168</f>
        <v>135.38420981602766</v>
      </c>
      <c r="X174" s="63">
        <f>X124-X173-X164-X128+X168</f>
        <v>133.54715956027158</v>
      </c>
      <c r="Y174" s="63">
        <f>Y124-Y173-Y164-Y128+Y168</f>
        <v>131.63837031763663</v>
      </c>
      <c r="Z174" s="63">
        <f>Z124-Z173-Z164-Z128+Z168</f>
        <v>129.65313504338096</v>
      </c>
      <c r="AA174" s="63">
        <f>AA124-AA173-AA164-AA128+AA168</f>
        <v>127.58695937868455</v>
      </c>
      <c r="AB174" s="63">
        <f>AB124-AB173-AB164-AB128+AB168</f>
        <v>125.43539306968228</v>
      </c>
      <c r="AC174" s="63">
        <f>AC124-AC173-AC164-AC128+AC168</f>
        <v>306.503617692694</v>
      </c>
    </row>
    <row r="176" ht="20" customHeight="1" spans="1:29" x14ac:dyDescent="0.25">
      <c r="A176" s="21" t="s">
        <v>237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</row>
    <row r="177" spans="1:29" x14ac:dyDescent="0.25">
      <c r="A177" s="33" t="s">
        <v>238</v>
      </c>
      <c r="B177" s="26" t="s">
        <v>86</v>
      </c>
      <c r="C177" s="57">
        <f>SUM(E177:AC177)</f>
        <v>1140.2069556485608</v>
      </c>
      <c r="E177" s="37">
        <f>E123+E128</f>
        <v>20.906398440959713</v>
      </c>
      <c r="F177" s="37">
        <f>F123+F128</f>
        <v>31.849184198184492</v>
      </c>
      <c r="G177" s="37">
        <f>G123+G128</f>
        <v>32.71475866881947</v>
      </c>
      <c r="H177" s="37">
        <f>H123+H128</f>
        <v>33.623611862986195</v>
      </c>
      <c r="I177" s="37">
        <f>I123+I128</f>
        <v>34.57790771686126</v>
      </c>
      <c r="J177" s="37">
        <f>J123+J128</f>
        <v>35.57991836343008</v>
      </c>
      <c r="K177" s="37">
        <f>K123+K128</f>
        <v>36.632029542327345</v>
      </c>
      <c r="L177" s="37">
        <f>L123+L128</f>
        <v>37.736746280169456</v>
      </c>
      <c r="M177" s="37">
        <f>M123+M128</f>
        <v>38.89669885490369</v>
      </c>
      <c r="N177" s="37">
        <f>N123+N128</f>
        <v>40.114649058374624</v>
      </c>
      <c r="O177" s="37">
        <f>O123+O128</f>
        <v>41.393496772019105</v>
      </c>
      <c r="P177" s="37">
        <f>P123+P128</f>
        <v>42.736286871345825</v>
      </c>
      <c r="Q177" s="37">
        <f>Q123+Q128</f>
        <v>44.146216475638866</v>
      </c>
      <c r="R177" s="37">
        <f>R123+R128</f>
        <v>45.626642560146564</v>
      </c>
      <c r="S177" s="37">
        <f>S123+S128</f>
        <v>47.181089948879645</v>
      </c>
      <c r="T177" s="37">
        <f>T123+T128</f>
        <v>48.81325970704938</v>
      </c>
      <c r="U177" s="37">
        <f>U123+U128</f>
        <v>50.5270379531276</v>
      </c>
      <c r="V177" s="37">
        <f>V123+V128</f>
        <v>52.326505111509746</v>
      </c>
      <c r="W177" s="37">
        <f>W123+W128</f>
        <v>54.21594562781098</v>
      </c>
      <c r="X177" s="37">
        <f>X123+X128</f>
        <v>56.19985816992728</v>
      </c>
      <c r="Y177" s="37">
        <f>Y123+Y128</f>
        <v>58.2829663391494</v>
      </c>
      <c r="Z177" s="37">
        <f>Z123+Z128</f>
        <v>60.47022991683262</v>
      </c>
      <c r="AA177" s="37">
        <f>AA123+AA128</f>
        <v>62.766856673400014</v>
      </c>
      <c r="AB177" s="37">
        <f>AB123+AB128</f>
        <v>65.17831476779577</v>
      </c>
      <c r="AC177" s="37">
        <f>AC123+AC128</f>
        <v>67.7103457669113</v>
      </c>
    </row>
    <row r="178" spans="1:29" x14ac:dyDescent="0.25">
      <c r="A178" s="33" t="s">
        <v>239</v>
      </c>
      <c r="B178" s="26" t="s">
        <v>86</v>
      </c>
      <c r="C178" s="57">
        <f>SUM(E178:AC178)</f>
        <v>349.4432400356314</v>
      </c>
      <c r="E178" s="37">
        <f>E177*E107</f>
        <v>19.00581676450883</v>
      </c>
      <c r="F178" s="37">
        <f>F177*F107</f>
        <v>26.32163983321032</v>
      </c>
      <c r="G178" s="37">
        <f>G177*G107</f>
        <v>24.57908239580726</v>
      </c>
      <c r="H178" s="37">
        <f>H177*H107</f>
        <v>22.965379320392174</v>
      </c>
      <c r="I178" s="37">
        <f>I177*I107</f>
        <v>21.470160208170856</v>
      </c>
      <c r="J178" s="37">
        <f>J177*J107</f>
        <v>20.083936349597934</v>
      </c>
      <c r="K178" s="37">
        <f>K177*K107</f>
        <v>18.79802334691235</v>
      </c>
      <c r="L178" s="37">
        <f>L177*L107</f>
        <v>17.604470644801243</v>
      </c>
      <c r="M178" s="37">
        <f>M177*M107</f>
        <v>16.4959973469164</v>
      </c>
      <c r="N178" s="37">
        <f>N177*N107</f>
        <v>15.465933752277008</v>
      </c>
      <c r="O178" s="37">
        <f>O177*O107</f>
        <v>14.508168096795396</v>
      </c>
      <c r="P178" s="37">
        <f>P177*P107</f>
        <v>13.617098031721294</v>
      </c>
      <c r="Q178" s="37">
        <f>Q177*Q107</f>
        <v>12.787586413137475</v>
      </c>
      <c r="R178" s="37">
        <f>R177*R107</f>
        <v>12.014921015138556</v>
      </c>
      <c r="S178" s="37">
        <f>S177*S107</f>
        <v>11.294777814333132</v>
      </c>
      <c r="T178" s="37">
        <f>T177*T107</f>
        <v>10.623187525145235</v>
      </c>
      <c r="U178" s="37">
        <f>U177*U107</f>
        <v>9.996505094341083</v>
      </c>
      <c r="V178" s="37">
        <f>V177*V107</f>
        <v>9.411381889534422</v>
      </c>
      <c r="W178" s="37">
        <f>W177*W107</f>
        <v>8.864740340365275</v>
      </c>
      <c r="X178" s="37">
        <f>X177*X107</f>
        <v>8.353750812820289</v>
      </c>
      <c r="Y178" s="37">
        <f>Y177*Y107</f>
        <v>7.8758105169638135</v>
      </c>
      <c r="Z178" s="37">
        <f>Z177*Z107</f>
        <v>7.428524266357105</v>
      </c>
      <c r="AA178" s="37">
        <f>AA177*AA107</f>
        <v>7.009686923820882</v>
      </c>
      <c r="AB178" s="37">
        <f>AB177*AB107</f>
        <v>6.617267383091843</v>
      </c>
      <c r="AC178" s="37">
        <f>AC177*AC107</f>
        <v>6.249393949471221</v>
      </c>
    </row>
    <row r="179" spans="1:29" x14ac:dyDescent="0.25">
      <c r="A179" s="33" t="s">
        <v>240</v>
      </c>
      <c r="B179" s="26" t="s">
        <v>182</v>
      </c>
      <c r="C179" s="58">
        <f>SUM(E179:AC179)</f>
        <v>3507.6455663176957</v>
      </c>
      <c r="E179" s="59">
        <f>E96*E107</f>
        <v>354.4239799812024</v>
      </c>
      <c r="F179" s="59">
        <f>F96*F107</f>
        <v>321.8228814854347</v>
      </c>
      <c r="G179" s="59">
        <f>G96*G107</f>
        <v>292.2201316419454</v>
      </c>
      <c r="H179" s="59">
        <f>H96*H107</f>
        <v>265.3400067164009</v>
      </c>
      <c r="I179" s="59">
        <f>I96*I107</f>
        <v>240.93213482160058</v>
      </c>
      <c r="J179" s="59">
        <f>J96*J107</f>
        <v>218.769165199273</v>
      </c>
      <c r="K179" s="59">
        <f>K96*K107</f>
        <v>198.64465174942148</v>
      </c>
      <c r="L179" s="59">
        <f>L96*L107</f>
        <v>180.37113111525147</v>
      </c>
      <c r="M179" s="59">
        <f>M96*M107</f>
        <v>163.7783774414312</v>
      </c>
      <c r="N179" s="59">
        <f>N96*N107</f>
        <v>148.7118175668572</v>
      </c>
      <c r="O179" s="59">
        <f>O96*O107</f>
        <v>135.03109190549966</v>
      </c>
      <c r="P179" s="59">
        <f>P96*P107</f>
        <v>122.60874762416701</v>
      </c>
      <c r="Q179" s="59">
        <f>Q96*Q107</f>
        <v>111.3290519567502</v>
      </c>
      <c r="R179" s="59">
        <f>R96*R107</f>
        <v>101.08691461213509</v>
      </c>
      <c r="S179" s="59">
        <f>S96*S107</f>
        <v>91.78690924789005</v>
      </c>
      <c r="T179" s="59">
        <f>T96*T107</f>
        <v>83.34238490349013</v>
      </c>
      <c r="U179" s="59">
        <f>U96*U107</f>
        <v>75.6746591237919</v>
      </c>
      <c r="V179" s="59">
        <f>V96*V107</f>
        <v>68.7122852635141</v>
      </c>
      <c r="W179" s="59">
        <f>W96*W107</f>
        <v>62.39038715366872</v>
      </c>
      <c r="X179" s="59">
        <f>X96*X107</f>
        <v>56.65005493765045</v>
      </c>
      <c r="Y179" s="59">
        <f>Y96*Y107</f>
        <v>51.437796453853124</v>
      </c>
      <c r="Z179" s="59">
        <f>Z96*Z107</f>
        <v>46.70503905853424</v>
      </c>
      <c r="AA179" s="59">
        <f>AA96*AA107</f>
        <v>42.40767725200182</v>
      </c>
      <c r="AB179" s="59">
        <f>AB96*AB107</f>
        <v>38.50566189741303</v>
      </c>
      <c r="AC179" s="59">
        <f>AC96*AC107</f>
        <v>34.96262720851805</v>
      </c>
    </row>
    <row r="180" spans="1:29" x14ac:dyDescent="0.25">
      <c r="A180" s="33" t="s">
        <v>241</v>
      </c>
      <c r="B180" s="26" t="s">
        <v>86</v>
      </c>
      <c r="C180" s="57">
        <f>SUM(E180:AC180)</f>
        <v>2407.2878124545673</v>
      </c>
      <c r="E180" s="37">
        <f>E111*E107</f>
        <v>243.24023374632878</v>
      </c>
      <c r="F180" s="37">
        <f>F111*F107</f>
        <v>220.86618665471212</v>
      </c>
      <c r="G180" s="37">
        <f>G111*G107</f>
        <v>200.54989825953535</v>
      </c>
      <c r="H180" s="37">
        <f>H111*H107</f>
        <v>182.10214009608742</v>
      </c>
      <c r="I180" s="37">
        <f>I111*I107</f>
        <v>165.35108260484049</v>
      </c>
      <c r="J180" s="37">
        <f>J111*J107</f>
        <v>150.14069556575336</v>
      </c>
      <c r="K180" s="37">
        <f>K111*K107</f>
        <v>136.32929557009666</v>
      </c>
      <c r="L180" s="37">
        <f>L111*L107</f>
        <v>123.78822701525556</v>
      </c>
      <c r="M180" s="37">
        <f>M111*M107</f>
        <v>112.40066434997159</v>
      </c>
      <c r="N180" s="37">
        <f>N111*N107</f>
        <v>102.06052442535699</v>
      </c>
      <c r="O180" s="37">
        <f>O111*O107</f>
        <v>92.67147883125105</v>
      </c>
      <c r="P180" s="37">
        <f>P111*P107</f>
        <v>84.14605702759943</v>
      </c>
      <c r="Q180" s="37">
        <f>Q111*Q107</f>
        <v>76.40483192517992</v>
      </c>
      <c r="R180" s="37">
        <f>R111*R107</f>
        <v>69.37568033702179</v>
      </c>
      <c r="S180" s="37">
        <f>S111*S107</f>
        <v>62.993111418403345</v>
      </c>
      <c r="T180" s="37">
        <f>T111*T107</f>
        <v>57.197656845839326</v>
      </c>
      <c r="U180" s="37">
        <f>U111*U107</f>
        <v>51.935317059870364</v>
      </c>
      <c r="V180" s="37">
        <f>V111*V107</f>
        <v>47.15705841807891</v>
      </c>
      <c r="W180" s="37">
        <f>W111*W107</f>
        <v>42.81835657843244</v>
      </c>
      <c r="X180" s="37">
        <f>X111*X107</f>
        <v>38.878781863200366</v>
      </c>
      <c r="Y180" s="37">
        <f>Y111*Y107</f>
        <v>35.30162274430444</v>
      </c>
      <c r="Z180" s="37">
        <f>Z111*Z107</f>
        <v>32.05354394567719</v>
      </c>
      <c r="AA180" s="37">
        <f>AA111*AA107</f>
        <v>29.10427598031849</v>
      </c>
      <c r="AB180" s="37">
        <f>AB111*AB107</f>
        <v>26.426333232250826</v>
      </c>
      <c r="AC180" s="37">
        <f>AC111*AC107</f>
        <v>23.994757959201085</v>
      </c>
    </row>
    <row r="182" ht="20" customHeight="1" spans="1:29" x14ac:dyDescent="0.25">
      <c r="A182" s="21" t="s">
        <v>242</v>
      </c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</row>
    <row r="183" spans="1:3" x14ac:dyDescent="0.25">
      <c r="A183" s="25" t="s">
        <v>7</v>
      </c>
      <c r="B183" s="26" t="s">
        <v>83</v>
      </c>
      <c r="C183" s="65">
        <f>IFERROR(IRR(D170:AC170),"n/a")</f>
        <v>0.1400000000002308</v>
      </c>
    </row>
    <row r="184" spans="1:3" x14ac:dyDescent="0.25">
      <c r="A184" s="33" t="s">
        <v>9</v>
      </c>
      <c r="B184" s="26" t="s">
        <v>83</v>
      </c>
      <c r="C184" s="32">
        <f>IFERROR(IRR(D174:AC174),"n/a")</f>
        <v>0.09960296861088525</v>
      </c>
    </row>
    <row r="185" spans="1:3" x14ac:dyDescent="0.25">
      <c r="A185" s="33" t="s">
        <v>85</v>
      </c>
      <c r="B185" s="26" t="s">
        <v>86</v>
      </c>
      <c r="C185" s="37">
        <f>D170+NPV($C$66,E170:AC170)</f>
        <v>1.3322676295501878e-13</v>
      </c>
    </row>
    <row r="186" spans="1:3" x14ac:dyDescent="0.25">
      <c r="A186" s="33" t="s">
        <v>87</v>
      </c>
      <c r="B186" s="26" t="s">
        <v>86</v>
      </c>
      <c r="C186" s="37">
        <f>D174+NPV($C$67,E174:AC174)</f>
        <v>-4.321002952722665</v>
      </c>
    </row>
    <row r="187" spans="1:3" x14ac:dyDescent="0.25">
      <c r="A187" s="33" t="s">
        <v>11</v>
      </c>
      <c r="B187" s="26" t="s">
        <v>88</v>
      </c>
      <c r="C187" s="40">
        <f>IF(COUNT(E167:AC167)=0,"",MIN(E167:AC167))</f>
        <v>1.1346102119101011</v>
      </c>
    </row>
    <row r="188" spans="1:3" x14ac:dyDescent="0.25">
      <c r="A188" s="33" t="s">
        <v>12</v>
      </c>
      <c r="B188" s="26" t="s">
        <v>88</v>
      </c>
      <c r="C188" s="40">
        <f>IF(COUNT(E167:AC167)=0,"",AVERAGE(E167:AC167))</f>
        <v>1.5575634015514492</v>
      </c>
    </row>
    <row r="189" spans="1:3" x14ac:dyDescent="0.25">
      <c r="A189" s="33" t="s">
        <v>243</v>
      </c>
      <c r="B189" s="26" t="s">
        <v>82</v>
      </c>
      <c r="C189" s="29">
        <f>IF(C179&gt;0,($C$84+C178)*10/C179,"")</f>
        <v>5.40586609342712</v>
      </c>
    </row>
    <row r="190" spans="1:3" x14ac:dyDescent="0.25">
      <c r="A190" s="33" t="s">
        <v>90</v>
      </c>
      <c r="B190" s="26" t="s">
        <v>82</v>
      </c>
      <c r="C190" s="29">
        <f>IF(C179&gt;0,C180*10/C179,"")</f>
        <v>6.86297337328105</v>
      </c>
    </row>
    <row r="191" spans="1:3" x14ac:dyDescent="0.25">
      <c r="A191" s="33" t="s">
        <v>91</v>
      </c>
      <c r="B191" s="26" t="s">
        <v>92</v>
      </c>
      <c r="C191" s="44">
        <f>IF(COUNT(E172:AC172)=0,"beyond the term",MIN(E172:AC172))</f>
        <v>8</v>
      </c>
    </row>
    <row r="193" ht="20" customHeight="1" spans="1:29" x14ac:dyDescent="0.25">
      <c r="A193" s="21" t="s">
        <v>244</v>
      </c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</row>
    <row r="194" spans="1:3" x14ac:dyDescent="0.25">
      <c r="A194" s="33" t="s">
        <v>245</v>
      </c>
      <c r="C194" s="66" t="str">
        <f>IF(ABS($C$85+$C$86-$C$84)&lt;0.001,"OK","CHECK")</f>
        <v>OK</v>
      </c>
    </row>
    <row r="195" spans="1:3" x14ac:dyDescent="0.25">
      <c r="A195" s="33" t="s">
        <v>246</v>
      </c>
      <c r="C195" s="66" t="str">
        <f>IF(ABS(INDEX(E140:AC140,1,$C$88))&lt;0.01,"OK","CHECK")</f>
        <v>OK</v>
      </c>
    </row>
    <row r="196" spans="1:3" x14ac:dyDescent="0.25">
      <c r="A196" s="33" t="s">
        <v>247</v>
      </c>
      <c r="C196" s="66" t="str">
        <f>IF(ABS(C115-C123-C124)&lt;0.01,"OK","CHECK")</f>
        <v>OK</v>
      </c>
    </row>
    <row r="197" spans="1:3" x14ac:dyDescent="0.25">
      <c r="A197" s="33" t="s">
        <v>248</v>
      </c>
      <c r="C197" s="66" t="str">
        <f>IF(MIN(E158:AC158)&gt;=-1E-9,"OK","CHECK")</f>
        <v>OK</v>
      </c>
    </row>
    <row r="198" spans="1:3" x14ac:dyDescent="0.25">
      <c r="A198" s="33" t="s">
        <v>249</v>
      </c>
      <c r="C198" s="66" t="str">
        <f>IF(ISNUMBER($C$10),IF($C$10&gt;=$C$66-1E-5,"OK","Below target"),"No IRR")</f>
        <v>OK</v>
      </c>
    </row>
    <row r="199" spans="1:3" x14ac:dyDescent="0.25">
      <c r="A199" s="33" t="s">
        <v>250</v>
      </c>
      <c r="C199" s="66" t="str">
        <f>IF(ISNUMBER($C$15),IF($C$15&gt;=1,"OK","Below 1.0"),"OK")</f>
        <v>OK</v>
      </c>
    </row>
  </sheetData>
  <conditionalFormatting sqref="F9:F24">
    <cfRule type="expression" dxfId="0" priority="1">
      <formula>OR(F9="Yes",F9="OK")</formula>
    </cfRule>
    <cfRule type="expression" dxfId="1" priority="2">
      <formula>OR(F9="Changed",F9="CHECK")</formula>
    </cfRule>
  </conditionalFormatting>
  <conditionalFormatting sqref="C194:C199">
    <cfRule type="expression" dxfId="2" priority="3">
      <formula>C194="OK"</formula>
    </cfRule>
    <cfRule type="expression" dxfId="3" priority="4">
      <formula>C194&lt;&gt;"OK"</formula>
    </cfRule>
  </conditionalFormatting>
  <dataValidations count="4">
    <dataValidation type="list" showErrorMessage="1" errorTitle="Choose from the list" error="One of: Yes, No" sqref="C51">
      <formula1>"Yes,No"</formula1>
    </dataValidation>
    <dataValidation type="list" showErrorMessage="1" errorTitle="Choose from the list" error="One of: annual, oneTime, none" sqref="C57">
      <formula1>"annual,oneTime,none"</formula1>
    </dataValidation>
    <dataValidation type="list" showErrorMessage="1" errorTitle="Choose from the list" error="One of: annuity, equal" sqref="C65">
      <formula1>"annuity,equal"</formula1>
    </dataValidation>
    <dataValidation type="list" showErrorMessage="1" errorTitle="Choose from the list" error="One of: wdv, slm" sqref="C70">
      <formula1>"wdv,slm"</formula1>
    </dataValidation>
  </dataValidations>
  <pageSetup orientation="landscape" fitToWidth="1" fitToHeight="0"/>
  <headerFooter>
    <oddFooter>&amp;L&amp;A&amp;R&amp;P /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7" customWidth="1"/>
    <col min="4" max="4" width="60" customWidth="1"/>
    <col min="5" max="5" width="44" customWidth="1"/>
    <col min="6" max="6" width="12" customWidth="1"/>
  </cols>
  <sheetData>
    <row r="1" spans="1:6" s="67" customFormat="1" x14ac:dyDescent="0.25">
      <c r="A1" s="67" t="s">
        <v>251</v>
      </c>
      <c r="B1" s="67" t="s">
        <v>252</v>
      </c>
      <c r="C1" s="67" t="s">
        <v>253</v>
      </c>
      <c r="D1" s="67" t="s">
        <v>254</v>
      </c>
      <c r="E1" s="67" t="s">
        <v>255</v>
      </c>
      <c r="F1" s="67" t="s">
        <v>256</v>
      </c>
    </row>
    <row r="2" spans="1:6" s="68" customFormat="1" x14ac:dyDescent="0.25">
      <c r="A2" s="68" t="s">
        <v>257</v>
      </c>
      <c r="B2" s="68" t="s">
        <v>258</v>
      </c>
      <c r="C2" s="68">
        <v>1</v>
      </c>
      <c r="D2" s="68" t="s">
        <v>259</v>
      </c>
      <c r="E2" s="68" t="s">
        <v>260</v>
      </c>
      <c r="F2" s="69" t="s">
        <v>261</v>
      </c>
    </row>
    <row r="3" spans="1:6" s="68" customFormat="1" x14ac:dyDescent="0.25">
      <c r="A3" s="68" t="s">
        <v>262</v>
      </c>
      <c r="B3" s="68" t="s">
        <v>263</v>
      </c>
      <c r="C3" s="68">
        <v>2</v>
      </c>
      <c r="D3" s="68" t="s">
        <v>264</v>
      </c>
      <c r="E3" s="68" t="s">
        <v>265</v>
      </c>
      <c r="F3" s="70" t="s">
        <v>266</v>
      </c>
    </row>
    <row r="4" spans="1:6" s="68" customFormat="1" x14ac:dyDescent="0.25">
      <c r="A4" s="68" t="s">
        <v>267</v>
      </c>
      <c r="B4" s="68" t="s">
        <v>268</v>
      </c>
      <c r="C4" s="68">
        <v>2</v>
      </c>
      <c r="D4" s="68" t="s">
        <v>269</v>
      </c>
      <c r="E4" s="68" t="s">
        <v>270</v>
      </c>
      <c r="F4" s="70" t="s">
        <v>266</v>
      </c>
    </row>
    <row r="5" spans="1:6" s="68" customFormat="1" x14ac:dyDescent="0.25">
      <c r="A5" s="68" t="s">
        <v>271</v>
      </c>
      <c r="B5" s="68" t="s">
        <v>272</v>
      </c>
      <c r="C5" s="68">
        <v>2</v>
      </c>
      <c r="D5" s="68" t="s">
        <v>273</v>
      </c>
      <c r="E5" s="68" t="s">
        <v>274</v>
      </c>
      <c r="F5" s="69" t="s">
        <v>261</v>
      </c>
    </row>
    <row r="6" spans="1:6" s="68" customFormat="1" x14ac:dyDescent="0.25">
      <c r="A6" s="68" t="s">
        <v>275</v>
      </c>
      <c r="B6" s="68" t="s">
        <v>276</v>
      </c>
      <c r="C6" s="68">
        <v>2</v>
      </c>
      <c r="D6" s="68" t="s">
        <v>277</v>
      </c>
      <c r="E6" s="68" t="s">
        <v>278</v>
      </c>
      <c r="F6" s="69" t="s">
        <v>261</v>
      </c>
    </row>
    <row r="7" spans="1:6" s="68" customFormat="1" x14ac:dyDescent="0.25">
      <c r="A7" s="68" t="s">
        <v>279</v>
      </c>
      <c r="B7" s="68" t="s">
        <v>280</v>
      </c>
      <c r="C7" s="68">
        <v>19</v>
      </c>
      <c r="D7" s="68" t="s">
        <v>281</v>
      </c>
      <c r="E7" s="68" t="s">
        <v>282</v>
      </c>
      <c r="F7" s="69" t="s">
        <v>261</v>
      </c>
    </row>
    <row r="8" spans="1:6" s="68" customFormat="1" x14ac:dyDescent="0.25">
      <c r="A8" s="68" t="s">
        <v>60</v>
      </c>
      <c r="B8" s="68" t="s">
        <v>61</v>
      </c>
      <c r="C8" s="68">
        <v>34</v>
      </c>
      <c r="D8" s="68" t="s">
        <v>283</v>
      </c>
      <c r="E8" s="68" t="s">
        <v>284</v>
      </c>
      <c r="F8" s="69" t="s">
        <v>261</v>
      </c>
    </row>
    <row r="9" spans="1:6" s="68" customFormat="1" x14ac:dyDescent="0.25">
      <c r="A9" s="68" t="s">
        <v>64</v>
      </c>
      <c r="B9" s="68" t="s">
        <v>58</v>
      </c>
      <c r="C9" s="68">
        <v>60</v>
      </c>
      <c r="D9" s="68" t="s">
        <v>285</v>
      </c>
      <c r="E9" s="68" t="s">
        <v>286</v>
      </c>
      <c r="F9" s="70" t="s">
        <v>287</v>
      </c>
    </row>
    <row r="10" spans="1:6" s="68" customFormat="1" x14ac:dyDescent="0.25">
      <c r="A10" s="68" t="s">
        <v>62</v>
      </c>
      <c r="B10" s="68" t="s">
        <v>63</v>
      </c>
      <c r="C10" s="68">
        <v>2</v>
      </c>
      <c r="D10" s="68" t="s">
        <v>288</v>
      </c>
      <c r="E10" s="68" t="s">
        <v>289</v>
      </c>
      <c r="F10" s="70" t="s">
        <v>266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0" customWidth="1"/>
    <col min="3" max="4" width="16" customWidth="1"/>
    <col min="5" max="5" width="46" customWidth="1"/>
  </cols>
  <sheetData>
    <row r="1" spans="1:5" s="67" customFormat="1" x14ac:dyDescent="0.25">
      <c r="A1" s="67" t="s">
        <v>290</v>
      </c>
      <c r="B1" s="67" t="s">
        <v>69</v>
      </c>
      <c r="C1" s="67" t="s">
        <v>291</v>
      </c>
      <c r="D1" s="67" t="s">
        <v>74</v>
      </c>
      <c r="E1" s="67" t="s">
        <v>292</v>
      </c>
    </row>
    <row r="2" spans="1:5" x14ac:dyDescent="0.25">
      <c r="A2" t="s">
        <v>293</v>
      </c>
      <c r="B2" t="s">
        <v>257</v>
      </c>
      <c r="C2" s="71">
        <v>50</v>
      </c>
      <c r="D2" t="s">
        <v>106</v>
      </c>
      <c r="E2" t="s">
        <v>294</v>
      </c>
    </row>
    <row r="3" spans="1:5" x14ac:dyDescent="0.25">
      <c r="A3" t="s">
        <v>293</v>
      </c>
      <c r="B3" t="s">
        <v>295</v>
      </c>
      <c r="C3" t="s">
        <v>134</v>
      </c>
      <c r="D3" t="s">
        <v>8</v>
      </c>
      <c r="E3" t="s">
        <v>294</v>
      </c>
    </row>
    <row r="4" spans="1:5" x14ac:dyDescent="0.25">
      <c r="A4" t="s">
        <v>38</v>
      </c>
      <c r="B4" t="s">
        <v>53</v>
      </c>
      <c r="C4" t="s">
        <v>296</v>
      </c>
      <c r="D4" t="s">
        <v>106</v>
      </c>
      <c r="E4" t="s">
        <v>297</v>
      </c>
    </row>
    <row r="5" spans="1:5" x14ac:dyDescent="0.25">
      <c r="A5" t="s">
        <v>38</v>
      </c>
      <c r="B5" t="s">
        <v>298</v>
      </c>
      <c r="C5" s="72">
        <v>0.25</v>
      </c>
      <c r="D5" t="s">
        <v>83</v>
      </c>
      <c r="E5" s="73" t="s">
        <v>104</v>
      </c>
    </row>
    <row r="6" spans="1:5" x14ac:dyDescent="0.25">
      <c r="A6" t="s">
        <v>38</v>
      </c>
      <c r="B6" t="s">
        <v>299</v>
      </c>
      <c r="C6" s="71">
        <v>1.4</v>
      </c>
      <c r="D6" t="s">
        <v>88</v>
      </c>
      <c r="E6" s="73" t="s">
        <v>104</v>
      </c>
    </row>
    <row r="7" spans="1:5" x14ac:dyDescent="0.25">
      <c r="A7" t="s">
        <v>38</v>
      </c>
      <c r="B7" t="s">
        <v>300</v>
      </c>
      <c r="C7" s="72">
        <v>0.005</v>
      </c>
      <c r="D7" t="s">
        <v>83</v>
      </c>
      <c r="E7" s="73" t="s">
        <v>104</v>
      </c>
    </row>
    <row r="8" spans="1:5" x14ac:dyDescent="0.25">
      <c r="A8" t="s">
        <v>38</v>
      </c>
      <c r="B8" t="s">
        <v>301</v>
      </c>
      <c r="C8" s="71">
        <v>4</v>
      </c>
      <c r="D8" t="s">
        <v>112</v>
      </c>
      <c r="E8" s="73" t="s">
        <v>104</v>
      </c>
    </row>
    <row r="9" spans="1:5" x14ac:dyDescent="0.25">
      <c r="A9" t="s">
        <v>38</v>
      </c>
      <c r="B9" t="s">
        <v>302</v>
      </c>
      <c r="C9" s="71">
        <v>4</v>
      </c>
      <c r="D9" t="s">
        <v>121</v>
      </c>
      <c r="E9" s="73" t="s">
        <v>104</v>
      </c>
    </row>
    <row r="10" spans="1:5" x14ac:dyDescent="0.25">
      <c r="A10" t="s">
        <v>40</v>
      </c>
      <c r="B10" t="s">
        <v>53</v>
      </c>
      <c r="C10" t="s">
        <v>296</v>
      </c>
      <c r="D10" t="s">
        <v>106</v>
      </c>
      <c r="E10" t="s">
        <v>297</v>
      </c>
    </row>
    <row r="11" spans="1:5" x14ac:dyDescent="0.25">
      <c r="A11" t="s">
        <v>40</v>
      </c>
      <c r="B11" t="s">
        <v>303</v>
      </c>
      <c r="C11" s="72">
        <v>0.33</v>
      </c>
      <c r="D11" t="s">
        <v>83</v>
      </c>
      <c r="E11" s="73" t="s">
        <v>104</v>
      </c>
    </row>
    <row r="12" spans="1:5" x14ac:dyDescent="0.25">
      <c r="A12" t="s">
        <v>40</v>
      </c>
      <c r="B12" t="s">
        <v>301</v>
      </c>
      <c r="C12" s="71">
        <v>6.5</v>
      </c>
      <c r="D12" t="s">
        <v>112</v>
      </c>
      <c r="E12" s="73" t="s">
        <v>104</v>
      </c>
    </row>
    <row r="13" spans="1:5" x14ac:dyDescent="0.25">
      <c r="A13" t="s">
        <v>40</v>
      </c>
      <c r="B13" t="s">
        <v>302</v>
      </c>
      <c r="C13" s="71">
        <v>9</v>
      </c>
      <c r="D13" t="s">
        <v>121</v>
      </c>
      <c r="E13" s="73" t="s">
        <v>104</v>
      </c>
    </row>
    <row r="14" spans="1:5" x14ac:dyDescent="0.25">
      <c r="A14" t="s">
        <v>42</v>
      </c>
      <c r="B14" t="s">
        <v>53</v>
      </c>
      <c r="C14" t="s">
        <v>296</v>
      </c>
      <c r="D14" t="s">
        <v>106</v>
      </c>
      <c r="E14" t="s">
        <v>297</v>
      </c>
    </row>
    <row r="15" spans="1:5" x14ac:dyDescent="0.25">
      <c r="A15" t="s">
        <v>42</v>
      </c>
      <c r="B15" t="s">
        <v>304</v>
      </c>
      <c r="C15" t="s">
        <v>305</v>
      </c>
      <c r="D15" t="s">
        <v>8</v>
      </c>
      <c r="E15" s="73" t="s">
        <v>104</v>
      </c>
    </row>
    <row r="16" spans="1:5" x14ac:dyDescent="0.25">
      <c r="A16" t="s">
        <v>42</v>
      </c>
      <c r="B16" t="s">
        <v>306</v>
      </c>
      <c r="C16" s="72">
        <v>0.87</v>
      </c>
      <c r="D16" t="s">
        <v>83</v>
      </c>
      <c r="E16" s="73" t="s">
        <v>104</v>
      </c>
    </row>
    <row r="17" spans="1:5" x14ac:dyDescent="0.25">
      <c r="A17" t="s">
        <v>42</v>
      </c>
      <c r="B17" t="s">
        <v>307</v>
      </c>
      <c r="C17" s="72">
        <v>0.05</v>
      </c>
      <c r="D17" t="s">
        <v>83</v>
      </c>
      <c r="E17" s="73" t="s">
        <v>104</v>
      </c>
    </row>
    <row r="18" spans="1:5" x14ac:dyDescent="0.25">
      <c r="A18" t="s">
        <v>42</v>
      </c>
      <c r="B18" t="s">
        <v>308</v>
      </c>
      <c r="C18" s="72">
        <v>0.95</v>
      </c>
      <c r="D18" t="s">
        <v>83</v>
      </c>
      <c r="E18" s="73" t="s">
        <v>104</v>
      </c>
    </row>
    <row r="19" spans="1:5" x14ac:dyDescent="0.25">
      <c r="A19" t="s">
        <v>42</v>
      </c>
      <c r="B19" t="s">
        <v>309</v>
      </c>
      <c r="C19" s="72">
        <v>0.02</v>
      </c>
      <c r="D19" t="s">
        <v>83</v>
      </c>
      <c r="E19" s="73" t="s">
        <v>104</v>
      </c>
    </row>
    <row r="20" spans="1:5" x14ac:dyDescent="0.25">
      <c r="A20" t="s">
        <v>42</v>
      </c>
      <c r="B20" t="s">
        <v>144</v>
      </c>
      <c r="C20" t="s">
        <v>310</v>
      </c>
      <c r="D20" t="s">
        <v>8</v>
      </c>
      <c r="E20" s="73" t="s">
        <v>104</v>
      </c>
    </row>
    <row r="21" spans="1:5" x14ac:dyDescent="0.25">
      <c r="A21" t="s">
        <v>42</v>
      </c>
      <c r="B21" t="s">
        <v>301</v>
      </c>
      <c r="C21" s="71">
        <v>1.2</v>
      </c>
      <c r="D21" t="s">
        <v>113</v>
      </c>
      <c r="E21" s="73" t="s">
        <v>104</v>
      </c>
    </row>
    <row r="22" spans="1:5" x14ac:dyDescent="0.25">
      <c r="A22" t="s">
        <v>42</v>
      </c>
      <c r="B22" t="s">
        <v>302</v>
      </c>
      <c r="C22" s="71">
        <v>1.2</v>
      </c>
      <c r="D22" t="s">
        <v>124</v>
      </c>
      <c r="E22" s="73" t="s">
        <v>104</v>
      </c>
    </row>
    <row r="23" spans="1:5" x14ac:dyDescent="0.25">
      <c r="A23" t="s">
        <v>44</v>
      </c>
      <c r="B23" t="s">
        <v>159</v>
      </c>
      <c r="C23" s="72">
        <v>0.14</v>
      </c>
      <c r="D23" t="s">
        <v>83</v>
      </c>
      <c r="E23" s="73" t="s">
        <v>104</v>
      </c>
    </row>
    <row r="24" spans="1:5" x14ac:dyDescent="0.25">
      <c r="A24" t="s">
        <v>44</v>
      </c>
      <c r="B24" t="s">
        <v>151</v>
      </c>
      <c r="C24" s="72">
        <v>0.7</v>
      </c>
      <c r="D24" t="s">
        <v>83</v>
      </c>
      <c r="E24" s="73" t="s">
        <v>104</v>
      </c>
    </row>
    <row r="25" spans="1:5" x14ac:dyDescent="0.25">
      <c r="A25" t="s">
        <v>44</v>
      </c>
      <c r="B25" t="s">
        <v>153</v>
      </c>
      <c r="C25" s="72">
        <v>0.09</v>
      </c>
      <c r="D25" t="s">
        <v>83</v>
      </c>
      <c r="E25" s="73" t="s">
        <v>104</v>
      </c>
    </row>
    <row r="26" spans="1:5" x14ac:dyDescent="0.25">
      <c r="A26" t="s">
        <v>44</v>
      </c>
      <c r="B26" t="s">
        <v>154</v>
      </c>
      <c r="C26" s="71">
        <v>15</v>
      </c>
      <c r="D26" t="s">
        <v>155</v>
      </c>
      <c r="E26" s="73" t="s">
        <v>104</v>
      </c>
    </row>
    <row r="27" spans="1:5" x14ac:dyDescent="0.25">
      <c r="A27" t="s">
        <v>44</v>
      </c>
      <c r="B27" t="s">
        <v>162</v>
      </c>
      <c r="C27" s="72">
        <v>0.2517</v>
      </c>
      <c r="D27" t="s">
        <v>83</v>
      </c>
      <c r="E27" s="73" t="s">
        <v>104</v>
      </c>
    </row>
    <row r="28" spans="1:5" x14ac:dyDescent="0.25">
      <c r="A28" t="s">
        <v>44</v>
      </c>
      <c r="B28" t="s">
        <v>125</v>
      </c>
      <c r="C28" s="72">
        <v>0.05</v>
      </c>
      <c r="D28" t="s">
        <v>83</v>
      </c>
      <c r="E28" s="73" t="s">
        <v>104</v>
      </c>
    </row>
    <row r="29" spans="1:5" x14ac:dyDescent="0.25">
      <c r="A29" t="s">
        <v>44</v>
      </c>
      <c r="B29" t="s">
        <v>126</v>
      </c>
      <c r="C29" s="72">
        <v>0.003</v>
      </c>
      <c r="D29" t="s">
        <v>83</v>
      </c>
      <c r="E29" s="73" t="s">
        <v>104</v>
      </c>
    </row>
    <row r="30" spans="1:5" x14ac:dyDescent="0.25">
      <c r="A30" t="s">
        <v>44</v>
      </c>
      <c r="B30" t="s">
        <v>102</v>
      </c>
      <c r="C30" s="72">
        <v>0</v>
      </c>
      <c r="D30" t="s">
        <v>83</v>
      </c>
      <c r="E30" s="73" t="s">
        <v>104</v>
      </c>
    </row>
    <row r="31" spans="1:5" x14ac:dyDescent="0.25">
      <c r="A31" t="s">
        <v>44</v>
      </c>
      <c r="B31" t="s">
        <v>311</v>
      </c>
      <c r="C31" s="72">
        <v>0.05</v>
      </c>
      <c r="D31" t="s">
        <v>83</v>
      </c>
      <c r="E31" s="73" t="s">
        <v>104</v>
      </c>
    </row>
    <row r="32" spans="1:5" x14ac:dyDescent="0.25">
      <c r="A32" t="s">
        <v>44</v>
      </c>
      <c r="B32" t="s">
        <v>116</v>
      </c>
      <c r="C32" s="71">
        <v>0</v>
      </c>
      <c r="D32" t="s">
        <v>86</v>
      </c>
      <c r="E32" s="73" t="s">
        <v>104</v>
      </c>
    </row>
    <row r="33" spans="1:5" x14ac:dyDescent="0.25">
      <c r="A33" t="s">
        <v>44</v>
      </c>
      <c r="B33" t="s">
        <v>156</v>
      </c>
      <c r="C33" t="s">
        <v>158</v>
      </c>
      <c r="D33" t="s">
        <v>8</v>
      </c>
      <c r="E33" t="s">
        <v>312</v>
      </c>
    </row>
    <row r="34" spans="1:5" x14ac:dyDescent="0.25">
      <c r="A34" t="s">
        <v>44</v>
      </c>
      <c r="B34" t="s">
        <v>163</v>
      </c>
      <c r="C34" t="s">
        <v>165</v>
      </c>
      <c r="D34" t="s">
        <v>8</v>
      </c>
      <c r="E34" t="s">
        <v>312</v>
      </c>
    </row>
    <row r="35" spans="1:5" x14ac:dyDescent="0.25">
      <c r="A35" t="s">
        <v>44</v>
      </c>
      <c r="B35" t="s">
        <v>166</v>
      </c>
      <c r="C35" s="72">
        <v>0.4</v>
      </c>
      <c r="D35" t="s">
        <v>83</v>
      </c>
      <c r="E35" t="s">
        <v>312</v>
      </c>
    </row>
    <row r="36" spans="1:5" x14ac:dyDescent="0.25">
      <c r="A36" t="s">
        <v>44</v>
      </c>
      <c r="B36" t="s">
        <v>167</v>
      </c>
      <c r="C36" s="71">
        <v>25</v>
      </c>
      <c r="D36" t="s">
        <v>155</v>
      </c>
      <c r="E36" t="s">
        <v>312</v>
      </c>
    </row>
    <row r="37" spans="1:5" x14ac:dyDescent="0.25">
      <c r="A37" t="s">
        <v>44</v>
      </c>
      <c r="B37" t="s">
        <v>168</v>
      </c>
      <c r="C37" s="72">
        <v>0.1</v>
      </c>
      <c r="D37" t="s">
        <v>83</v>
      </c>
      <c r="E37" t="s">
        <v>312</v>
      </c>
    </row>
    <row r="38" spans="1:5" x14ac:dyDescent="0.25">
      <c r="A38" t="s">
        <v>44</v>
      </c>
      <c r="B38" t="s">
        <v>169</v>
      </c>
      <c r="C38" s="71">
        <v>45</v>
      </c>
      <c r="D38" t="s">
        <v>170</v>
      </c>
      <c r="E38" t="s">
        <v>312</v>
      </c>
    </row>
    <row r="39" spans="1:5" x14ac:dyDescent="0.25">
      <c r="A39" t="s">
        <v>44</v>
      </c>
      <c r="B39" t="s">
        <v>313</v>
      </c>
      <c r="C39" s="72">
        <v>0.1</v>
      </c>
      <c r="D39" t="s">
        <v>83</v>
      </c>
      <c r="E39" t="s">
        <v>312</v>
      </c>
    </row>
    <row r="40" spans="1:5" x14ac:dyDescent="0.25">
      <c r="A40" t="s">
        <v>314</v>
      </c>
      <c r="B40" t="s">
        <v>315</v>
      </c>
      <c r="C40" t="s">
        <v>134</v>
      </c>
      <c r="D40" t="s">
        <v>8</v>
      </c>
      <c r="E40" s="73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40" customWidth="1"/>
    <col min="2" max="2" width="18" customWidth="1"/>
    <col min="3" max="3" width="50" customWidth="1"/>
  </cols>
  <sheetData>
    <row r="1" spans="1:3" s="67" customFormat="1" x14ac:dyDescent="0.25">
      <c r="A1" s="67" t="s">
        <v>316</v>
      </c>
      <c r="B1" s="67" t="s">
        <v>291</v>
      </c>
      <c r="C1" s="67" t="s">
        <v>317</v>
      </c>
    </row>
    <row r="2" spans="1:3" x14ac:dyDescent="0.25">
      <c r="A2" t="s">
        <v>29</v>
      </c>
      <c r="B2" s="11">
        <v>50</v>
      </c>
      <c r="C2" t="s">
        <v>30</v>
      </c>
    </row>
    <row r="3" spans="1:3" x14ac:dyDescent="0.25">
      <c r="A3" t="s">
        <v>31</v>
      </c>
      <c r="B3" s="11">
        <v>127.63570579650927</v>
      </c>
      <c r="C3" t="s">
        <v>32</v>
      </c>
    </row>
    <row r="4" spans="1:3" x14ac:dyDescent="0.25">
      <c r="A4" t="s">
        <v>33</v>
      </c>
      <c r="B4" s="11">
        <v>70.2498886986311</v>
      </c>
      <c r="C4" t="s">
        <v>32</v>
      </c>
    </row>
    <row r="5" spans="1:3" x14ac:dyDescent="0.25">
      <c r="A5" t="s">
        <v>34</v>
      </c>
      <c r="B5" s="11">
        <v>105.40030331796672</v>
      </c>
      <c r="C5" t="s">
        <v>8</v>
      </c>
    </row>
    <row r="6" spans="1:3" x14ac:dyDescent="0.25">
      <c r="A6" t="s">
        <v>35</v>
      </c>
      <c r="B6" s="11">
        <v>421.60121327186687</v>
      </c>
      <c r="C6" t="s">
        <v>8</v>
      </c>
    </row>
    <row r="8" spans="1:3" s="67" customFormat="1" x14ac:dyDescent="0.25">
      <c r="A8" s="67" t="s">
        <v>301</v>
      </c>
      <c r="B8" s="67" t="s">
        <v>318</v>
      </c>
      <c r="C8" s="67" t="s">
        <v>317</v>
      </c>
    </row>
    <row r="9" spans="1:3" x14ac:dyDescent="0.25">
      <c r="A9" t="s">
        <v>38</v>
      </c>
      <c r="B9" s="8">
        <v>536.0699643453389</v>
      </c>
      <c r="C9" t="s">
        <v>8</v>
      </c>
    </row>
    <row r="10" spans="1:3" x14ac:dyDescent="0.25">
      <c r="A10" t="s">
        <v>40</v>
      </c>
      <c r="B10" s="8">
        <v>479.45549036815726</v>
      </c>
      <c r="C10" t="s">
        <v>8</v>
      </c>
    </row>
    <row r="11" spans="1:3" x14ac:dyDescent="0.25">
      <c r="A11" t="s">
        <v>42</v>
      </c>
      <c r="B11" s="8">
        <v>531.2175287225523</v>
      </c>
      <c r="C11" t="s">
        <v>8</v>
      </c>
    </row>
    <row r="12" spans="1:3" x14ac:dyDescent="0.25">
      <c r="A12" t="s">
        <v>116</v>
      </c>
      <c r="B12" s="8">
        <v>0</v>
      </c>
      <c r="C12" t="s">
        <v>8</v>
      </c>
    </row>
    <row r="13" spans="1:3" x14ac:dyDescent="0.25">
      <c r="A13" t="s">
        <v>319</v>
      </c>
      <c r="B13" s="8">
        <v>1546.7429834360485</v>
      </c>
      <c r="C13" t="s">
        <v>320</v>
      </c>
    </row>
    <row r="14" spans="1:3" x14ac:dyDescent="0.25">
      <c r="A14" t="s">
        <v>94</v>
      </c>
      <c r="B14" s="8">
        <v>1082.7200884052338</v>
      </c>
      <c r="C14" t="s">
        <v>321</v>
      </c>
    </row>
    <row r="15" spans="1:3" x14ac:dyDescent="0.25">
      <c r="A15" t="s">
        <v>95</v>
      </c>
      <c r="B15" s="8">
        <v>464.02289503081465</v>
      </c>
      <c r="C15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9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322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</row>
    <row r="2" spans="1:1" s="5" customFormat="1" x14ac:dyDescent="0.25">
      <c r="A2" s="5" t="s">
        <v>348</v>
      </c>
    </row>
    <row r="3" spans="1:28" x14ac:dyDescent="0.25">
      <c r="A3" t="s">
        <v>181</v>
      </c>
      <c r="B3" t="s">
        <v>182</v>
      </c>
      <c r="C3" s="74">
        <v>10950</v>
      </c>
      <c r="D3" s="74">
        <v>438</v>
      </c>
      <c r="E3" s="74">
        <v>438</v>
      </c>
      <c r="F3" s="74">
        <v>438</v>
      </c>
      <c r="G3" s="74">
        <v>438</v>
      </c>
      <c r="H3" s="74">
        <v>438</v>
      </c>
      <c r="I3" s="74">
        <v>438</v>
      </c>
      <c r="J3" s="74">
        <v>438</v>
      </c>
      <c r="K3" s="74">
        <v>438</v>
      </c>
      <c r="L3" s="74">
        <v>438</v>
      </c>
      <c r="M3" s="74">
        <v>438</v>
      </c>
      <c r="N3" s="74">
        <v>438</v>
      </c>
      <c r="O3" s="74">
        <v>438</v>
      </c>
      <c r="P3" s="74">
        <v>438</v>
      </c>
      <c r="Q3" s="74">
        <v>438</v>
      </c>
      <c r="R3" s="74">
        <v>438</v>
      </c>
      <c r="S3" s="74">
        <v>438</v>
      </c>
      <c r="T3" s="74">
        <v>438</v>
      </c>
      <c r="U3" s="74">
        <v>438</v>
      </c>
      <c r="V3" s="74">
        <v>438</v>
      </c>
      <c r="W3" s="74">
        <v>438</v>
      </c>
      <c r="X3" s="74">
        <v>438</v>
      </c>
      <c r="Y3" s="74">
        <v>438</v>
      </c>
      <c r="Z3" s="74">
        <v>438</v>
      </c>
      <c r="AA3" s="74">
        <v>438</v>
      </c>
      <c r="AB3" s="74">
        <v>438</v>
      </c>
    </row>
    <row r="4" spans="1:28" x14ac:dyDescent="0.25">
      <c r="A4" t="s">
        <v>183</v>
      </c>
      <c r="B4" t="s">
        <v>182</v>
      </c>
      <c r="C4" s="74">
        <v>9608.452034899072</v>
      </c>
      <c r="D4" s="74">
        <v>389.8663779793227</v>
      </c>
      <c r="E4" s="74">
        <v>389.4056865973761</v>
      </c>
      <c r="F4" s="74">
        <v>388.9449952154294</v>
      </c>
      <c r="G4" s="74">
        <v>388.4843038334828</v>
      </c>
      <c r="H4" s="74">
        <v>388.0236124515361</v>
      </c>
      <c r="I4" s="74">
        <v>387.56292106958944</v>
      </c>
      <c r="J4" s="74">
        <v>387.1022296876428</v>
      </c>
      <c r="K4" s="74">
        <v>386.64153830569614</v>
      </c>
      <c r="L4" s="74">
        <v>386.1808469237495</v>
      </c>
      <c r="M4" s="74">
        <v>385.7201555418029</v>
      </c>
      <c r="N4" s="74">
        <v>385.25946415985624</v>
      </c>
      <c r="O4" s="74">
        <v>384.7987727779096</v>
      </c>
      <c r="P4" s="74">
        <v>384.338081395963</v>
      </c>
      <c r="Q4" s="74">
        <v>383.8773900140163</v>
      </c>
      <c r="R4" s="74">
        <v>383.4166986320697</v>
      </c>
      <c r="S4" s="74">
        <v>382.95600725012304</v>
      </c>
      <c r="T4" s="74">
        <v>382.4953158681764</v>
      </c>
      <c r="U4" s="74">
        <v>382.03462448622975</v>
      </c>
      <c r="V4" s="74">
        <v>381.5739331042832</v>
      </c>
      <c r="W4" s="74">
        <v>381.1132417223365</v>
      </c>
      <c r="X4" s="74">
        <v>380.65255034038984</v>
      </c>
      <c r="Y4" s="74">
        <v>380.1918589584432</v>
      </c>
      <c r="Z4" s="74">
        <v>379.73116757649655</v>
      </c>
      <c r="AA4" s="74">
        <v>379.27047619454993</v>
      </c>
      <c r="AB4" s="74">
        <v>378.80978481260325</v>
      </c>
    </row>
    <row r="5" spans="1:28" x14ac:dyDescent="0.25">
      <c r="A5" t="s">
        <v>184</v>
      </c>
      <c r="B5" t="s">
        <v>8</v>
      </c>
      <c r="D5" s="72">
        <v>0.8901058857975404</v>
      </c>
      <c r="E5" s="72">
        <v>0.8890540789894431</v>
      </c>
      <c r="F5" s="72">
        <v>0.8880022721813456</v>
      </c>
      <c r="G5" s="72">
        <v>0.8869504653732484</v>
      </c>
      <c r="H5" s="72">
        <v>0.8858986585651509</v>
      </c>
      <c r="I5" s="72">
        <v>0.8848468517570536</v>
      </c>
      <c r="J5" s="72">
        <v>0.8837950449489562</v>
      </c>
      <c r="K5" s="72">
        <v>0.8827432381408588</v>
      </c>
      <c r="L5" s="72">
        <v>0.8816914313327615</v>
      </c>
      <c r="M5" s="72">
        <v>0.8806396245246643</v>
      </c>
      <c r="N5" s="72">
        <v>0.8795878177165668</v>
      </c>
      <c r="O5" s="72">
        <v>0.8785360109084696</v>
      </c>
      <c r="P5" s="72">
        <v>0.8774842041003721</v>
      </c>
      <c r="Q5" s="72">
        <v>0.8764323972922746</v>
      </c>
      <c r="R5" s="72">
        <v>0.8753805904841774</v>
      </c>
      <c r="S5" s="72">
        <v>0.8743287836760799</v>
      </c>
      <c r="T5" s="72">
        <v>0.8732769768679827</v>
      </c>
      <c r="U5" s="72">
        <v>0.8722251700598852</v>
      </c>
      <c r="V5" s="72">
        <v>0.8711733632517881</v>
      </c>
      <c r="W5" s="72">
        <v>0.8701215564436906</v>
      </c>
      <c r="X5" s="72">
        <v>0.8690697496355932</v>
      </c>
      <c r="Y5" s="72">
        <v>0.8680179428274959</v>
      </c>
      <c r="Z5" s="72">
        <v>0.8669661360193985</v>
      </c>
      <c r="AA5" s="72">
        <v>0.8659143292113012</v>
      </c>
      <c r="AB5" s="72">
        <v>0.8648625224032038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6.862973373281049</v>
      </c>
      <c r="E7" s="75">
        <v>6.862973373281049</v>
      </c>
      <c r="F7" s="75">
        <v>6.862973373281049</v>
      </c>
      <c r="G7" s="75">
        <v>6.862973373281049</v>
      </c>
      <c r="H7" s="75">
        <v>6.862973373281049</v>
      </c>
      <c r="I7" s="75">
        <v>6.862973373281049</v>
      </c>
      <c r="J7" s="75">
        <v>6.862973373281049</v>
      </c>
      <c r="K7" s="75">
        <v>6.862973373281049</v>
      </c>
      <c r="L7" s="75">
        <v>6.862973373281049</v>
      </c>
      <c r="M7" s="75">
        <v>6.862973373281049</v>
      </c>
      <c r="N7" s="75">
        <v>6.862973373281049</v>
      </c>
      <c r="O7" s="75">
        <v>6.862973373281049</v>
      </c>
      <c r="P7" s="75">
        <v>6.862973373281049</v>
      </c>
      <c r="Q7" s="75">
        <v>6.862973373281049</v>
      </c>
      <c r="R7" s="75">
        <v>6.862973373281049</v>
      </c>
      <c r="S7" s="75">
        <v>6.862973373281049</v>
      </c>
      <c r="T7" s="75">
        <v>6.862973373281049</v>
      </c>
      <c r="U7" s="75">
        <v>6.862973373281049</v>
      </c>
      <c r="V7" s="75">
        <v>6.862973373281049</v>
      </c>
      <c r="W7" s="75">
        <v>6.862973373281049</v>
      </c>
      <c r="X7" s="75">
        <v>6.862973373281049</v>
      </c>
      <c r="Y7" s="75">
        <v>6.862973373281049</v>
      </c>
      <c r="Z7" s="75">
        <v>6.862973373281049</v>
      </c>
      <c r="AA7" s="75">
        <v>6.862973373281049</v>
      </c>
      <c r="AB7" s="75">
        <v>6.862973373281049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6594.255047396046</v>
      </c>
      <c r="D9" s="76">
        <v>267.56425712096166</v>
      </c>
      <c r="E9" s="76">
        <v>267.2480858522017</v>
      </c>
      <c r="F9" s="76">
        <v>266.9319145834417</v>
      </c>
      <c r="G9" s="76">
        <v>266.6157433146817</v>
      </c>
      <c r="H9" s="76">
        <v>266.2995720459217</v>
      </c>
      <c r="I9" s="76">
        <v>265.98340077716176</v>
      </c>
      <c r="J9" s="76">
        <v>265.66722950840176</v>
      </c>
      <c r="K9" s="76">
        <v>265.35105823964176</v>
      </c>
      <c r="L9" s="76">
        <v>265.0348869708818</v>
      </c>
      <c r="M9" s="76">
        <v>264.7187157021218</v>
      </c>
      <c r="N9" s="76">
        <v>264.4025444333618</v>
      </c>
      <c r="O9" s="76">
        <v>264.08637316460187</v>
      </c>
      <c r="P9" s="76">
        <v>263.7702018958418</v>
      </c>
      <c r="Q9" s="76">
        <v>263.45403062708186</v>
      </c>
      <c r="R9" s="76">
        <v>263.13785935832186</v>
      </c>
      <c r="S9" s="76">
        <v>262.8216880895619</v>
      </c>
      <c r="T9" s="76">
        <v>262.5055168208019</v>
      </c>
      <c r="U9" s="76">
        <v>262.1893455520419</v>
      </c>
      <c r="V9" s="76">
        <v>261.87317428328197</v>
      </c>
      <c r="W9" s="76">
        <v>261.55700301452197</v>
      </c>
      <c r="X9" s="76">
        <v>261.24083174576197</v>
      </c>
      <c r="Y9" s="76">
        <v>260.92466047700196</v>
      </c>
      <c r="Z9" s="76">
        <v>260.60848920824196</v>
      </c>
      <c r="AA9" s="76">
        <v>260.292317939482</v>
      </c>
      <c r="AB9" s="76">
        <v>259.976146670722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648.8123830630783</v>
      </c>
      <c r="D11" s="76">
        <v>24.193712141452416</v>
      </c>
      <c r="E11" s="76">
        <v>24.34027740654164</v>
      </c>
      <c r="F11" s="76">
        <v>24.486842671630868</v>
      </c>
      <c r="G11" s="76">
        <v>24.633407936720094</v>
      </c>
      <c r="H11" s="76">
        <v>24.779973201809323</v>
      </c>
      <c r="I11" s="76">
        <v>24.926538466898545</v>
      </c>
      <c r="J11" s="76">
        <v>25.07310373198777</v>
      </c>
      <c r="K11" s="76">
        <v>25.219668997077</v>
      </c>
      <c r="L11" s="76">
        <v>25.36623426216623</v>
      </c>
      <c r="M11" s="76">
        <v>25.51279952725545</v>
      </c>
      <c r="N11" s="76">
        <v>25.659364792344675</v>
      </c>
      <c r="O11" s="76">
        <v>25.805930057433905</v>
      </c>
      <c r="P11" s="76">
        <v>25.952495322523127</v>
      </c>
      <c r="Q11" s="76">
        <v>26.099060587612357</v>
      </c>
      <c r="R11" s="76">
        <v>26.245625852701583</v>
      </c>
      <c r="S11" s="76">
        <v>26.39219111779081</v>
      </c>
      <c r="T11" s="76">
        <v>26.538756382880035</v>
      </c>
      <c r="U11" s="76">
        <v>26.68532164796926</v>
      </c>
      <c r="V11" s="76">
        <v>26.831886913058483</v>
      </c>
      <c r="W11" s="76">
        <v>26.978452178147705</v>
      </c>
      <c r="X11" s="76">
        <v>27.12501744323694</v>
      </c>
      <c r="Y11" s="76">
        <v>27.271582708326164</v>
      </c>
      <c r="Z11" s="76">
        <v>27.41814797341539</v>
      </c>
      <c r="AA11" s="76">
        <v>27.564713238504616</v>
      </c>
      <c r="AB11" s="76">
        <v>27.71127850359384</v>
      </c>
    </row>
    <row r="12" spans="1:28" s="14" customFormat="1" x14ac:dyDescent="0.25">
      <c r="A12" s="14" t="s">
        <v>195</v>
      </c>
      <c r="B12" s="14" t="s">
        <v>8</v>
      </c>
      <c r="C12" s="77">
        <v>5945.442664332968</v>
      </c>
      <c r="D12" s="77">
        <v>243.37054497950925</v>
      </c>
      <c r="E12" s="77">
        <v>242.90780844566007</v>
      </c>
      <c r="F12" s="77">
        <v>242.44507191181083</v>
      </c>
      <c r="G12" s="77">
        <v>241.98233537796162</v>
      </c>
      <c r="H12" s="77">
        <v>241.51959884411238</v>
      </c>
      <c r="I12" s="77">
        <v>241.05686231026323</v>
      </c>
      <c r="J12" s="77">
        <v>240.594125776414</v>
      </c>
      <c r="K12" s="77">
        <v>240.13138924256475</v>
      </c>
      <c r="L12" s="77">
        <v>239.66865270871557</v>
      </c>
      <c r="M12" s="77">
        <v>239.20591617486636</v>
      </c>
      <c r="N12" s="77">
        <v>238.74317964101715</v>
      </c>
      <c r="O12" s="77">
        <v>238.28044310716797</v>
      </c>
      <c r="P12" s="77">
        <v>237.81770657331867</v>
      </c>
      <c r="Q12" s="77">
        <v>237.3549700394695</v>
      </c>
      <c r="R12" s="77">
        <v>236.89223350562028</v>
      </c>
      <c r="S12" s="77">
        <v>236.4294969717711</v>
      </c>
      <c r="T12" s="77">
        <v>235.9667604379219</v>
      </c>
      <c r="U12" s="77">
        <v>235.50402390407265</v>
      </c>
      <c r="V12" s="77">
        <v>235.04128737022347</v>
      </c>
      <c r="W12" s="77">
        <v>234.57855083637426</v>
      </c>
      <c r="X12" s="77">
        <v>234.11581430252502</v>
      </c>
      <c r="Y12" s="77">
        <v>233.65307776867581</v>
      </c>
      <c r="Z12" s="77">
        <v>233.19034123482658</v>
      </c>
      <c r="AA12" s="77">
        <v>232.7276047009774</v>
      </c>
      <c r="AB12" s="77">
        <v>232.26486816712818</v>
      </c>
    </row>
    <row r="13" spans="1:1" s="5" customFormat="1" x14ac:dyDescent="0.25">
      <c r="A13" s="5" t="s">
        <v>196</v>
      </c>
    </row>
    <row r="14" spans="1:28" x14ac:dyDescent="0.25">
      <c r="A14" t="s">
        <v>302</v>
      </c>
      <c r="B14" t="s">
        <v>8</v>
      </c>
      <c r="C14" s="76">
        <v>786.8830151299617</v>
      </c>
      <c r="D14" s="76">
        <v>16.487132773999573</v>
      </c>
      <c r="E14" s="76">
        <v>17.31148941269955</v>
      </c>
      <c r="F14" s="76">
        <v>18.17706388333453</v>
      </c>
      <c r="G14" s="76">
        <v>19.085917077501257</v>
      </c>
      <c r="H14" s="76">
        <v>20.04021293137632</v>
      </c>
      <c r="I14" s="76">
        <v>21.04222357794514</v>
      </c>
      <c r="J14" s="76">
        <v>22.094334756842397</v>
      </c>
      <c r="K14" s="76">
        <v>23.199051494684518</v>
      </c>
      <c r="L14" s="76">
        <v>24.359004069418745</v>
      </c>
      <c r="M14" s="76">
        <v>25.576954272889683</v>
      </c>
      <c r="N14" s="76">
        <v>26.855801986534168</v>
      </c>
      <c r="O14" s="76">
        <v>28.198592085860877</v>
      </c>
      <c r="P14" s="76">
        <v>29.60852169015392</v>
      </c>
      <c r="Q14" s="76">
        <v>31.08894777466162</v>
      </c>
      <c r="R14" s="76">
        <v>32.64339516339471</v>
      </c>
      <c r="S14" s="76">
        <v>34.27556492156444</v>
      </c>
      <c r="T14" s="76">
        <v>35.98934316764266</v>
      </c>
      <c r="U14" s="76">
        <v>37.788810326024795</v>
      </c>
      <c r="V14" s="76">
        <v>39.67825084232604</v>
      </c>
      <c r="W14" s="76">
        <v>41.662163384442344</v>
      </c>
      <c r="X14" s="76">
        <v>43.74527155366446</v>
      </c>
      <c r="Y14" s="76">
        <v>45.932535131347684</v>
      </c>
      <c r="Z14" s="76">
        <v>48.229161887915076</v>
      </c>
      <c r="AA14" s="76">
        <v>50.64061998231083</v>
      </c>
      <c r="AB14" s="76">
        <v>53.172650981426365</v>
      </c>
    </row>
    <row r="15" spans="1:28" x14ac:dyDescent="0.25">
      <c r="A15" t="s">
        <v>126</v>
      </c>
      <c r="B15" t="s">
        <v>8</v>
      </c>
      <c r="C15" s="76">
        <v>110.48164167400348</v>
      </c>
      <c r="D15" s="76">
        <v>4.419265666960138</v>
      </c>
      <c r="E15" s="76">
        <v>4.419265666960138</v>
      </c>
      <c r="F15" s="76">
        <v>4.419265666960138</v>
      </c>
      <c r="G15" s="76">
        <v>4.419265666960138</v>
      </c>
      <c r="H15" s="76">
        <v>4.419265666960138</v>
      </c>
      <c r="I15" s="76">
        <v>4.419265666960138</v>
      </c>
      <c r="J15" s="76">
        <v>4.419265666960138</v>
      </c>
      <c r="K15" s="76">
        <v>4.419265666960138</v>
      </c>
      <c r="L15" s="76">
        <v>4.419265666960138</v>
      </c>
      <c r="M15" s="76">
        <v>4.419265666960138</v>
      </c>
      <c r="N15" s="76">
        <v>4.419265666960138</v>
      </c>
      <c r="O15" s="76">
        <v>4.419265666960138</v>
      </c>
      <c r="P15" s="76">
        <v>4.419265666960138</v>
      </c>
      <c r="Q15" s="76">
        <v>4.419265666960138</v>
      </c>
      <c r="R15" s="76">
        <v>4.419265666960138</v>
      </c>
      <c r="S15" s="76">
        <v>4.419265666960138</v>
      </c>
      <c r="T15" s="76">
        <v>4.419265666960138</v>
      </c>
      <c r="U15" s="76">
        <v>4.419265666960138</v>
      </c>
      <c r="V15" s="76">
        <v>4.419265666960138</v>
      </c>
      <c r="W15" s="76">
        <v>4.419265666960138</v>
      </c>
      <c r="X15" s="76">
        <v>4.419265666960138</v>
      </c>
      <c r="Y15" s="76">
        <v>4.419265666960138</v>
      </c>
      <c r="Z15" s="76">
        <v>4.419265666960138</v>
      </c>
      <c r="AA15" s="76">
        <v>4.419265666960138</v>
      </c>
      <c r="AB15" s="76">
        <v>4.419265666960138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897.3646568039651</v>
      </c>
      <c r="D17" s="77">
        <v>20.906398440959713</v>
      </c>
      <c r="E17" s="77">
        <v>21.730755079659687</v>
      </c>
      <c r="F17" s="77">
        <v>22.59632955029467</v>
      </c>
      <c r="G17" s="77">
        <v>23.505182744461393</v>
      </c>
      <c r="H17" s="77">
        <v>24.45947859833646</v>
      </c>
      <c r="I17" s="77">
        <v>25.46148924490528</v>
      </c>
      <c r="J17" s="77">
        <v>26.513600423802536</v>
      </c>
      <c r="K17" s="77">
        <v>27.618317161644654</v>
      </c>
      <c r="L17" s="77">
        <v>28.77826973637888</v>
      </c>
      <c r="M17" s="77">
        <v>29.996219939849823</v>
      </c>
      <c r="N17" s="77">
        <v>31.275067653494304</v>
      </c>
      <c r="O17" s="77">
        <v>32.61785775282102</v>
      </c>
      <c r="P17" s="77">
        <v>34.02778735711406</v>
      </c>
      <c r="Q17" s="77">
        <v>35.508213441621756</v>
      </c>
      <c r="R17" s="77">
        <v>37.062660830354844</v>
      </c>
      <c r="S17" s="77">
        <v>38.694830588524574</v>
      </c>
      <c r="T17" s="77">
        <v>40.408608834602795</v>
      </c>
      <c r="U17" s="77">
        <v>42.20807599298493</v>
      </c>
      <c r="V17" s="77">
        <v>44.09751650928617</v>
      </c>
      <c r="W17" s="77">
        <v>46.08142905140248</v>
      </c>
      <c r="X17" s="77">
        <v>48.164537220624595</v>
      </c>
      <c r="Y17" s="77">
        <v>50.35180079830782</v>
      </c>
      <c r="Z17" s="77">
        <v>52.64842755487521</v>
      </c>
      <c r="AA17" s="77">
        <v>55.05988564927097</v>
      </c>
      <c r="AB17" s="77">
        <v>57.5919166483865</v>
      </c>
    </row>
    <row r="18" spans="1:1" s="5" customFormat="1" x14ac:dyDescent="0.25">
      <c r="A18" s="5" t="s">
        <v>349</v>
      </c>
    </row>
    <row r="19" spans="1:28" x14ac:dyDescent="0.25">
      <c r="A19" t="s">
        <v>143</v>
      </c>
      <c r="B19" t="s">
        <v>8</v>
      </c>
      <c r="C19" s="76">
        <v>242.84229884459526</v>
      </c>
      <c r="D19" s="76">
        <v>0</v>
      </c>
      <c r="E19" s="76">
        <v>10.118429118524805</v>
      </c>
      <c r="F19" s="76">
        <v>10.118429118524805</v>
      </c>
      <c r="G19" s="76">
        <v>10.118429118524805</v>
      </c>
      <c r="H19" s="76">
        <v>10.118429118524805</v>
      </c>
      <c r="I19" s="76">
        <v>10.118429118524805</v>
      </c>
      <c r="J19" s="76">
        <v>10.118429118524805</v>
      </c>
      <c r="K19" s="76">
        <v>10.118429118524805</v>
      </c>
      <c r="L19" s="76">
        <v>10.118429118524805</v>
      </c>
      <c r="M19" s="76">
        <v>10.118429118524805</v>
      </c>
      <c r="N19" s="76">
        <v>10.118429118524805</v>
      </c>
      <c r="O19" s="76">
        <v>10.118429118524805</v>
      </c>
      <c r="P19" s="76">
        <v>10.118429118524805</v>
      </c>
      <c r="Q19" s="76">
        <v>10.118429118524805</v>
      </c>
      <c r="R19" s="76">
        <v>10.118429118524805</v>
      </c>
      <c r="S19" s="76">
        <v>10.118429118524805</v>
      </c>
      <c r="T19" s="76">
        <v>10.118429118524805</v>
      </c>
      <c r="U19" s="76">
        <v>10.118429118524805</v>
      </c>
      <c r="V19" s="76">
        <v>10.118429118524805</v>
      </c>
      <c r="W19" s="76">
        <v>10.118429118524805</v>
      </c>
      <c r="X19" s="76">
        <v>10.118429118524805</v>
      </c>
      <c r="Y19" s="76">
        <v>10.118429118524805</v>
      </c>
      <c r="Z19" s="76">
        <v>10.118429118524805</v>
      </c>
      <c r="AA19" s="76">
        <v>10.118429118524805</v>
      </c>
      <c r="AB19" s="76">
        <v>10.118429118524805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1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322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</row>
    <row r="2" spans="1:1" s="5" customFormat="1" x14ac:dyDescent="0.25">
      <c r="A2" s="5" t="s">
        <v>348</v>
      </c>
    </row>
    <row r="3" spans="1:28" x14ac:dyDescent="0.25">
      <c r="A3" t="s">
        <v>181</v>
      </c>
      <c r="B3" t="s">
        <v>182</v>
      </c>
      <c r="C3" s="74">
        <v>10950</v>
      </c>
      <c r="D3" s="74">
        <v>438</v>
      </c>
      <c r="E3" s="74">
        <v>438</v>
      </c>
      <c r="F3" s="74">
        <v>438</v>
      </c>
      <c r="G3" s="74">
        <v>438</v>
      </c>
      <c r="H3" s="74">
        <v>438</v>
      </c>
      <c r="I3" s="74">
        <v>438</v>
      </c>
      <c r="J3" s="74">
        <v>438</v>
      </c>
      <c r="K3" s="74">
        <v>438</v>
      </c>
      <c r="L3" s="74">
        <v>438</v>
      </c>
      <c r="M3" s="74">
        <v>438</v>
      </c>
      <c r="N3" s="74">
        <v>438</v>
      </c>
      <c r="O3" s="74">
        <v>438</v>
      </c>
      <c r="P3" s="74">
        <v>438</v>
      </c>
      <c r="Q3" s="74">
        <v>438</v>
      </c>
      <c r="R3" s="74">
        <v>438</v>
      </c>
      <c r="S3" s="74">
        <v>438</v>
      </c>
      <c r="T3" s="74">
        <v>438</v>
      </c>
      <c r="U3" s="74">
        <v>438</v>
      </c>
      <c r="V3" s="74">
        <v>438</v>
      </c>
      <c r="W3" s="74">
        <v>438</v>
      </c>
      <c r="X3" s="74">
        <v>438</v>
      </c>
      <c r="Y3" s="74">
        <v>438</v>
      </c>
      <c r="Z3" s="74">
        <v>438</v>
      </c>
      <c r="AA3" s="74">
        <v>438</v>
      </c>
      <c r="AB3" s="74">
        <v>438</v>
      </c>
    </row>
    <row r="4" spans="1:28" x14ac:dyDescent="0.25">
      <c r="A4" t="s">
        <v>183</v>
      </c>
      <c r="B4" t="s">
        <v>182</v>
      </c>
      <c r="C4" s="74">
        <v>9608.452034899072</v>
      </c>
      <c r="D4" s="74">
        <v>389.8663779793227</v>
      </c>
      <c r="E4" s="74">
        <v>389.4056865973761</v>
      </c>
      <c r="F4" s="74">
        <v>388.9449952154294</v>
      </c>
      <c r="G4" s="74">
        <v>388.4843038334828</v>
      </c>
      <c r="H4" s="74">
        <v>388.0236124515361</v>
      </c>
      <c r="I4" s="74">
        <v>387.56292106958944</v>
      </c>
      <c r="J4" s="74">
        <v>387.1022296876428</v>
      </c>
      <c r="K4" s="74">
        <v>386.64153830569614</v>
      </c>
      <c r="L4" s="74">
        <v>386.1808469237495</v>
      </c>
      <c r="M4" s="74">
        <v>385.7201555418029</v>
      </c>
      <c r="N4" s="74">
        <v>385.25946415985624</v>
      </c>
      <c r="O4" s="74">
        <v>384.7987727779096</v>
      </c>
      <c r="P4" s="74">
        <v>384.338081395963</v>
      </c>
      <c r="Q4" s="74">
        <v>383.8773900140163</v>
      </c>
      <c r="R4" s="74">
        <v>383.4166986320697</v>
      </c>
      <c r="S4" s="74">
        <v>382.95600725012304</v>
      </c>
      <c r="T4" s="74">
        <v>382.4953158681764</v>
      </c>
      <c r="U4" s="74">
        <v>382.03462448622975</v>
      </c>
      <c r="V4" s="74">
        <v>381.5739331042832</v>
      </c>
      <c r="W4" s="74">
        <v>381.1132417223365</v>
      </c>
      <c r="X4" s="74">
        <v>380.65255034038984</v>
      </c>
      <c r="Y4" s="74">
        <v>380.1918589584432</v>
      </c>
      <c r="Z4" s="74">
        <v>379.73116757649655</v>
      </c>
      <c r="AA4" s="74">
        <v>379.27047619454993</v>
      </c>
      <c r="AB4" s="74">
        <v>378.80978481260325</v>
      </c>
    </row>
    <row r="5" spans="1:28" x14ac:dyDescent="0.25">
      <c r="A5" t="s">
        <v>184</v>
      </c>
      <c r="B5" t="s">
        <v>8</v>
      </c>
      <c r="D5" s="72">
        <v>0.8901058857975404</v>
      </c>
      <c r="E5" s="72">
        <v>0.8890540789894431</v>
      </c>
      <c r="F5" s="72">
        <v>0.8880022721813456</v>
      </c>
      <c r="G5" s="72">
        <v>0.8869504653732484</v>
      </c>
      <c r="H5" s="72">
        <v>0.8858986585651509</v>
      </c>
      <c r="I5" s="72">
        <v>0.8848468517570536</v>
      </c>
      <c r="J5" s="72">
        <v>0.8837950449489562</v>
      </c>
      <c r="K5" s="72">
        <v>0.8827432381408588</v>
      </c>
      <c r="L5" s="72">
        <v>0.8816914313327615</v>
      </c>
      <c r="M5" s="72">
        <v>0.8806396245246643</v>
      </c>
      <c r="N5" s="72">
        <v>0.8795878177165668</v>
      </c>
      <c r="O5" s="72">
        <v>0.8785360109084696</v>
      </c>
      <c r="P5" s="72">
        <v>0.8774842041003721</v>
      </c>
      <c r="Q5" s="72">
        <v>0.8764323972922746</v>
      </c>
      <c r="R5" s="72">
        <v>0.8753805904841774</v>
      </c>
      <c r="S5" s="72">
        <v>0.8743287836760799</v>
      </c>
      <c r="T5" s="72">
        <v>0.8732769768679827</v>
      </c>
      <c r="U5" s="72">
        <v>0.8722251700598852</v>
      </c>
      <c r="V5" s="72">
        <v>0.8711733632517881</v>
      </c>
      <c r="W5" s="72">
        <v>0.8701215564436906</v>
      </c>
      <c r="X5" s="72">
        <v>0.8690697496355932</v>
      </c>
      <c r="Y5" s="72">
        <v>0.8680179428274959</v>
      </c>
      <c r="Z5" s="72">
        <v>0.8669661360193985</v>
      </c>
      <c r="AA5" s="72">
        <v>0.8659143292113012</v>
      </c>
      <c r="AB5" s="72">
        <v>0.8648625224032038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6.862973373281049</v>
      </c>
      <c r="E7" s="75">
        <v>6.862973373281049</v>
      </c>
      <c r="F7" s="75">
        <v>6.862973373281049</v>
      </c>
      <c r="G7" s="75">
        <v>6.862973373281049</v>
      </c>
      <c r="H7" s="75">
        <v>6.862973373281049</v>
      </c>
      <c r="I7" s="75">
        <v>6.862973373281049</v>
      </c>
      <c r="J7" s="75">
        <v>6.862973373281049</v>
      </c>
      <c r="K7" s="75">
        <v>6.862973373281049</v>
      </c>
      <c r="L7" s="75">
        <v>6.862973373281049</v>
      </c>
      <c r="M7" s="75">
        <v>6.862973373281049</v>
      </c>
      <c r="N7" s="75">
        <v>6.862973373281049</v>
      </c>
      <c r="O7" s="75">
        <v>6.862973373281049</v>
      </c>
      <c r="P7" s="75">
        <v>6.862973373281049</v>
      </c>
      <c r="Q7" s="75">
        <v>6.862973373281049</v>
      </c>
      <c r="R7" s="75">
        <v>6.862973373281049</v>
      </c>
      <c r="S7" s="75">
        <v>6.862973373281049</v>
      </c>
      <c r="T7" s="75">
        <v>6.862973373281049</v>
      </c>
      <c r="U7" s="75">
        <v>6.862973373281049</v>
      </c>
      <c r="V7" s="75">
        <v>6.862973373281049</v>
      </c>
      <c r="W7" s="75">
        <v>6.862973373281049</v>
      </c>
      <c r="X7" s="75">
        <v>6.862973373281049</v>
      </c>
      <c r="Y7" s="75">
        <v>6.862973373281049</v>
      </c>
      <c r="Z7" s="75">
        <v>6.862973373281049</v>
      </c>
      <c r="AA7" s="75">
        <v>6.862973373281049</v>
      </c>
      <c r="AB7" s="75">
        <v>6.862973373281049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6594.255047396046</v>
      </c>
      <c r="D9" s="76">
        <v>267.56425712096166</v>
      </c>
      <c r="E9" s="76">
        <v>267.2480858522017</v>
      </c>
      <c r="F9" s="76">
        <v>266.9319145834417</v>
      </c>
      <c r="G9" s="76">
        <v>266.6157433146817</v>
      </c>
      <c r="H9" s="76">
        <v>266.2995720459217</v>
      </c>
      <c r="I9" s="76">
        <v>265.98340077716176</v>
      </c>
      <c r="J9" s="76">
        <v>265.66722950840176</v>
      </c>
      <c r="K9" s="76">
        <v>265.35105823964176</v>
      </c>
      <c r="L9" s="76">
        <v>265.0348869708818</v>
      </c>
      <c r="M9" s="76">
        <v>264.7187157021218</v>
      </c>
      <c r="N9" s="76">
        <v>264.4025444333618</v>
      </c>
      <c r="O9" s="76">
        <v>264.08637316460187</v>
      </c>
      <c r="P9" s="76">
        <v>263.7702018958418</v>
      </c>
      <c r="Q9" s="76">
        <v>263.45403062708186</v>
      </c>
      <c r="R9" s="76">
        <v>263.13785935832186</v>
      </c>
      <c r="S9" s="76">
        <v>262.8216880895619</v>
      </c>
      <c r="T9" s="76">
        <v>262.5055168208019</v>
      </c>
      <c r="U9" s="76">
        <v>262.1893455520419</v>
      </c>
      <c r="V9" s="76">
        <v>261.87317428328197</v>
      </c>
      <c r="W9" s="76">
        <v>261.55700301452197</v>
      </c>
      <c r="X9" s="76">
        <v>261.24083174576197</v>
      </c>
      <c r="Y9" s="76">
        <v>260.92466047700196</v>
      </c>
      <c r="Z9" s="76">
        <v>260.60848920824196</v>
      </c>
      <c r="AA9" s="76">
        <v>260.292317939482</v>
      </c>
      <c r="AB9" s="76">
        <v>259.976146670722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648.8123830630783</v>
      </c>
      <c r="D11" s="76">
        <v>24.193712141452416</v>
      </c>
      <c r="E11" s="76">
        <v>24.34027740654164</v>
      </c>
      <c r="F11" s="76">
        <v>24.486842671630868</v>
      </c>
      <c r="G11" s="76">
        <v>24.633407936720094</v>
      </c>
      <c r="H11" s="76">
        <v>24.779973201809323</v>
      </c>
      <c r="I11" s="76">
        <v>24.926538466898545</v>
      </c>
      <c r="J11" s="76">
        <v>25.07310373198777</v>
      </c>
      <c r="K11" s="76">
        <v>25.219668997077</v>
      </c>
      <c r="L11" s="76">
        <v>25.36623426216623</v>
      </c>
      <c r="M11" s="76">
        <v>25.51279952725545</v>
      </c>
      <c r="N11" s="76">
        <v>25.659364792344675</v>
      </c>
      <c r="O11" s="76">
        <v>25.805930057433905</v>
      </c>
      <c r="P11" s="76">
        <v>25.952495322523127</v>
      </c>
      <c r="Q11" s="76">
        <v>26.099060587612357</v>
      </c>
      <c r="R11" s="76">
        <v>26.245625852701583</v>
      </c>
      <c r="S11" s="76">
        <v>26.39219111779081</v>
      </c>
      <c r="T11" s="76">
        <v>26.538756382880035</v>
      </c>
      <c r="U11" s="76">
        <v>26.68532164796926</v>
      </c>
      <c r="V11" s="76">
        <v>26.831886913058483</v>
      </c>
      <c r="W11" s="76">
        <v>26.978452178147705</v>
      </c>
      <c r="X11" s="76">
        <v>27.12501744323694</v>
      </c>
      <c r="Y11" s="76">
        <v>27.271582708326164</v>
      </c>
      <c r="Z11" s="76">
        <v>27.41814797341539</v>
      </c>
      <c r="AA11" s="76">
        <v>27.564713238504616</v>
      </c>
      <c r="AB11" s="76">
        <v>27.71127850359384</v>
      </c>
    </row>
    <row r="12" spans="1:28" s="14" customFormat="1" x14ac:dyDescent="0.25">
      <c r="A12" s="14" t="s">
        <v>195</v>
      </c>
      <c r="B12" s="14" t="s">
        <v>8</v>
      </c>
      <c r="C12" s="77">
        <v>5945.442664332968</v>
      </c>
      <c r="D12" s="77">
        <v>243.37054497950925</v>
      </c>
      <c r="E12" s="77">
        <v>242.90780844566007</v>
      </c>
      <c r="F12" s="77">
        <v>242.44507191181083</v>
      </c>
      <c r="G12" s="77">
        <v>241.98233537796162</v>
      </c>
      <c r="H12" s="77">
        <v>241.51959884411238</v>
      </c>
      <c r="I12" s="77">
        <v>241.05686231026323</v>
      </c>
      <c r="J12" s="77">
        <v>240.594125776414</v>
      </c>
      <c r="K12" s="77">
        <v>240.13138924256475</v>
      </c>
      <c r="L12" s="77">
        <v>239.66865270871557</v>
      </c>
      <c r="M12" s="77">
        <v>239.20591617486636</v>
      </c>
      <c r="N12" s="77">
        <v>238.74317964101715</v>
      </c>
      <c r="O12" s="77">
        <v>238.28044310716797</v>
      </c>
      <c r="P12" s="77">
        <v>237.81770657331867</v>
      </c>
      <c r="Q12" s="77">
        <v>237.3549700394695</v>
      </c>
      <c r="R12" s="77">
        <v>236.89223350562028</v>
      </c>
      <c r="S12" s="77">
        <v>236.4294969717711</v>
      </c>
      <c r="T12" s="77">
        <v>235.9667604379219</v>
      </c>
      <c r="U12" s="77">
        <v>235.50402390407265</v>
      </c>
      <c r="V12" s="77">
        <v>235.04128737022347</v>
      </c>
      <c r="W12" s="77">
        <v>234.57855083637426</v>
      </c>
      <c r="X12" s="77">
        <v>234.11581430252502</v>
      </c>
      <c r="Y12" s="77">
        <v>233.65307776867581</v>
      </c>
      <c r="Z12" s="77">
        <v>233.19034123482658</v>
      </c>
      <c r="AA12" s="77">
        <v>232.7276047009774</v>
      </c>
      <c r="AB12" s="77">
        <v>232.26486816712818</v>
      </c>
    </row>
    <row r="13" spans="1:1" s="5" customFormat="1" x14ac:dyDescent="0.25">
      <c r="A13" s="5" t="s">
        <v>196</v>
      </c>
    </row>
    <row r="14" spans="1:28" x14ac:dyDescent="0.25">
      <c r="A14" t="s">
        <v>302</v>
      </c>
      <c r="B14" t="s">
        <v>8</v>
      </c>
      <c r="C14" s="76">
        <v>786.8830151299617</v>
      </c>
      <c r="D14" s="76">
        <v>16.487132773999573</v>
      </c>
      <c r="E14" s="76">
        <v>17.31148941269955</v>
      </c>
      <c r="F14" s="76">
        <v>18.17706388333453</v>
      </c>
      <c r="G14" s="76">
        <v>19.085917077501257</v>
      </c>
      <c r="H14" s="76">
        <v>20.04021293137632</v>
      </c>
      <c r="I14" s="76">
        <v>21.04222357794514</v>
      </c>
      <c r="J14" s="76">
        <v>22.094334756842397</v>
      </c>
      <c r="K14" s="76">
        <v>23.199051494684518</v>
      </c>
      <c r="L14" s="76">
        <v>24.359004069418745</v>
      </c>
      <c r="M14" s="76">
        <v>25.576954272889683</v>
      </c>
      <c r="N14" s="76">
        <v>26.855801986534168</v>
      </c>
      <c r="O14" s="76">
        <v>28.198592085860877</v>
      </c>
      <c r="P14" s="76">
        <v>29.60852169015392</v>
      </c>
      <c r="Q14" s="76">
        <v>31.08894777466162</v>
      </c>
      <c r="R14" s="76">
        <v>32.64339516339471</v>
      </c>
      <c r="S14" s="76">
        <v>34.27556492156444</v>
      </c>
      <c r="T14" s="76">
        <v>35.98934316764266</v>
      </c>
      <c r="U14" s="76">
        <v>37.788810326024795</v>
      </c>
      <c r="V14" s="76">
        <v>39.67825084232604</v>
      </c>
      <c r="W14" s="76">
        <v>41.662163384442344</v>
      </c>
      <c r="X14" s="76">
        <v>43.74527155366446</v>
      </c>
      <c r="Y14" s="76">
        <v>45.932535131347684</v>
      </c>
      <c r="Z14" s="76">
        <v>48.229161887915076</v>
      </c>
      <c r="AA14" s="76">
        <v>50.64061998231083</v>
      </c>
      <c r="AB14" s="76">
        <v>53.172650981426365</v>
      </c>
    </row>
    <row r="15" spans="1:28" x14ac:dyDescent="0.25">
      <c r="A15" t="s">
        <v>126</v>
      </c>
      <c r="B15" t="s">
        <v>8</v>
      </c>
      <c r="C15" s="76">
        <v>110.48164167400348</v>
      </c>
      <c r="D15" s="76">
        <v>4.419265666960138</v>
      </c>
      <c r="E15" s="76">
        <v>4.419265666960138</v>
      </c>
      <c r="F15" s="76">
        <v>4.419265666960138</v>
      </c>
      <c r="G15" s="76">
        <v>4.419265666960138</v>
      </c>
      <c r="H15" s="76">
        <v>4.419265666960138</v>
      </c>
      <c r="I15" s="76">
        <v>4.419265666960138</v>
      </c>
      <c r="J15" s="76">
        <v>4.419265666960138</v>
      </c>
      <c r="K15" s="76">
        <v>4.419265666960138</v>
      </c>
      <c r="L15" s="76">
        <v>4.419265666960138</v>
      </c>
      <c r="M15" s="76">
        <v>4.419265666960138</v>
      </c>
      <c r="N15" s="76">
        <v>4.419265666960138</v>
      </c>
      <c r="O15" s="76">
        <v>4.419265666960138</v>
      </c>
      <c r="P15" s="76">
        <v>4.419265666960138</v>
      </c>
      <c r="Q15" s="76">
        <v>4.419265666960138</v>
      </c>
      <c r="R15" s="76">
        <v>4.419265666960138</v>
      </c>
      <c r="S15" s="76">
        <v>4.419265666960138</v>
      </c>
      <c r="T15" s="76">
        <v>4.419265666960138</v>
      </c>
      <c r="U15" s="76">
        <v>4.419265666960138</v>
      </c>
      <c r="V15" s="76">
        <v>4.419265666960138</v>
      </c>
      <c r="W15" s="76">
        <v>4.419265666960138</v>
      </c>
      <c r="X15" s="76">
        <v>4.419265666960138</v>
      </c>
      <c r="Y15" s="76">
        <v>4.419265666960138</v>
      </c>
      <c r="Z15" s="76">
        <v>4.419265666960138</v>
      </c>
      <c r="AA15" s="76">
        <v>4.419265666960138</v>
      </c>
      <c r="AB15" s="76">
        <v>4.419265666960138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897.3646568039651</v>
      </c>
      <c r="D17" s="77">
        <v>20.906398440959713</v>
      </c>
      <c r="E17" s="77">
        <v>21.730755079659687</v>
      </c>
      <c r="F17" s="77">
        <v>22.59632955029467</v>
      </c>
      <c r="G17" s="77">
        <v>23.505182744461393</v>
      </c>
      <c r="H17" s="77">
        <v>24.45947859833646</v>
      </c>
      <c r="I17" s="77">
        <v>25.46148924490528</v>
      </c>
      <c r="J17" s="77">
        <v>26.513600423802536</v>
      </c>
      <c r="K17" s="77">
        <v>27.618317161644654</v>
      </c>
      <c r="L17" s="77">
        <v>28.77826973637888</v>
      </c>
      <c r="M17" s="77">
        <v>29.996219939849823</v>
      </c>
      <c r="N17" s="77">
        <v>31.275067653494304</v>
      </c>
      <c r="O17" s="77">
        <v>32.61785775282102</v>
      </c>
      <c r="P17" s="77">
        <v>34.02778735711406</v>
      </c>
      <c r="Q17" s="77">
        <v>35.508213441621756</v>
      </c>
      <c r="R17" s="77">
        <v>37.062660830354844</v>
      </c>
      <c r="S17" s="77">
        <v>38.694830588524574</v>
      </c>
      <c r="T17" s="77">
        <v>40.408608834602795</v>
      </c>
      <c r="U17" s="77">
        <v>42.20807599298493</v>
      </c>
      <c r="V17" s="77">
        <v>44.09751650928617</v>
      </c>
      <c r="W17" s="77">
        <v>46.08142905140248</v>
      </c>
      <c r="X17" s="77">
        <v>48.164537220624595</v>
      </c>
      <c r="Y17" s="77">
        <v>50.35180079830782</v>
      </c>
      <c r="Z17" s="77">
        <v>52.64842755487521</v>
      </c>
      <c r="AA17" s="77">
        <v>55.05988564927097</v>
      </c>
      <c r="AB17" s="77">
        <v>57.5919166483865</v>
      </c>
    </row>
    <row r="18" spans="1:1" s="5" customFormat="1" x14ac:dyDescent="0.25">
      <c r="A18" s="5" t="s">
        <v>213</v>
      </c>
    </row>
    <row r="19" spans="1:28" s="14" customFormat="1" x14ac:dyDescent="0.25">
      <c r="A19" s="14" t="s">
        <v>198</v>
      </c>
      <c r="B19" s="14" t="s">
        <v>8</v>
      </c>
      <c r="C19" s="77">
        <v>5048.078007529001</v>
      </c>
      <c r="D19" s="77">
        <v>222.46414653854953</v>
      </c>
      <c r="E19" s="77">
        <v>221.1770533660004</v>
      </c>
      <c r="F19" s="77">
        <v>219.84874236151614</v>
      </c>
      <c r="G19" s="77">
        <v>218.47715263350022</v>
      </c>
      <c r="H19" s="77">
        <v>217.06012024577592</v>
      </c>
      <c r="I19" s="77">
        <v>215.59537306535793</v>
      </c>
      <c r="J19" s="77">
        <v>214.08052535261146</v>
      </c>
      <c r="K19" s="77">
        <v>212.5130720809201</v>
      </c>
      <c r="L19" s="77">
        <v>210.89038297233668</v>
      </c>
      <c r="M19" s="77">
        <v>209.20969623501654</v>
      </c>
      <c r="N19" s="77">
        <v>207.46811198752283</v>
      </c>
      <c r="O19" s="77">
        <v>205.66258535434696</v>
      </c>
      <c r="P19" s="77">
        <v>203.78991921620462</v>
      </c>
      <c r="Q19" s="77">
        <v>201.84675659784773</v>
      </c>
      <c r="R19" s="77">
        <v>199.82957267526544</v>
      </c>
      <c r="S19" s="77">
        <v>197.73466638324652</v>
      </c>
      <c r="T19" s="77">
        <v>195.5581516033191</v>
      </c>
      <c r="U19" s="77">
        <v>193.29594791108772</v>
      </c>
      <c r="V19" s="77">
        <v>190.9437708609373</v>
      </c>
      <c r="W19" s="77">
        <v>188.4971217849718</v>
      </c>
      <c r="X19" s="77">
        <v>185.95127708190043</v>
      </c>
      <c r="Y19" s="77">
        <v>183.301276970368</v>
      </c>
      <c r="Z19" s="77">
        <v>180.54191367995136</v>
      </c>
      <c r="AA19" s="77">
        <v>177.66771905170643</v>
      </c>
      <c r="AB19" s="77">
        <v>174.67295151874168</v>
      </c>
    </row>
    <row r="20" spans="1:28" x14ac:dyDescent="0.25">
      <c r="A20" t="s">
        <v>201</v>
      </c>
      <c r="B20" t="s">
        <v>8</v>
      </c>
      <c r="C20" s="76">
        <v>1634.910983937039</v>
      </c>
      <c r="D20" s="76">
        <v>55.682747403697746</v>
      </c>
      <c r="E20" s="76">
        <v>56.10434861696962</v>
      </c>
      <c r="F20" s="76">
        <v>56.54428031777504</v>
      </c>
      <c r="G20" s="76">
        <v>57.00420891407162</v>
      </c>
      <c r="H20" s="76">
        <v>57.486038872096614</v>
      </c>
      <c r="I20" s="76">
        <v>57.991960328022856</v>
      </c>
      <c r="J20" s="76">
        <v>58.52450922899784</v>
      </c>
      <c r="K20" s="76">
        <v>59.086644180027</v>
      </c>
      <c r="L20" s="76">
        <v>59.6818458928814</v>
      </c>
      <c r="M20" s="76">
        <v>60.3142477127892</v>
      </c>
      <c r="N20" s="76">
        <v>60.98880965402419</v>
      </c>
      <c r="O20" s="76">
        <v>61.71155459106167</v>
      </c>
      <c r="P20" s="76">
        <v>62.48989529248666</v>
      </c>
      <c r="Q20" s="76">
        <v>63.33309771903039</v>
      </c>
      <c r="R20" s="76">
        <v>64.25295491162356</v>
      </c>
      <c r="S20" s="76">
        <v>65.26479782347603</v>
      </c>
      <c r="T20" s="76">
        <v>66.38906772553435</v>
      </c>
      <c r="U20" s="76">
        <v>67.65387136534994</v>
      </c>
      <c r="V20" s="76">
        <v>69.09936123942492</v>
      </c>
      <c r="W20" s="76">
        <v>70.78576609251239</v>
      </c>
      <c r="X20" s="76">
        <v>72.80945191621734</v>
      </c>
      <c r="Y20" s="76">
        <v>75.33905919584855</v>
      </c>
      <c r="Z20" s="76">
        <v>78.71186890202348</v>
      </c>
      <c r="AA20" s="76">
        <v>83.77108346128588</v>
      </c>
      <c r="AB20" s="76">
        <v>93.88951257981068</v>
      </c>
    </row>
    <row r="21" spans="1:28" x14ac:dyDescent="0.25">
      <c r="A21" t="s">
        <v>206</v>
      </c>
      <c r="B21" t="s">
        <v>8</v>
      </c>
      <c r="C21" s="76">
        <v>779.5584636517686</v>
      </c>
      <c r="D21" s="76">
        <v>97.44480795647104</v>
      </c>
      <c r="E21" s="76">
        <v>90.94848742603963</v>
      </c>
      <c r="F21" s="76">
        <v>84.45216689560824</v>
      </c>
      <c r="G21" s="76">
        <v>77.95584636517684</v>
      </c>
      <c r="H21" s="76">
        <v>71.45952583474545</v>
      </c>
      <c r="I21" s="76">
        <v>64.96320530431404</v>
      </c>
      <c r="J21" s="76">
        <v>58.46688477388265</v>
      </c>
      <c r="K21" s="76">
        <v>51.97056424345125</v>
      </c>
      <c r="L21" s="76">
        <v>45.474243713019845</v>
      </c>
      <c r="M21" s="76">
        <v>38.97792318258844</v>
      </c>
      <c r="N21" s="76">
        <v>32.48160265215704</v>
      </c>
      <c r="O21" s="76">
        <v>25.985282121725636</v>
      </c>
      <c r="P21" s="76">
        <v>19.48896159129423</v>
      </c>
      <c r="Q21" s="76">
        <v>12.992641060862828</v>
      </c>
      <c r="R21" s="76">
        <v>6.496320530431426</v>
      </c>
      <c r="S21" s="76">
        <v>2.3021584638627244e-14</v>
      </c>
      <c r="T21" s="76">
        <v>2.3021584638627244e-14</v>
      </c>
      <c r="U21" s="76">
        <v>2.3021584638627244e-14</v>
      </c>
      <c r="V21" s="76">
        <v>2.3021584638627244e-14</v>
      </c>
      <c r="W21" s="76">
        <v>2.3021584638627244e-14</v>
      </c>
      <c r="X21" s="76">
        <v>2.3021584638627244e-14</v>
      </c>
      <c r="Y21" s="76">
        <v>2.3021584638627244e-14</v>
      </c>
      <c r="Z21" s="76">
        <v>2.3021584638627244e-14</v>
      </c>
      <c r="AA21" s="76">
        <v>2.3021584638627244e-14</v>
      </c>
      <c r="AB21" s="76">
        <v>2.3021584638627244e-14</v>
      </c>
    </row>
    <row r="22" spans="1:28" x14ac:dyDescent="0.25">
      <c r="A22" t="s">
        <v>216</v>
      </c>
      <c r="B22" t="s">
        <v>8</v>
      </c>
      <c r="C22" s="76">
        <v>2633.608559940195</v>
      </c>
      <c r="D22" s="76">
        <v>69.33659117838073</v>
      </c>
      <c r="E22" s="76">
        <v>74.12421732299114</v>
      </c>
      <c r="F22" s="76">
        <v>78.85229514813285</v>
      </c>
      <c r="G22" s="76">
        <v>83.51709735425176</v>
      </c>
      <c r="H22" s="76">
        <v>88.11455553893384</v>
      </c>
      <c r="I22" s="76">
        <v>92.64020743302103</v>
      </c>
      <c r="J22" s="76">
        <v>97.08913134973099</v>
      </c>
      <c r="K22" s="76">
        <v>101.45586365744184</v>
      </c>
      <c r="L22" s="76">
        <v>105.73429336643544</v>
      </c>
      <c r="M22" s="76">
        <v>109.91752533963891</v>
      </c>
      <c r="N22" s="76">
        <v>113.99769968134162</v>
      </c>
      <c r="O22" s="76">
        <v>117.96574864155967</v>
      </c>
      <c r="P22" s="76">
        <v>121.81106233242373</v>
      </c>
      <c r="Q22" s="76">
        <v>125.52101781795453</v>
      </c>
      <c r="R22" s="76">
        <v>129.08029723321044</v>
      </c>
      <c r="S22" s="76">
        <v>132.46986855977045</v>
      </c>
      <c r="T22" s="76">
        <v>129.16908387778471</v>
      </c>
      <c r="U22" s="76">
        <v>125.64207654573775</v>
      </c>
      <c r="V22" s="76">
        <v>121.84440962151234</v>
      </c>
      <c r="W22" s="76">
        <v>117.71135569245938</v>
      </c>
      <c r="X22" s="76">
        <v>113.14182516568306</v>
      </c>
      <c r="Y22" s="76">
        <v>107.96221777451943</v>
      </c>
      <c r="Z22" s="76">
        <v>101.83004477792785</v>
      </c>
      <c r="AA22" s="76">
        <v>93.89663559042052</v>
      </c>
      <c r="AB22" s="76">
        <v>80.78343893893097</v>
      </c>
    </row>
    <row r="23" spans="1:28" x14ac:dyDescent="0.25">
      <c r="A23" t="s">
        <v>163</v>
      </c>
      <c r="B23" t="s">
        <v>8</v>
      </c>
      <c r="C23" s="76">
        <v>1774.4033130854673</v>
      </c>
      <c r="D23" s="76">
        <v>618.6971933744194</v>
      </c>
      <c r="E23" s="76">
        <v>375.2656876720616</v>
      </c>
      <c r="F23" s="76">
        <v>229.20678425064682</v>
      </c>
      <c r="G23" s="76">
        <v>141.571442197798</v>
      </c>
      <c r="H23" s="76">
        <v>88.99023696608873</v>
      </c>
      <c r="I23" s="76">
        <v>57.44151382706315</v>
      </c>
      <c r="J23" s="76">
        <v>38.51227994364781</v>
      </c>
      <c r="K23" s="76">
        <v>27.154739613598608</v>
      </c>
      <c r="L23" s="76">
        <v>20.340215415569084</v>
      </c>
      <c r="M23" s="76">
        <v>16.251500896751374</v>
      </c>
      <c r="N23" s="76">
        <v>13.798272185460746</v>
      </c>
      <c r="O23" s="76">
        <v>12.32633495868637</v>
      </c>
      <c r="P23" s="76">
        <v>11.443172622621745</v>
      </c>
      <c r="Q23" s="76">
        <v>10.913275220982968</v>
      </c>
      <c r="R23" s="76">
        <v>10.595336779999704</v>
      </c>
      <c r="S23" s="76">
        <v>10.404573715409743</v>
      </c>
      <c r="T23" s="76">
        <v>10.290115876655769</v>
      </c>
      <c r="U23" s="76">
        <v>10.221441173403383</v>
      </c>
      <c r="V23" s="76">
        <v>10.180236351451951</v>
      </c>
      <c r="W23" s="76">
        <v>10.155513458281092</v>
      </c>
      <c r="X23" s="76">
        <v>10.140679722378579</v>
      </c>
      <c r="Y23" s="76">
        <v>10.131779480837068</v>
      </c>
      <c r="Z23" s="76">
        <v>10.126439335912163</v>
      </c>
      <c r="AA23" s="76">
        <v>10.12323524895722</v>
      </c>
      <c r="AB23" s="76">
        <v>10.121312796784252</v>
      </c>
    </row>
    <row r="24" spans="1:28" x14ac:dyDescent="0.25">
      <c r="A24" t="s">
        <v>222</v>
      </c>
      <c r="B24" t="s">
        <v>8</v>
      </c>
      <c r="C24" s="76">
        <v>627.7690552902876</v>
      </c>
      <c r="D24" s="76">
        <v>0</v>
      </c>
      <c r="E24" s="76">
        <v>0</v>
      </c>
      <c r="F24" s="76">
        <v>0</v>
      </c>
      <c r="G24" s="76">
        <v>0</v>
      </c>
      <c r="H24" s="76">
        <v>0</v>
      </c>
      <c r="I24" s="76">
        <v>0</v>
      </c>
      <c r="J24" s="76">
        <v>0</v>
      </c>
      <c r="K24" s="76">
        <v>0</v>
      </c>
      <c r="L24" s="76">
        <v>0</v>
      </c>
      <c r="M24" s="76">
        <v>0</v>
      </c>
      <c r="N24" s="76">
        <v>6.785643765789549</v>
      </c>
      <c r="O24" s="76">
        <v>42.12223871454942</v>
      </c>
      <c r="P24" s="76">
        <v>43.508304485076046</v>
      </c>
      <c r="Q24" s="76">
        <v>44.787709507537684</v>
      </c>
      <c r="R24" s="76">
        <v>45.995133297328785</v>
      </c>
      <c r="S24" s="76">
        <v>47.1509843244945</v>
      </c>
      <c r="T24" s="76">
        <v>46.63196459240115</v>
      </c>
      <c r="U24" s="76">
        <v>46.07985334587514</v>
      </c>
      <c r="V24" s="76">
        <v>45.49818163603745</v>
      </c>
      <c r="W24" s="76">
        <v>44.88858281582804</v>
      </c>
      <c r="X24" s="76">
        <v>44.25152735539164</v>
      </c>
      <c r="Y24" s="76">
        <v>43.586762518114924</v>
      </c>
      <c r="Z24" s="76">
        <v>42.89357489239466</v>
      </c>
      <c r="AA24" s="76">
        <v>42.170946573151966</v>
      </c>
      <c r="AB24" s="76">
        <v>41.41764746631667</v>
      </c>
    </row>
    <row r="25" spans="1:28" s="14" customFormat="1" x14ac:dyDescent="0.25">
      <c r="A25" s="14" t="s">
        <v>223</v>
      </c>
      <c r="B25" s="14" t="s">
        <v>8</v>
      </c>
      <c r="C25" s="77">
        <v>2005.8395046499072</v>
      </c>
      <c r="D25" s="77">
        <v>69.33659117838073</v>
      </c>
      <c r="E25" s="77">
        <v>74.12421732299114</v>
      </c>
      <c r="F25" s="77">
        <v>78.85229514813285</v>
      </c>
      <c r="G25" s="77">
        <v>83.51709735425176</v>
      </c>
      <c r="H25" s="77">
        <v>88.11455553893384</v>
      </c>
      <c r="I25" s="77">
        <v>92.64020743302103</v>
      </c>
      <c r="J25" s="77">
        <v>97.08913134973099</v>
      </c>
      <c r="K25" s="77">
        <v>101.45586365744184</v>
      </c>
      <c r="L25" s="77">
        <v>105.73429336643544</v>
      </c>
      <c r="M25" s="77">
        <v>109.91752533963891</v>
      </c>
      <c r="N25" s="77">
        <v>107.21205591555207</v>
      </c>
      <c r="O25" s="77">
        <v>75.84350992701025</v>
      </c>
      <c r="P25" s="77">
        <v>78.30275784734769</v>
      </c>
      <c r="Q25" s="77">
        <v>80.73330831041685</v>
      </c>
      <c r="R25" s="77">
        <v>83.08516393588167</v>
      </c>
      <c r="S25" s="77">
        <v>85.31888423527595</v>
      </c>
      <c r="T25" s="77">
        <v>82.53711928538357</v>
      </c>
      <c r="U25" s="77">
        <v>79.56222319986261</v>
      </c>
      <c r="V25" s="77">
        <v>76.34622798547488</v>
      </c>
      <c r="W25" s="77">
        <v>72.82277287663135</v>
      </c>
      <c r="X25" s="77">
        <v>68.89029781029143</v>
      </c>
      <c r="Y25" s="77">
        <v>64.3754552564045</v>
      </c>
      <c r="Z25" s="77">
        <v>58.93646988553319</v>
      </c>
      <c r="AA25" s="77">
        <v>51.72568901726855</v>
      </c>
      <c r="AB25" s="77">
        <v>39.3657914726143</v>
      </c>
    </row>
    <row r="26" spans="1:1" s="5" customFormat="1" x14ac:dyDescent="0.25">
      <c r="A26" s="5" t="s">
        <v>224</v>
      </c>
    </row>
    <row r="27" spans="1:28" x14ac:dyDescent="0.25">
      <c r="A27" t="s">
        <v>225</v>
      </c>
      <c r="B27" t="s">
        <v>86</v>
      </c>
      <c r="D27" s="76">
        <v>30.00458773719977</v>
      </c>
      <c r="E27" s="76">
        <v>29.94753802754713</v>
      </c>
      <c r="F27" s="76">
        <v>29.890488317894484</v>
      </c>
      <c r="G27" s="76">
        <v>29.833438608241842</v>
      </c>
      <c r="H27" s="76">
        <v>29.776388898589197</v>
      </c>
      <c r="I27" s="76">
        <v>29.719339188936562</v>
      </c>
      <c r="J27" s="76">
        <v>29.662289479283917</v>
      </c>
      <c r="K27" s="76">
        <v>29.60523976963127</v>
      </c>
      <c r="L27" s="76">
        <v>29.54819005997863</v>
      </c>
      <c r="M27" s="76">
        <v>29.49114035032599</v>
      </c>
      <c r="N27" s="76">
        <v>29.434090640673347</v>
      </c>
      <c r="O27" s="76">
        <v>29.37704093102071</v>
      </c>
      <c r="P27" s="76">
        <v>29.319991221368056</v>
      </c>
      <c r="Q27" s="76">
        <v>29.262941511715415</v>
      </c>
      <c r="R27" s="76">
        <v>29.205891802062773</v>
      </c>
      <c r="S27" s="76">
        <v>29.148842092410135</v>
      </c>
      <c r="T27" s="76">
        <v>29.091792382757493</v>
      </c>
      <c r="U27" s="76">
        <v>29.034742673104848</v>
      </c>
      <c r="V27" s="76">
        <v>28.977692963452206</v>
      </c>
      <c r="W27" s="76">
        <v>28.920643253799565</v>
      </c>
      <c r="X27" s="76">
        <v>28.86359354414692</v>
      </c>
      <c r="Y27" s="76">
        <v>28.806543834494278</v>
      </c>
      <c r="Z27" s="76">
        <v>28.749494124841632</v>
      </c>
      <c r="AA27" s="76">
        <v>28.69244441518899</v>
      </c>
      <c r="AB27" s="76">
        <v>28.635394705536353</v>
      </c>
    </row>
    <row r="28" spans="1:28" x14ac:dyDescent="0.25">
      <c r="A28" t="s">
        <v>350</v>
      </c>
      <c r="B28" t="s">
        <v>8</v>
      </c>
      <c r="C28" s="76">
        <v>28.635394705536353</v>
      </c>
      <c r="D28" s="76">
        <v>30.00458773719977</v>
      </c>
      <c r="E28" s="76">
        <v>-0.05704970965264167</v>
      </c>
      <c r="F28" s="76">
        <v>-0.05704970965264522</v>
      </c>
      <c r="G28" s="76">
        <v>-0.05704970965264167</v>
      </c>
      <c r="H28" s="76">
        <v>-0.05704970965264522</v>
      </c>
      <c r="I28" s="76">
        <v>-0.05704970965263456</v>
      </c>
      <c r="J28" s="76">
        <v>-0.05704970965264522</v>
      </c>
      <c r="K28" s="76">
        <v>-0.05704970965264522</v>
      </c>
      <c r="L28" s="76">
        <v>-0.05704970965264167</v>
      </c>
      <c r="M28" s="76">
        <v>-0.05704970965264167</v>
      </c>
      <c r="N28" s="76">
        <v>-0.05704970965264167</v>
      </c>
      <c r="O28" s="76">
        <v>-0.057049709652638114</v>
      </c>
      <c r="P28" s="76">
        <v>-0.057049709652652325</v>
      </c>
      <c r="Q28" s="76">
        <v>-0.05704970965264167</v>
      </c>
      <c r="R28" s="76">
        <v>-0.05704970965264167</v>
      </c>
      <c r="S28" s="76">
        <v>-0.057049709652638114</v>
      </c>
      <c r="T28" s="76">
        <v>-0.05704970965264167</v>
      </c>
      <c r="U28" s="76">
        <v>-0.05704970965264522</v>
      </c>
      <c r="V28" s="76">
        <v>-0.05704970965264167</v>
      </c>
      <c r="W28" s="76">
        <v>-0.05704970965264167</v>
      </c>
      <c r="X28" s="76">
        <v>-0.05704970965264522</v>
      </c>
      <c r="Y28" s="76">
        <v>-0.05704970965264167</v>
      </c>
      <c r="Z28" s="76">
        <v>-0.05704970965264522</v>
      </c>
      <c r="AA28" s="76">
        <v>-0.05704970965264167</v>
      </c>
      <c r="AB28" s="76">
        <v>-0.057049709652638114</v>
      </c>
    </row>
    <row r="29" spans="1:28" x14ac:dyDescent="0.25">
      <c r="A29" t="s">
        <v>143</v>
      </c>
      <c r="B29" t="s">
        <v>8</v>
      </c>
      <c r="C29" s="76">
        <v>242.84229884459526</v>
      </c>
      <c r="D29" s="76">
        <v>0</v>
      </c>
      <c r="E29" s="76">
        <v>10.118429118524805</v>
      </c>
      <c r="F29" s="76">
        <v>10.118429118524805</v>
      </c>
      <c r="G29" s="76">
        <v>10.118429118524805</v>
      </c>
      <c r="H29" s="76">
        <v>10.118429118524805</v>
      </c>
      <c r="I29" s="76">
        <v>10.118429118524805</v>
      </c>
      <c r="J29" s="76">
        <v>10.118429118524805</v>
      </c>
      <c r="K29" s="76">
        <v>10.118429118524805</v>
      </c>
      <c r="L29" s="76">
        <v>10.118429118524805</v>
      </c>
      <c r="M29" s="76">
        <v>10.118429118524805</v>
      </c>
      <c r="N29" s="76">
        <v>10.118429118524805</v>
      </c>
      <c r="O29" s="76">
        <v>10.118429118524805</v>
      </c>
      <c r="P29" s="76">
        <v>10.118429118524805</v>
      </c>
      <c r="Q29" s="76">
        <v>10.118429118524805</v>
      </c>
      <c r="R29" s="76">
        <v>10.118429118524805</v>
      </c>
      <c r="S29" s="76">
        <v>10.118429118524805</v>
      </c>
      <c r="T29" s="76">
        <v>10.118429118524805</v>
      </c>
      <c r="U29" s="76">
        <v>10.118429118524805</v>
      </c>
      <c r="V29" s="76">
        <v>10.118429118524805</v>
      </c>
      <c r="W29" s="76">
        <v>10.118429118524805</v>
      </c>
      <c r="X29" s="76">
        <v>10.118429118524805</v>
      </c>
      <c r="Y29" s="76">
        <v>10.118429118524805</v>
      </c>
      <c r="Z29" s="76">
        <v>10.118429118524805</v>
      </c>
      <c r="AA29" s="76">
        <v>10.118429118524805</v>
      </c>
      <c r="AB29" s="76">
        <v>10.118429118524805</v>
      </c>
    </row>
    <row r="30" spans="1:28" s="14" customFormat="1" x14ac:dyDescent="0.25">
      <c r="A30" s="14" t="s">
        <v>351</v>
      </c>
      <c r="B30" s="14" t="s">
        <v>8</v>
      </c>
      <c r="C30" s="77">
        <v>4148.831258688584</v>
      </c>
      <c r="D30" s="77">
        <v>192.45955880134977</v>
      </c>
      <c r="E30" s="77">
        <v>211.11567395712822</v>
      </c>
      <c r="F30" s="77">
        <v>209.78736295264397</v>
      </c>
      <c r="G30" s="77">
        <v>208.41577322462805</v>
      </c>
      <c r="H30" s="77">
        <v>206.99874083690375</v>
      </c>
      <c r="I30" s="77">
        <v>205.53399365648576</v>
      </c>
      <c r="J30" s="77">
        <v>204.0191459437393</v>
      </c>
      <c r="K30" s="77">
        <v>202.45169267204793</v>
      </c>
      <c r="L30" s="77">
        <v>200.8290035634645</v>
      </c>
      <c r="M30" s="77">
        <v>199.14831682614437</v>
      </c>
      <c r="N30" s="77">
        <v>190.6210888128611</v>
      </c>
      <c r="O30" s="77">
        <v>153.47896723092538</v>
      </c>
      <c r="P30" s="77">
        <v>150.22023532225643</v>
      </c>
      <c r="Q30" s="77">
        <v>146.9976676814379</v>
      </c>
      <c r="R30" s="77">
        <v>143.7730599690645</v>
      </c>
      <c r="S30" s="77">
        <v>140.52230264987983</v>
      </c>
      <c r="T30" s="77">
        <v>138.86480760204577</v>
      </c>
      <c r="U30" s="77">
        <v>137.15471515634042</v>
      </c>
      <c r="V30" s="77">
        <v>135.38420981602766</v>
      </c>
      <c r="W30" s="77">
        <v>133.54715956027158</v>
      </c>
      <c r="X30" s="77">
        <v>131.63837031763663</v>
      </c>
      <c r="Y30" s="77">
        <v>129.6531350433809</v>
      </c>
      <c r="Z30" s="77">
        <v>127.58695937868455</v>
      </c>
      <c r="AA30" s="77">
        <v>125.4353930696823</v>
      </c>
      <c r="AB30" s="77">
        <v>123.19392464355283</v>
      </c>
    </row>
    <row r="31" spans="1:28" x14ac:dyDescent="0.25">
      <c r="A31" t="s">
        <v>209</v>
      </c>
      <c r="B31" t="s">
        <v>8</v>
      </c>
      <c r="C31" s="76">
        <v>1862.2785520570021</v>
      </c>
      <c r="D31" s="76">
        <v>169.62614718348664</v>
      </c>
      <c r="E31" s="76">
        <v>163.1298266530552</v>
      </c>
      <c r="F31" s="76">
        <v>156.63350612262383</v>
      </c>
      <c r="G31" s="76">
        <v>150.13718559219242</v>
      </c>
      <c r="H31" s="76">
        <v>143.64086506176102</v>
      </c>
      <c r="I31" s="76">
        <v>137.14454453132964</v>
      </c>
      <c r="J31" s="76">
        <v>130.64822400089824</v>
      </c>
      <c r="K31" s="76">
        <v>124.15190347046683</v>
      </c>
      <c r="L31" s="76">
        <v>117.65558294003543</v>
      </c>
      <c r="M31" s="76">
        <v>111.15926240960403</v>
      </c>
      <c r="N31" s="76">
        <v>104.66294187917262</v>
      </c>
      <c r="O31" s="76">
        <v>98.16662134874122</v>
      </c>
      <c r="P31" s="76">
        <v>91.67030081830981</v>
      </c>
      <c r="Q31" s="76">
        <v>85.17398028787841</v>
      </c>
      <c r="R31" s="76">
        <v>78.677659757447</v>
      </c>
      <c r="S31" s="76">
        <v>2.3021584638627244e-14</v>
      </c>
      <c r="T31" s="76">
        <v>2.3021584638627244e-14</v>
      </c>
      <c r="U31" s="76">
        <v>2.3021584638627244e-14</v>
      </c>
      <c r="V31" s="76">
        <v>2.3021584638627244e-14</v>
      </c>
      <c r="W31" s="76">
        <v>2.3021584638627244e-14</v>
      </c>
      <c r="X31" s="76">
        <v>2.3021584638627244e-14</v>
      </c>
      <c r="Y31" s="76">
        <v>2.3021584638627244e-14</v>
      </c>
      <c r="Z31" s="76">
        <v>2.3021584638627244e-14</v>
      </c>
      <c r="AA31" s="76">
        <v>2.3021584638627244e-14</v>
      </c>
      <c r="AB31" s="76">
        <v>2.3021584638627244e-14</v>
      </c>
    </row>
    <row r="32" spans="1:28" s="14" customFormat="1" x14ac:dyDescent="0.25">
      <c r="A32" s="14" t="s">
        <v>352</v>
      </c>
      <c r="B32" s="14" t="s">
        <v>8</v>
      </c>
      <c r="C32" s="77">
        <v>2469.8623996807214</v>
      </c>
      <c r="D32" s="77">
        <v>22.833411617863135</v>
      </c>
      <c r="E32" s="77">
        <v>47.98584730407302</v>
      </c>
      <c r="F32" s="77">
        <v>53.153856830020146</v>
      </c>
      <c r="G32" s="77">
        <v>58.27858763243563</v>
      </c>
      <c r="H32" s="77">
        <v>63.35787577514273</v>
      </c>
      <c r="I32" s="77">
        <v>68.38944912515612</v>
      </c>
      <c r="J32" s="77">
        <v>73.37092194284105</v>
      </c>
      <c r="K32" s="77">
        <v>78.29978920158109</v>
      </c>
      <c r="L32" s="77">
        <v>83.17342062342908</v>
      </c>
      <c r="M32" s="77">
        <v>87.98905441654034</v>
      </c>
      <c r="N32" s="77">
        <v>85.95814693368848</v>
      </c>
      <c r="O32" s="77">
        <v>55.31234588218416</v>
      </c>
      <c r="P32" s="77">
        <v>58.549934503946616</v>
      </c>
      <c r="Q32" s="77">
        <v>61.82368739355948</v>
      </c>
      <c r="R32" s="77">
        <v>65.09540021161749</v>
      </c>
      <c r="S32" s="77">
        <v>140.5223026498798</v>
      </c>
      <c r="T32" s="77">
        <v>138.86480760204574</v>
      </c>
      <c r="U32" s="77">
        <v>137.1547151563404</v>
      </c>
      <c r="V32" s="77">
        <v>135.38420981602764</v>
      </c>
      <c r="W32" s="77">
        <v>133.54715956027155</v>
      </c>
      <c r="X32" s="77">
        <v>131.6383703176366</v>
      </c>
      <c r="Y32" s="77">
        <v>129.65313504338087</v>
      </c>
      <c r="Z32" s="77">
        <v>127.58695937868453</v>
      </c>
      <c r="AA32" s="77">
        <v>125.43539306968228</v>
      </c>
      <c r="AB32" s="77">
        <v>306.50361769269375</v>
      </c>
    </row>
    <row r="33" spans="1:28" x14ac:dyDescent="0.25">
      <c r="A33" t="s">
        <v>233</v>
      </c>
      <c r="B33" t="s">
        <v>86</v>
      </c>
      <c r="D33" s="76">
        <v>-441.1894834129515</v>
      </c>
      <c r="E33" s="76">
        <v>-393.2036361088785</v>
      </c>
      <c r="F33" s="76">
        <v>-340.0497792788584</v>
      </c>
      <c r="G33" s="76">
        <v>-281.7711916464228</v>
      </c>
      <c r="H33" s="76">
        <v>-218.41331587128005</v>
      </c>
      <c r="I33" s="76">
        <v>-150.02386674612393</v>
      </c>
      <c r="J33" s="76">
        <v>-76.65294480328288</v>
      </c>
      <c r="K33" s="76">
        <v>1.6468443982982137</v>
      </c>
      <c r="L33" s="76">
        <v>84.8202650217273</v>
      </c>
      <c r="M33" s="76">
        <v>172.80931943826764</v>
      </c>
      <c r="N33" s="76">
        <v>258.7674663719561</v>
      </c>
      <c r="O33" s="76">
        <v>314.0798122541403</v>
      </c>
      <c r="P33" s="76">
        <v>372.62974675808687</v>
      </c>
      <c r="Q33" s="76">
        <v>434.4534341516463</v>
      </c>
      <c r="R33" s="76">
        <v>499.54883436326384</v>
      </c>
      <c r="S33" s="76">
        <v>640.0711370131437</v>
      </c>
      <c r="T33" s="76">
        <v>778.9359446151894</v>
      </c>
      <c r="U33" s="76">
        <v>916.0906597715298</v>
      </c>
      <c r="V33" s="76">
        <v>1051.4748695875574</v>
      </c>
      <c r="W33" s="76">
        <v>1185.022029147829</v>
      </c>
      <c r="X33" s="76">
        <v>1316.6603994654656</v>
      </c>
      <c r="Y33" s="76">
        <v>1446.3135345088465</v>
      </c>
      <c r="Z33" s="76">
        <v>1573.900493887531</v>
      </c>
      <c r="AA33" s="76">
        <v>1699.3358869572132</v>
      </c>
      <c r="AB33" s="76">
        <v>2005.839504649907</v>
      </c>
    </row>
    <row r="34" spans="1:28" x14ac:dyDescent="0.25">
      <c r="A34" t="s">
        <v>353</v>
      </c>
      <c r="B34" t="s">
        <v>8</v>
      </c>
      <c r="C34" s="76">
        <v>3995.054700149657</v>
      </c>
      <c r="D34" s="76">
        <v>192.45955880134977</v>
      </c>
      <c r="E34" s="76">
        <v>211.11567395712822</v>
      </c>
      <c r="F34" s="76">
        <v>209.78736295264397</v>
      </c>
      <c r="G34" s="76">
        <v>189.0586059079618</v>
      </c>
      <c r="H34" s="76">
        <v>174.76355121540652</v>
      </c>
      <c r="I34" s="76">
        <v>165.72666728620698</v>
      </c>
      <c r="J34" s="76">
        <v>159.82861857430314</v>
      </c>
      <c r="K34" s="76">
        <v>155.7970003900231</v>
      </c>
      <c r="L34" s="76">
        <v>152.8675263894261</v>
      </c>
      <c r="M34" s="76">
        <v>150.58073905950303</v>
      </c>
      <c r="N34" s="76">
        <v>148.66003390047163</v>
      </c>
      <c r="O34" s="76">
        <v>146.938471720887</v>
      </c>
      <c r="P34" s="76">
        <v>145.31486368972767</v>
      </c>
      <c r="Q34" s="76">
        <v>143.72741992641872</v>
      </c>
      <c r="R34" s="76">
        <v>142.1379360915549</v>
      </c>
      <c r="S34" s="76">
        <v>140.52230264987983</v>
      </c>
      <c r="T34" s="76">
        <v>138.86480760204577</v>
      </c>
      <c r="U34" s="76">
        <v>137.15471515634042</v>
      </c>
      <c r="V34" s="76">
        <v>135.38420981602766</v>
      </c>
      <c r="W34" s="76">
        <v>133.54715956027158</v>
      </c>
      <c r="X34" s="76">
        <v>131.63837031763663</v>
      </c>
      <c r="Y34" s="76">
        <v>129.6531350433809</v>
      </c>
      <c r="Z34" s="76">
        <v>127.58695937868455</v>
      </c>
      <c r="AA34" s="76">
        <v>125.43539306968228</v>
      </c>
      <c r="AB34" s="76">
        <v>306.50361769269404</v>
      </c>
    </row>
    <row r="35" spans="1:1" s="5" customFormat="1" x14ac:dyDescent="0.25">
      <c r="A35" s="5" t="s">
        <v>94</v>
      </c>
    </row>
    <row r="36" spans="1:28" x14ac:dyDescent="0.25">
      <c r="A36" t="s">
        <v>205</v>
      </c>
      <c r="B36" t="s">
        <v>86</v>
      </c>
      <c r="D36" s="76">
        <v>1082.7200884052338</v>
      </c>
      <c r="E36" s="76">
        <v>1010.5387491782183</v>
      </c>
      <c r="F36" s="76">
        <v>938.3574099512027</v>
      </c>
      <c r="G36" s="76">
        <v>866.1760707241872</v>
      </c>
      <c r="H36" s="76">
        <v>793.9947314971716</v>
      </c>
      <c r="I36" s="76">
        <v>721.8133922701561</v>
      </c>
      <c r="J36" s="76">
        <v>649.6320530431406</v>
      </c>
      <c r="K36" s="76">
        <v>577.450713816125</v>
      </c>
      <c r="L36" s="76">
        <v>505.2693745891094</v>
      </c>
      <c r="M36" s="76">
        <v>433.0880353620938</v>
      </c>
      <c r="N36" s="76">
        <v>360.9066961350782</v>
      </c>
      <c r="O36" s="76">
        <v>288.7253569080626</v>
      </c>
      <c r="P36" s="76">
        <v>216.54401768104702</v>
      </c>
      <c r="Q36" s="76">
        <v>144.36267845403142</v>
      </c>
      <c r="R36" s="76">
        <v>72.18133922701584</v>
      </c>
      <c r="S36" s="76">
        <v>2.5579538487363607e-13</v>
      </c>
      <c r="T36" s="76">
        <v>2.5579538487363607e-13</v>
      </c>
      <c r="U36" s="76">
        <v>2.5579538487363607e-13</v>
      </c>
      <c r="V36" s="76">
        <v>2.5579538487363607e-13</v>
      </c>
      <c r="W36" s="76">
        <v>2.5579538487363607e-13</v>
      </c>
      <c r="X36" s="76">
        <v>2.5579538487363607e-13</v>
      </c>
      <c r="Y36" s="76">
        <v>2.5579538487363607e-13</v>
      </c>
      <c r="Z36" s="76">
        <v>2.5579538487363607e-13</v>
      </c>
      <c r="AA36" s="76">
        <v>2.5579538487363607e-13</v>
      </c>
      <c r="AB36" s="76">
        <v>2.5579538487363607e-13</v>
      </c>
    </row>
    <row r="37" spans="1:28" x14ac:dyDescent="0.25">
      <c r="A37" t="s">
        <v>206</v>
      </c>
      <c r="B37" t="s">
        <v>8</v>
      </c>
      <c r="C37" s="76">
        <v>779.5584636517686</v>
      </c>
      <c r="D37" s="76">
        <v>97.44480795647104</v>
      </c>
      <c r="E37" s="76">
        <v>90.94848742603963</v>
      </c>
      <c r="F37" s="76">
        <v>84.45216689560824</v>
      </c>
      <c r="G37" s="76">
        <v>77.95584636517684</v>
      </c>
      <c r="H37" s="76">
        <v>71.45952583474545</v>
      </c>
      <c r="I37" s="76">
        <v>64.96320530431404</v>
      </c>
      <c r="J37" s="76">
        <v>58.46688477388265</v>
      </c>
      <c r="K37" s="76">
        <v>51.97056424345125</v>
      </c>
      <c r="L37" s="76">
        <v>45.474243713019845</v>
      </c>
      <c r="M37" s="76">
        <v>38.97792318258844</v>
      </c>
      <c r="N37" s="76">
        <v>32.48160265215704</v>
      </c>
      <c r="O37" s="76">
        <v>25.985282121725636</v>
      </c>
      <c r="P37" s="76">
        <v>19.48896159129423</v>
      </c>
      <c r="Q37" s="76">
        <v>12.992641060862828</v>
      </c>
      <c r="R37" s="76">
        <v>6.496320530431426</v>
      </c>
      <c r="S37" s="76">
        <v>2.3021584638627244e-14</v>
      </c>
      <c r="T37" s="76">
        <v>2.3021584638627244e-14</v>
      </c>
      <c r="U37" s="76">
        <v>2.3021584638627244e-14</v>
      </c>
      <c r="V37" s="76">
        <v>2.3021584638627244e-14</v>
      </c>
      <c r="W37" s="76">
        <v>2.3021584638627244e-14</v>
      </c>
      <c r="X37" s="76">
        <v>2.3021584638627244e-14</v>
      </c>
      <c r="Y37" s="76">
        <v>2.3021584638627244e-14</v>
      </c>
      <c r="Z37" s="76">
        <v>2.3021584638627244e-14</v>
      </c>
      <c r="AA37" s="76">
        <v>2.3021584638627244e-14</v>
      </c>
      <c r="AB37" s="76">
        <v>2.3021584638627244e-14</v>
      </c>
    </row>
    <row r="38" spans="1:28" x14ac:dyDescent="0.25">
      <c r="A38" t="s">
        <v>207</v>
      </c>
      <c r="B38" t="s">
        <v>8</v>
      </c>
      <c r="C38" s="76">
        <v>1082.7200884052336</v>
      </c>
      <c r="D38" s="76">
        <v>72.18133922701558</v>
      </c>
      <c r="E38" s="76">
        <v>72.18133922701558</v>
      </c>
      <c r="F38" s="76">
        <v>72.18133922701558</v>
      </c>
      <c r="G38" s="76">
        <v>72.18133922701558</v>
      </c>
      <c r="H38" s="76">
        <v>72.18133922701558</v>
      </c>
      <c r="I38" s="76">
        <v>72.18133922701558</v>
      </c>
      <c r="J38" s="76">
        <v>72.18133922701558</v>
      </c>
      <c r="K38" s="76">
        <v>72.18133922701558</v>
      </c>
      <c r="L38" s="76">
        <v>72.18133922701558</v>
      </c>
      <c r="M38" s="76">
        <v>72.18133922701558</v>
      </c>
      <c r="N38" s="76">
        <v>72.18133922701558</v>
      </c>
      <c r="O38" s="76">
        <v>72.18133922701558</v>
      </c>
      <c r="P38" s="76">
        <v>72.18133922701558</v>
      </c>
      <c r="Q38" s="76">
        <v>72.18133922701558</v>
      </c>
      <c r="R38" s="76">
        <v>72.18133922701558</v>
      </c>
      <c r="S38" s="76">
        <v>0</v>
      </c>
      <c r="T38" s="76">
        <v>0</v>
      </c>
      <c r="U38" s="76">
        <v>0</v>
      </c>
      <c r="V38" s="76">
        <v>0</v>
      </c>
      <c r="W38" s="76">
        <v>0</v>
      </c>
      <c r="X38" s="76">
        <v>0</v>
      </c>
      <c r="Y38" s="76">
        <v>0</v>
      </c>
      <c r="Z38" s="76">
        <v>0</v>
      </c>
      <c r="AA38" s="76">
        <v>0</v>
      </c>
      <c r="AB38" s="76">
        <v>0</v>
      </c>
    </row>
    <row r="39" spans="1:28" x14ac:dyDescent="0.25">
      <c r="A39" t="s">
        <v>208</v>
      </c>
      <c r="B39" t="s">
        <v>86</v>
      </c>
      <c r="D39" s="76">
        <v>1010.5387491782183</v>
      </c>
      <c r="E39" s="76">
        <v>938.3574099512027</v>
      </c>
      <c r="F39" s="76">
        <v>866.1760707241872</v>
      </c>
      <c r="G39" s="76">
        <v>793.9947314971716</v>
      </c>
      <c r="H39" s="76">
        <v>721.8133922701561</v>
      </c>
      <c r="I39" s="76">
        <v>649.6320530431406</v>
      </c>
      <c r="J39" s="76">
        <v>577.450713816125</v>
      </c>
      <c r="K39" s="76">
        <v>505.2693745891094</v>
      </c>
      <c r="L39" s="76">
        <v>433.0880353620938</v>
      </c>
      <c r="M39" s="76">
        <v>360.9066961350782</v>
      </c>
      <c r="N39" s="76">
        <v>288.7253569080626</v>
      </c>
      <c r="O39" s="76">
        <v>216.54401768104702</v>
      </c>
      <c r="P39" s="76">
        <v>144.36267845403142</v>
      </c>
      <c r="Q39" s="76">
        <v>72.18133922701584</v>
      </c>
      <c r="R39" s="76">
        <v>2.5579538487363607e-13</v>
      </c>
      <c r="S39" s="76">
        <v>2.5579538487363607e-13</v>
      </c>
      <c r="T39" s="76">
        <v>2.5579538487363607e-13</v>
      </c>
      <c r="U39" s="76">
        <v>2.5579538487363607e-13</v>
      </c>
      <c r="V39" s="76">
        <v>2.5579538487363607e-13</v>
      </c>
      <c r="W39" s="76">
        <v>2.5579538487363607e-13</v>
      </c>
      <c r="X39" s="76">
        <v>2.5579538487363607e-13</v>
      </c>
      <c r="Y39" s="76">
        <v>2.5579538487363607e-13</v>
      </c>
      <c r="Z39" s="76">
        <v>2.5579538487363607e-13</v>
      </c>
      <c r="AA39" s="76">
        <v>2.5579538487363607e-13</v>
      </c>
      <c r="AB39" s="76">
        <v>2.5579538487363607e-13</v>
      </c>
    </row>
    <row r="40" spans="1:28" x14ac:dyDescent="0.25">
      <c r="A40" t="s">
        <v>229</v>
      </c>
      <c r="B40" t="s">
        <v>88</v>
      </c>
      <c r="D40" s="78">
        <v>1.1346102119101011</v>
      </c>
      <c r="E40" s="78">
        <v>1.294157410012636</v>
      </c>
      <c r="F40" s="78">
        <v>1.3393517654416005</v>
      </c>
      <c r="G40" s="78">
        <v>1.388168909671278</v>
      </c>
      <c r="H40" s="78">
        <v>1.4410853119542328</v>
      </c>
      <c r="I40" s="78">
        <v>1.4986669310023708</v>
      </c>
      <c r="J40" s="78">
        <v>1.5615914223398597</v>
      </c>
      <c r="K40" s="78">
        <v>1.6306773155532568</v>
      </c>
      <c r="L40" s="78">
        <v>1.7069228552105293</v>
      </c>
      <c r="M40" s="78">
        <v>1.791558458640314</v>
      </c>
      <c r="N40" s="78">
        <v>1.8212854080952765</v>
      </c>
      <c r="O40" s="78">
        <v>1.563453698642481</v>
      </c>
      <c r="P40" s="78">
        <v>1.638701236728702</v>
      </c>
      <c r="Q40" s="78">
        <v>1.7258518057345966</v>
      </c>
      <c r="R40" s="78">
        <v>1.8273682823345043</v>
      </c>
    </row>
    <row r="42" spans="1:1" s="5" customFormat="1" x14ac:dyDescent="0.25">
      <c r="A42" s="5" t="s">
        <v>354</v>
      </c>
    </row>
    <row r="43" spans="1:28" s="67" customFormat="1" x14ac:dyDescent="0.25">
      <c r="A43" s="67" t="s">
        <v>224</v>
      </c>
      <c r="B43" s="67" t="s">
        <v>74</v>
      </c>
      <c r="C43" s="67" t="s">
        <v>76</v>
      </c>
      <c r="D43" s="67" t="s">
        <v>323</v>
      </c>
      <c r="E43" s="67" t="s">
        <v>324</v>
      </c>
      <c r="F43" s="67" t="s">
        <v>325</v>
      </c>
      <c r="G43" s="67" t="s">
        <v>326</v>
      </c>
      <c r="H43" s="67" t="s">
        <v>327</v>
      </c>
      <c r="I43" s="67" t="s">
        <v>328</v>
      </c>
      <c r="J43" s="67" t="s">
        <v>329</v>
      </c>
      <c r="K43" s="67" t="s">
        <v>330</v>
      </c>
      <c r="L43" s="67" t="s">
        <v>331</v>
      </c>
      <c r="M43" s="67" t="s">
        <v>332</v>
      </c>
      <c r="N43" s="67" t="s">
        <v>333</v>
      </c>
      <c r="O43" s="67" t="s">
        <v>334</v>
      </c>
      <c r="P43" s="67" t="s">
        <v>335</v>
      </c>
      <c r="Q43" s="67" t="s">
        <v>336</v>
      </c>
      <c r="R43" s="67" t="s">
        <v>337</v>
      </c>
      <c r="S43" s="67" t="s">
        <v>338</v>
      </c>
      <c r="T43" s="67" t="s">
        <v>339</v>
      </c>
      <c r="U43" s="67" t="s">
        <v>340</v>
      </c>
      <c r="V43" s="67" t="s">
        <v>341</v>
      </c>
      <c r="W43" s="67" t="s">
        <v>342</v>
      </c>
      <c r="X43" s="67" t="s">
        <v>343</v>
      </c>
      <c r="Y43" s="67" t="s">
        <v>344</v>
      </c>
      <c r="Z43" s="67" t="s">
        <v>345</v>
      </c>
      <c r="AA43" s="67" t="s">
        <v>346</v>
      </c>
      <c r="AB43" s="67" t="s">
        <v>347</v>
      </c>
    </row>
    <row r="44" spans="1:28" x14ac:dyDescent="0.25">
      <c r="A44" t="s">
        <v>355</v>
      </c>
      <c r="B44" t="s">
        <v>86</v>
      </c>
      <c r="C44" s="76">
        <v>-464.02289503081465</v>
      </c>
      <c r="D44" s="76">
        <v>22.833411617863135</v>
      </c>
      <c r="E44" s="76">
        <v>47.98584730407302</v>
      </c>
      <c r="F44" s="76">
        <v>53.153856830020146</v>
      </c>
      <c r="G44" s="76">
        <v>58.27858763243563</v>
      </c>
      <c r="H44" s="76">
        <v>63.35787577514273</v>
      </c>
      <c r="I44" s="76">
        <v>68.38944912515612</v>
      </c>
      <c r="J44" s="76">
        <v>73.37092194284105</v>
      </c>
      <c r="K44" s="76">
        <v>78.29978920158109</v>
      </c>
      <c r="L44" s="76">
        <v>83.17342062342908</v>
      </c>
      <c r="M44" s="76">
        <v>87.98905441654034</v>
      </c>
      <c r="N44" s="76">
        <v>85.95814693368848</v>
      </c>
      <c r="O44" s="76">
        <v>55.31234588218416</v>
      </c>
      <c r="P44" s="76">
        <v>58.549934503946616</v>
      </c>
      <c r="Q44" s="76">
        <v>61.82368739355948</v>
      </c>
      <c r="R44" s="76">
        <v>65.09540021161749</v>
      </c>
      <c r="S44" s="76">
        <v>140.5223026498798</v>
      </c>
      <c r="T44" s="76">
        <v>138.86480760204574</v>
      </c>
      <c r="U44" s="76">
        <v>137.1547151563404</v>
      </c>
      <c r="V44" s="76">
        <v>135.38420981602764</v>
      </c>
      <c r="W44" s="76">
        <v>133.54715956027155</v>
      </c>
      <c r="X44" s="76">
        <v>131.6383703176366</v>
      </c>
      <c r="Y44" s="76">
        <v>129.65313504338087</v>
      </c>
      <c r="Z44" s="76">
        <v>127.58695937868453</v>
      </c>
      <c r="AA44" s="76">
        <v>125.43539306968228</v>
      </c>
      <c r="AB44" s="76">
        <v>306.50361769269375</v>
      </c>
    </row>
    <row r="45" spans="1:28" x14ac:dyDescent="0.25">
      <c r="A45" t="s">
        <v>353</v>
      </c>
      <c r="B45" t="s">
        <v>86</v>
      </c>
      <c r="C45" s="76">
        <v>-1546.7429834360485</v>
      </c>
      <c r="D45" s="76">
        <v>192.45955880134977</v>
      </c>
      <c r="E45" s="76">
        <v>211.11567395712822</v>
      </c>
      <c r="F45" s="76">
        <v>209.78736295264397</v>
      </c>
      <c r="G45" s="76">
        <v>189.0586059079618</v>
      </c>
      <c r="H45" s="76">
        <v>174.76355121540652</v>
      </c>
      <c r="I45" s="76">
        <v>165.72666728620698</v>
      </c>
      <c r="J45" s="76">
        <v>159.82861857430314</v>
      </c>
      <c r="K45" s="76">
        <v>155.7970003900231</v>
      </c>
      <c r="L45" s="76">
        <v>152.8675263894261</v>
      </c>
      <c r="M45" s="76">
        <v>150.58073905950303</v>
      </c>
      <c r="N45" s="76">
        <v>148.66003390047163</v>
      </c>
      <c r="O45" s="76">
        <v>146.938471720887</v>
      </c>
      <c r="P45" s="76">
        <v>145.31486368972767</v>
      </c>
      <c r="Q45" s="76">
        <v>143.72741992641872</v>
      </c>
      <c r="R45" s="76">
        <v>142.1379360915549</v>
      </c>
      <c r="S45" s="76">
        <v>140.52230264987983</v>
      </c>
      <c r="T45" s="76">
        <v>138.86480760204577</v>
      </c>
      <c r="U45" s="76">
        <v>137.15471515634042</v>
      </c>
      <c r="V45" s="76">
        <v>135.38420981602766</v>
      </c>
      <c r="W45" s="76">
        <v>133.54715956027158</v>
      </c>
      <c r="X45" s="76">
        <v>131.63837031763663</v>
      </c>
      <c r="Y45" s="76">
        <v>129.6531350433809</v>
      </c>
      <c r="Z45" s="76">
        <v>127.58695937868455</v>
      </c>
      <c r="AA45" s="76">
        <v>125.43539306968228</v>
      </c>
      <c r="AB45" s="76">
        <v>306.50361769269404</v>
      </c>
    </row>
    <row r="46" spans="1:3" x14ac:dyDescent="0.25">
      <c r="A46" t="s">
        <v>7</v>
      </c>
      <c r="B46" s="7">
        <v>0.13999999993597156</v>
      </c>
      <c r="C46" t="s">
        <v>8</v>
      </c>
    </row>
    <row r="47" spans="1:3" x14ac:dyDescent="0.25">
      <c r="A47" t="s">
        <v>9</v>
      </c>
      <c r="B47" s="7">
        <v>0.09960296833771282</v>
      </c>
      <c r="C47" t="s">
        <v>8</v>
      </c>
    </row>
    <row r="48" spans="1:3" x14ac:dyDescent="0.25">
      <c r="A48" t="s">
        <v>10</v>
      </c>
      <c r="B48" s="8">
        <v>1.0125233984581428e-13</v>
      </c>
      <c r="C48" t="s">
        <v>8</v>
      </c>
    </row>
    <row r="49" spans="1:3" x14ac:dyDescent="0.25">
      <c r="A49" t="s">
        <v>11</v>
      </c>
      <c r="B49" s="9">
        <v>1.1346102119101011</v>
      </c>
      <c r="C49" t="s">
        <v>8</v>
      </c>
    </row>
    <row r="50" spans="1:3" x14ac:dyDescent="0.25">
      <c r="A50" t="s">
        <v>12</v>
      </c>
      <c r="B50" s="9">
        <v>1.557563401551449</v>
      </c>
      <c r="C50" t="s">
        <v>8</v>
      </c>
    </row>
    <row r="51" spans="1:3" x14ac:dyDescent="0.25">
      <c r="A51" t="s">
        <v>13</v>
      </c>
      <c r="B51" s="10">
        <v>8</v>
      </c>
      <c r="C51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Live model</vt:lpstr>
      <vt:lpstr>Tender conditions</vt:lpstr>
      <vt:lpstr>Inputs</vt:lpstr>
      <vt:lpstr>Plant and capex</vt:lpstr>
      <vt:lpstr>Revenue and costs (values)</vt:lpstr>
      <vt:lpstr>Financial model (values)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TenderOS · Tender to Bid</dc:creator>
  <dc:title/>
  <dc:subject/>
  <dc:description/>
  <cp:keywords/>
  <cp:category/>
  <cp:lastModifiedBy>Unknown</cp:lastModifiedBy>
  <dcterms:created xsi:type="dcterms:W3CDTF">2026-10-24T16:56:06Z</dcterms:created>
  <dcterms:modified xsi:type="dcterms:W3CDTF">2026-10-24T16:56:06Z</dcterms:modified>
</cp:coreProperties>
</file>