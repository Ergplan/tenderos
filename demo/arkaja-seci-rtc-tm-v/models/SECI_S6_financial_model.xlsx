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ve model" state="visible" r:id="rId5"/>
    <sheet sheetId="3" name="Tender conditions" state="visible" r:id="rId6"/>
    <sheet sheetId="4" name="Inputs" state="visible" r:id="rId7"/>
    <sheet sheetId="5" name="Plant and capex" state="visible" r:id="rId8"/>
    <sheet sheetId="6" name="Revenue and costs (values)" state="visible" r:id="rId9"/>
    <sheet sheetId="7" name="Financial model (values)" state="visible" r:id="rId10"/>
  </sheets>
  <definedNames>
    <definedName name="_xlnm.Print_Titles" localSheetId="1">'Live model'!$5:$5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49" authorId="0">
      <text>
        <r>
          <t>Escalates with O&amp;M</t>
        </r>
      </text>
    </comment>
    <comment ref="A55" authorId="0">
      <text>
        <r>
          <t>On the energy short of each time-block's floor, at this multiple of the year's tariff (SECI RTC-TM: 1.5)</t>
        </r>
      </text>
    </comment>
    <comment ref="A70" authorId="0">
      <text>
        <r>
          <t>wdv: written-down value at the WDV rate; slm: the book depreciation</t>
        </r>
      </text>
    </comment>
    <comment ref="A87" authorId="0">
      <text>
        <r>
          <t>The PPA term the optimiser dispatched; one column per year</t>
        </r>
      </text>
    </comment>
    <comment ref="A99" authorId="0">
      <text>
        <r>
          <t>Each hour's energy below its floor (peak and off-peak blocks), from the dispatch</t>
        </r>
      </text>
    </comment>
    <comment ref="A111" authorId="0">
      <text>
        <r>
          <t>Delivered MU × tariff ₹/kWh ÷ 10 = ₹ crore</t>
        </r>
      </text>
    </comment>
    <comment ref="A114" authorId="0">
      <text>
        <r>
          <t>Energy short of the block floors × multiple × the year's tariff</t>
        </r>
      </text>
    </comment>
    <comment ref="A118" authorId="0">
      <text>
        <r>
          <t>Size × ₹ lakh ÷ 100 = ₹ crore, escalated</t>
        </r>
      </text>
    </comment>
    <comment ref="A119" authorId="0">
      <text>
        <r>
          <t>Size × ₹ lakh ÷ 100 = ₹ crore, escalated</t>
        </r>
      </text>
    </comment>
    <comment ref="A120" authorId="0">
      <text>
        <r>
          <t>Size × ₹ lakh ÷ 100 = ₹ crore, escalated</t>
        </r>
      </text>
    </comment>
    <comment ref="A128" authorId="0">
      <text>
        <r>
          <t>annual: each year from year 2 replaces the year's fade (MWh × fade × the year's battery price); oneTime: the fade to that year (at most 60%), once</t>
        </r>
      </text>
    </comment>
    <comment ref="A132" authorId="0">
      <text>
        <r>
          <t>Augmentation is depreciated over the years left</t>
        </r>
      </text>
    </comment>
    <comment ref="A154" authorId="0">
      <text>
        <r>
          <t>EBITDA − interest − tax depreciation</t>
        </r>
      </text>
    </comment>
    <comment ref="A163" authorId="0">
      <text>
        <r>
          <t>Revenue × receivable days ÷ 365, held at the year end</t>
        </r>
      </text>
    </comment>
    <comment ref="A165" authorId="0">
      <text>
        <r>
          <t>EBITDA − tax − working capital − battery augmentation</t>
        </r>
      </text>
    </comment>
    <comment ref="A172" authorId="0">
      <text>
        <r>
          <t>The payback year is the first year marked here</t>
        </r>
      </text>
    </comment>
    <comment ref="A173" authorId="0">
      <text>
        <r>
          <t>The project IRR's tax: no interest shield, no losses carried</t>
        </r>
      </text>
    </comment>
  </commentList>
</comments>
</file>

<file path=xl/sharedStrings.xml><?xml version="1.0" encoding="utf-8"?>
<sst xmlns="http://schemas.openxmlformats.org/spreadsheetml/2006/main" count="933" uniqueCount="361">
  <si>
    <t>SECI RTC-TM · bid financial model</t>
  </si>
  <si>
    <t>SECI/C&amp;P/IPP/13/0020/25-26 · 50 MW round the clock · 25 years</t>
  </si>
  <si>
    <t>Prepared 2026-10-24 by Demo · Tender to Bid (TenderOS)</t>
  </si>
  <si>
    <t>The key results below are linked to the Live model tab: change an input there (blue cells) and they follow.</t>
  </si>
  <si>
    <t>Key results</t>
  </si>
  <si>
    <t>Bid tariff (₹/kWh)</t>
  </si>
  <si>
    <t>Tariff that gives the 14.00% target equity IRR</t>
  </si>
  <si>
    <t>Equity IRR</t>
  </si>
  <si>
    <t/>
  </si>
  <si>
    <t>Project IRR</t>
  </si>
  <si>
    <t>Equity NPV at the target IRR (₹ cr)</t>
  </si>
  <si>
    <t>Minimum DSCR</t>
  </si>
  <si>
    <t>Average DSCR</t>
  </si>
  <si>
    <t>Equity payback (year)</t>
  </si>
  <si>
    <t>Project cost (₹ cr)</t>
  </si>
  <si>
    <t>₹31.64 cr per contracted MW</t>
  </si>
  <si>
    <t>Debt (₹ cr)</t>
  </si>
  <si>
    <t>Equity (₹ cr)</t>
  </si>
  <si>
    <t>Levelised cost of supply (₹/kWh)</t>
  </si>
  <si>
    <t>at a 10.0% discount rate</t>
  </si>
  <si>
    <t>Least-tariff sizing (HiGHS, ₹/kWh)</t>
  </si>
  <si>
    <t>Screening tariff of the sizing; the bid tariff is from the full financial model</t>
  </si>
  <si>
    <t>Year-1 supply (MU)</t>
  </si>
  <si>
    <t>88.9% of contracted</t>
  </si>
  <si>
    <t>Year-1 market sale (MU)</t>
  </si>
  <si>
    <t>Revenue over 25 years (₹ cr)</t>
  </si>
  <si>
    <t>Tender conditions</t>
  </si>
  <si>
    <t>5 met, 0 not met</t>
  </si>
  <si>
    <t>Plant</t>
  </si>
  <si>
    <t>Contracted capacity (MW)</t>
  </si>
  <si>
    <t>bid capacity</t>
  </si>
  <si>
    <t>Solar (MW)</t>
  </si>
  <si>
    <t>sized by the optimizer</t>
  </si>
  <si>
    <t>Wind (MW)</t>
  </si>
  <si>
    <t>Battery power (MW)</t>
  </si>
  <si>
    <t>Battery energy (MWh)</t>
  </si>
  <si>
    <t>Key inputs</t>
  </si>
  <si>
    <t>Bid capacity (MW)</t>
  </si>
  <si>
    <t>Solar</t>
  </si>
  <si>
    <t>CUF (AC) 25.0% · Capex per MWac 4 ₹ cr/MWac · O&amp;M per MWac 4 ₹ lakh/MWac/yr</t>
  </si>
  <si>
    <t>Wind</t>
  </si>
  <si>
    <t>CUF 33.0% · Capex 6.5 ₹ cr/MW · O&amp;M 9 ₹ lakh/MW/yr</t>
  </si>
  <si>
    <t>Battery storage</t>
  </si>
  <si>
    <t>Discharge duration 4 hours · Round-trip efficiency 87.0% · Capex 1.2 ₹ cr/MWh · O&amp;M 1.2 ₹ lakh/MWh/yr</t>
  </si>
  <si>
    <t>Financing</t>
  </si>
  <si>
    <t>equity IRR 14.0% · debt 70% at 9.00% for 15 years · tax 25.17%</t>
  </si>
  <si>
    <t>Market sale</t>
  </si>
  <si>
    <t>none</t>
  </si>
  <si>
    <t>Tender</t>
  </si>
  <si>
    <t>Procurer</t>
  </si>
  <si>
    <t>Solar Energy Corporation of India Limited (SECI)</t>
  </si>
  <si>
    <t>SECI/C&amp;P/IPP/13/0020/25-26</t>
  </si>
  <si>
    <t>Supply of 1000 MW Round-the-Clock Thermal Mimic (RTC-TM) power from ISTS-connected RE projects</t>
  </si>
  <si>
    <t>Capacity</t>
  </si>
  <si>
    <t>1000 MW</t>
  </si>
  <si>
    <t>Supply floors</t>
  </si>
  <si>
    <t>Peak Hours floor (every block) 90% · Off-peak floor (every block) 70%</t>
  </si>
  <si>
    <t>Least green share</t>
  </si>
  <si>
    <t>Not stated</t>
  </si>
  <si>
    <t>Mandatory solar</t>
  </si>
  <si>
    <t>PPA term</t>
  </si>
  <si>
    <t>25 years</t>
  </si>
  <si>
    <t>Supply start</t>
  </si>
  <si>
    <t>07.08.2028</t>
  </si>
  <si>
    <t>Ceiling tariff</t>
  </si>
  <si>
    <t>Every tender condition comes from the tender reading, with its page and quote (sheet Tender conditions).</t>
  </si>
  <si>
    <t>Inputs marked "Industry benchmark" are industry benchmark (CERC norms, 2025–26 market prices), not from the tender; the rest are the bidder's own (sheet Inputs).</t>
  </si>
  <si>
    <t>Every number below is a formula on the blue inputs and the optimiser's energy (green). Change a blue cell: the whole model, the returns and the Cover move with it.</t>
  </si>
  <si>
    <t>Colour key</t>
  </si>
  <si>
    <t>Input</t>
  </si>
  <si>
    <t>Optimiser</t>
  </si>
  <si>
    <t>Formula</t>
  </si>
  <si>
    <t>The optimiser's energy comes from the hourly HiGHS dispatch of every year; changing a plant size here moves its cost, not its energy (size the plant again in TenderOS for that).</t>
  </si>
  <si>
    <t>₹ crore unless stated</t>
  </si>
  <si>
    <t>Unit</t>
  </si>
  <si>
    <t>Total / value</t>
  </si>
  <si>
    <t>Year 0</t>
  </si>
  <si>
    <t>This workbook</t>
  </si>
  <si>
    <t>App</t>
  </si>
  <si>
    <t>Difference</t>
  </si>
  <si>
    <t>Same as app?</t>
  </si>
  <si>
    <t>Bid tariff</t>
  </si>
  <si>
    <t>₹/kWh</t>
  </si>
  <si>
    <t>%</t>
  </si>
  <si>
    <t>Equity IRR less the target</t>
  </si>
  <si>
    <t>Equity NPV at the target IRR</t>
  </si>
  <si>
    <t>₹ cr</t>
  </si>
  <si>
    <t>Project NPV at the discount rate</t>
  </si>
  <si>
    <t>×</t>
  </si>
  <si>
    <t>Levelised cost of supply</t>
  </si>
  <si>
    <t>Levelised tariff</t>
  </si>
  <si>
    <t>Equity payback</t>
  </si>
  <si>
    <t>year</t>
  </si>
  <si>
    <t>Project cost</t>
  </si>
  <si>
    <t>Debt</t>
  </si>
  <si>
    <t>Equity</t>
  </si>
  <si>
    <t>Revenue over 25 years</t>
  </si>
  <si>
    <t>Model checks</t>
  </si>
  <si>
    <t>To price the bid again after changing an input: Data › What-If Analysis › Goal Seek, set the cell "Equity IRR less the target" to 0 by changing the bid tariff.</t>
  </si>
  <si>
    <t>Inputs</t>
  </si>
  <si>
    <t>Tariff</t>
  </si>
  <si>
    <t>Solved in TenderOS for the target equity IRR</t>
  </si>
  <si>
    <t>Tariff escalation</t>
  </si>
  <si>
    <t>%/yr</t>
  </si>
  <si>
    <t>Industry benchmark</t>
  </si>
  <si>
    <t>Plant (sized by the optimiser)</t>
  </si>
  <si>
    <t>MW</t>
  </si>
  <si>
    <t>HiGHS sizing</t>
  </si>
  <si>
    <t>Battery power</t>
  </si>
  <si>
    <t>Battery energy</t>
  </si>
  <si>
    <t>MWh</t>
  </si>
  <si>
    <t>Capital cost</t>
  </si>
  <si>
    <t>₹ cr/MW</t>
  </si>
  <si>
    <t>₹ cr/MWh</t>
  </si>
  <si>
    <t>Battery power conversion</t>
  </si>
  <si>
    <t>Included in the energy price</t>
  </si>
  <si>
    <t>Transmission / evacuation</t>
  </si>
  <si>
    <t>Pre-operative and IDC</t>
  </si>
  <si>
    <t>% of hard cost</t>
  </si>
  <si>
    <t>Operating cost</t>
  </si>
  <si>
    <t>Solar O&amp;M</t>
  </si>
  <si>
    <t>₹ lakh/MW/yr</t>
  </si>
  <si>
    <t>Wind O&amp;M</t>
  </si>
  <si>
    <t>Battery O&amp;M</t>
  </si>
  <si>
    <t>₹ lakh/MWh/yr</t>
  </si>
  <si>
    <t>O&amp;M escalation</t>
  </si>
  <si>
    <t>Insurance</t>
  </si>
  <si>
    <t>% of hard cost/yr</t>
  </si>
  <si>
    <t>Other fixed cost</t>
  </si>
  <si>
    <t>₹ cr/yr</t>
  </si>
  <si>
    <t>Model default</t>
  </si>
  <si>
    <t>Revenue and supply</t>
  </si>
  <si>
    <t>Sell surplus in the market</t>
  </si>
  <si>
    <t>Yes / No</t>
  </si>
  <si>
    <t>No</t>
  </si>
  <si>
    <t>Market sale price</t>
  </si>
  <si>
    <t>Not used: no market sale</t>
  </si>
  <si>
    <t>Annual supply floor</t>
  </si>
  <si>
    <t>% of contracted</t>
  </si>
  <si>
    <t>Shortfall penalty</t>
  </si>
  <si>
    <t>₹/kWh short</t>
  </si>
  <si>
    <t>Time-block shortfall penalty</t>
  </si>
  <si>
    <t>× tariff</t>
  </si>
  <si>
    <t>Battery augmentation</t>
  </si>
  <si>
    <t>Augmentation</t>
  </si>
  <si>
    <t>annual / oneTime / none</t>
  </si>
  <si>
    <t>annual</t>
  </si>
  <si>
    <t>Battery capacity fade</t>
  </si>
  <si>
    <t>One-time augmentation year</t>
  </si>
  <si>
    <t>Model default (used with oneTime)</t>
  </si>
  <si>
    <t>Battery price decline</t>
  </si>
  <si>
    <t>Debt share</t>
  </si>
  <si>
    <t>% of project cost</t>
  </si>
  <si>
    <t>Interest rate</t>
  </si>
  <si>
    <t>Loan tenor</t>
  </si>
  <si>
    <t>years</t>
  </si>
  <si>
    <t>Repayment</t>
  </si>
  <si>
    <t>annuity / equal</t>
  </si>
  <si>
    <t>equal</t>
  </si>
  <si>
    <t>Target equity IRR</t>
  </si>
  <si>
    <t>Discount rate (LCOE, project NPV)</t>
  </si>
  <si>
    <t>Tax and depreciation</t>
  </si>
  <si>
    <t>Corporate tax</t>
  </si>
  <si>
    <t>Tax depreciation</t>
  </si>
  <si>
    <t>wdv / slm</t>
  </si>
  <si>
    <t>wdv</t>
  </si>
  <si>
    <t>WDV rate</t>
  </si>
  <si>
    <t>Book life</t>
  </si>
  <si>
    <t>Salvage value</t>
  </si>
  <si>
    <t>Receivable days</t>
  </si>
  <si>
    <t>days</t>
  </si>
  <si>
    <t>Project cost and funding</t>
  </si>
  <si>
    <t>Hard cost</t>
  </si>
  <si>
    <t>Total project cost</t>
  </si>
  <si>
    <t>Model years</t>
  </si>
  <si>
    <t>Loan tenor used</t>
  </si>
  <si>
    <t>Annuity (interest + principal) if annuity repayment</t>
  </si>
  <si>
    <t>Principal a year if equal repayment</t>
  </si>
  <si>
    <t>Depreciable value (less salvage)</t>
  </si>
  <si>
    <t>Book depreciation a year</t>
  </si>
  <si>
    <t>Energy (the optimiser's hourly dispatch, summed by year)</t>
  </si>
  <si>
    <t>Contracted energy</t>
  </si>
  <si>
    <t>MU</t>
  </si>
  <si>
    <t>Delivered to the procurer</t>
  </si>
  <si>
    <t>Delivered ÷ contracted</t>
  </si>
  <si>
    <t>Short of the annual floor</t>
  </si>
  <si>
    <t>Short of the time-block floors</t>
  </si>
  <si>
    <t>Sold in the market</t>
  </si>
  <si>
    <t>Escalation and discount factors</t>
  </si>
  <si>
    <t>O&amp;M and other fixed cost</t>
  </si>
  <si>
    <t>Battery price</t>
  </si>
  <si>
    <t>Discount factor</t>
  </si>
  <si>
    <t>Revenue</t>
  </si>
  <si>
    <t>PPA supply revenue</t>
  </si>
  <si>
    <t>Market sale revenue</t>
  </si>
  <si>
    <t>Total revenue</t>
  </si>
  <si>
    <t>Operating costs</t>
  </si>
  <si>
    <t>Total operating cost</t>
  </si>
  <si>
    <t>EBITDA</t>
  </si>
  <si>
    <t>EBITDA margin</t>
  </si>
  <si>
    <t>Battery augmentation (capital spend in operation)</t>
  </si>
  <si>
    <t>Book depreciation</t>
  </si>
  <si>
    <t>On the project cost (straight line)</t>
  </si>
  <si>
    <t>Added for this year's augmentation</t>
  </si>
  <si>
    <t>On augmentation</t>
  </si>
  <si>
    <t>Opening debt</t>
  </si>
  <si>
    <t>Interest</t>
  </si>
  <si>
    <t>Principal</t>
  </si>
  <si>
    <t>Closing debt</t>
  </si>
  <si>
    <t>Debt service</t>
  </si>
  <si>
    <t>Tax block, opening</t>
  </si>
  <si>
    <t>Added: augmentation</t>
  </si>
  <si>
    <t>Tax block, closing</t>
  </si>
  <si>
    <t>Profit and loss</t>
  </si>
  <si>
    <t>Less: book depreciation</t>
  </si>
  <si>
    <t>Less: interest</t>
  </si>
  <si>
    <t>Profit before tax</t>
  </si>
  <si>
    <t>Taxable profit before losses brought forward</t>
  </si>
  <si>
    <t>Tax losses brought forward</t>
  </si>
  <si>
    <t>Losses set off</t>
  </si>
  <si>
    <t>Taxable income</t>
  </si>
  <si>
    <t>Tax losses carried forward</t>
  </si>
  <si>
    <t>Tax</t>
  </si>
  <si>
    <t>Profit after tax</t>
  </si>
  <si>
    <t>Cash flow</t>
  </si>
  <si>
    <t>Receivables</t>
  </si>
  <si>
    <t>Increase in working capital</t>
  </si>
  <si>
    <t>Cash flow available for debt service (CFADS)</t>
  </si>
  <si>
    <t>Less: debt service</t>
  </si>
  <si>
    <t>DSCR</t>
  </si>
  <si>
    <t>Salvage and receivables released (final year)</t>
  </si>
  <si>
    <t>Debt still owed, repaid in the final year</t>
  </si>
  <si>
    <t>Equity cash flow (year 0: the equity put in)</t>
  </si>
  <si>
    <t>Cumulative equity cash</t>
  </si>
  <si>
    <t>Equity paid back by this year</t>
  </si>
  <si>
    <t>Tax on the unlevered project</t>
  </si>
  <si>
    <t>Project cash flow (year 0: the project cost)</t>
  </si>
  <si>
    <t>Levelised cost and tariff</t>
  </si>
  <si>
    <t>Operating cost and augmentation</t>
  </si>
  <si>
    <t>Discounted</t>
  </si>
  <si>
    <t>Delivered energy, discounted</t>
  </si>
  <si>
    <t>PPA supply revenue, discounted</t>
  </si>
  <si>
    <t>Returns</t>
  </si>
  <si>
    <t>Levelised cost of supply (project cost + discounted costs) ÷ discounted energy</t>
  </si>
  <si>
    <t>Checks</t>
  </si>
  <si>
    <t>Debt + equity = project cost</t>
  </si>
  <si>
    <t>Debt repaid by the end of the loan tenor</t>
  </si>
  <si>
    <t>Revenue − operating cost = EBITDA over the term</t>
  </si>
  <si>
    <t>Tax losses never negative</t>
  </si>
  <si>
    <t>Equity IRR meets the target</t>
  </si>
  <si>
    <t>Minimum DSCR at least 1.0</t>
  </si>
  <si>
    <t>Condition</t>
  </si>
  <si>
    <t>Tender says</t>
  </si>
  <si>
    <t>Page</t>
  </si>
  <si>
    <t>Quote</t>
  </si>
  <si>
    <t>Plant and bid</t>
  </si>
  <si>
    <t>Status</t>
  </si>
  <si>
    <t>Bid capacity</t>
  </si>
  <si>
    <t>1,000 MW; one bidder 50–500 MW</t>
  </si>
  <si>
    <t>a minimum quantum of cumulative Contracted Capacity of 50 MW and a maximum quantum of 500 MW</t>
  </si>
  <si>
    <t>50 MW bid</t>
  </si>
  <si>
    <t>Met</t>
  </si>
  <si>
    <t>Peak Hours floor (every block)</t>
  </si>
  <si>
    <t>At least 90% of contracted capacity in every peak time-block; shortfall costs 1.5 × tariff</t>
  </si>
  <si>
    <t>(i) a minimum DFR of 90% in each time-block during the Peak Hours</t>
  </si>
  <si>
    <t>83.8% of the hours at the floor; 27.34 MU short in the worst modelled year</t>
  </si>
  <si>
    <t>Noted</t>
  </si>
  <si>
    <t>Off-peak floor (every block)</t>
  </si>
  <si>
    <t>At least 70% of contracted capacity in every off-peak time-block; shortfall costs 1.5 × tariff</t>
  </si>
  <si>
    <t>(ii) a minimum DFR of 70% in each time-block during the off-Peak Hours.</t>
  </si>
  <si>
    <t>99.1% of the hours at the floor; 0.10 MU short in the worst modelled year</t>
  </si>
  <si>
    <t>Peak hours</t>
  </si>
  <si>
    <t>Any 6 of the 16 hours (the Buying Entity picks 6 hours between 18:00 and 10:00, day-ahead) a day</t>
  </si>
  <si>
    <t>The Buying Entity shall choose any 6 hours, on a daily basis, between 18:00 Hrs. in the evening of a day and 10:00 Hrs. in the morning of the subsequent day</t>
  </si>
  <si>
    <t>Checked in the chosen window</t>
  </si>
  <si>
    <t>Energy storage</t>
  </si>
  <si>
    <t>Mandatory</t>
  </si>
  <si>
    <t>Energy Storage Systems (ESS) shall mandatorily constitute part of the Project. It is clarified that ESS charged using a source other than RE power would not qualify as RE power.</t>
  </si>
  <si>
    <t>106 MW / 423 MWh</t>
  </si>
  <si>
    <t>What may be sold in the market</t>
  </si>
  <si>
    <t>Free to sell to any third party or power exchange, no NOC needed</t>
  </si>
  <si>
    <t>the SECI/RPD is free to sell power in excess of the Contracted Capacity in any time-block, to any third party or power exchange, without requiring any NOC from Buying Entity.</t>
  </si>
  <si>
    <t>Nothing sold</t>
  </si>
  <si>
    <t>The PPAs shall be valid for a period of 25 years from the SCSD.</t>
  </si>
  <si>
    <t>Modelled and financed over 25 years</t>
  </si>
  <si>
    <t>SECI reserves the right to cancel any or all of the bids in view of higher tariff discovered after e-RA.</t>
  </si>
  <si>
    <t>Bid tariff ₹7.043/kWh</t>
  </si>
  <si>
    <t>Not required</t>
  </si>
  <si>
    <t>The Scheduled Commencement of Supply Date (SCSD) for supplying power from the full Project capacity shall be the date as on 24 months from the Effective Date of the PPA</t>
  </si>
  <si>
    <t>Build schedule is not modelled</t>
  </si>
  <si>
    <t>Group</t>
  </si>
  <si>
    <t>Value</t>
  </si>
  <si>
    <t>Source</t>
  </si>
  <si>
    <t>Bid</t>
  </si>
  <si>
    <t>Your input</t>
  </si>
  <si>
    <t>Sized for the greenshoe</t>
  </si>
  <si>
    <t>automatic limit</t>
  </si>
  <si>
    <t>Upper limit for the optimizer</t>
  </si>
  <si>
    <t>CUF (AC)</t>
  </si>
  <si>
    <t>DC:AC ratio</t>
  </si>
  <si>
    <t>MWp/MWac</t>
  </si>
  <si>
    <t>Annual degradation</t>
  </si>
  <si>
    <t>Capex per MWac</t>
  </si>
  <si>
    <t>₹ cr/MWac</t>
  </si>
  <si>
    <t>O&amp;M per MWac</t>
  </si>
  <si>
    <t>₹ lakh/MWac/yr</t>
  </si>
  <si>
    <t>CUF</t>
  </si>
  <si>
    <t>Capex</t>
  </si>
  <si>
    <t>O&amp;M</t>
  </si>
  <si>
    <t>Discharge duration</t>
  </si>
  <si>
    <t>4 hours</t>
  </si>
  <si>
    <t>Round-trip efficiency</t>
  </si>
  <si>
    <t>Minimum state of charge</t>
  </si>
  <si>
    <t>Maximum state of charge</t>
  </si>
  <si>
    <t>Capacity fade</t>
  </si>
  <si>
    <t>Every year</t>
  </si>
  <si>
    <t>Pre-operative &amp; IDC</t>
  </si>
  <si>
    <t>Model default (editable on Financials)</t>
  </si>
  <si>
    <t>Discount rate (LCOE, NPV)</t>
  </si>
  <si>
    <t>Market</t>
  </si>
  <si>
    <t>Sell in the market</t>
  </si>
  <si>
    <t>Item</t>
  </si>
  <si>
    <t>Note</t>
  </si>
  <si>
    <t>₹ crore</t>
  </si>
  <si>
    <t>Total project cost (incl. pre-operative &amp; IDC)</t>
  </si>
  <si>
    <t>pre-operative 5.0% of hard cost</t>
  </si>
  <si>
    <t>70%</t>
  </si>
  <si>
    <t>Total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</si>
  <si>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</si>
  <si>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</si>
  <si>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</si>
  <si>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</si>
  <si>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</si>
  <si>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</si>
  <si>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</si>
  <si>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</si>
  <si>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</si>
  <si>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</si>
  <si>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</si>
  <si>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</si>
  <si>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</si>
  <si>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Year 14</t>
  </si>
  <si>
    <t>Year 15</t>
  </si>
  <si>
    <t>Year 16</t>
  </si>
  <si>
    <t>Year 17</t>
  </si>
  <si>
    <t>Year 18</t>
  </si>
  <si>
    <t>Year 19</t>
  </si>
  <si>
    <t>Year 20</t>
  </si>
  <si>
    <t>Year 21</t>
  </si>
  <si>
    <t>Year 22</t>
  </si>
  <si>
    <t>Year 23</t>
  </si>
  <si>
    <t>Year 24</t>
  </si>
  <si>
    <t>Year 25</t>
  </si>
  <si>
    <t>Energy and tariff</t>
  </si>
  <si>
    <t>Capital spend in operation</t>
  </si>
  <si>
    <t>Working capital change</t>
  </si>
  <si>
    <t>CFADS</t>
  </si>
  <si>
    <t>Free cash to equity</t>
  </si>
  <si>
    <t>Project cash flow</t>
  </si>
  <si>
    <t>Returns (year 0 is the investment)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</si>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</sst>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"/>
    <numFmt numFmtId="165" formatCode="&quot;Year &quot;0"/>
    <numFmt numFmtId="166" formatCode="#,##0.00;[Red]-#,##0.00;&quot;–&quot;"/>
    <numFmt numFmtId="167" formatCode="0.00&quot;×&quot;"/>
    <numFmt numFmtId="168" formatCode="#,##0.0;[Red]-#,##0.0;&quot;–&quot;"/>
    <numFmt numFmtId="169" formatCode="0.0000"/>
    <numFmt numFmtId="170" formatCode="#,##0.####"/>
  </numFmts>
  <fonts count="22" x14ac:knownFonts="1">
    <font>
      <color theme="1"/>
      <family val="2"/>
      <scheme val="minor"/>
      <sz val="11"/>
      <name val="Calibri"/>
    </font>
    <font>
      <b/>
      <sz val="16"/>
    </font>
    <font>
      <color rgb="FF555555"/>
    </font>
    <font>
      <i/>
      <color rgb="FF777777"/>
    </font>
    <font>
      <i/>
      <color rgb="FF0000FF"/>
    </font>
    <font>
      <b/>
      <color rgb="FF111111"/>
    </font>
    <font>
      <i/>
      <color rgb="FF555555"/>
    </font>
    <font>
      <b/>
    </font>
    <font>
      <color rgb="FF0000FF"/>
    </font>
    <font>
      <color rgb="FF00703C"/>
    </font>
    <font>
      <color rgb="FF000000"/>
    </font>
    <font>
      <b/>
      <color rgb="FFFFFFFF"/>
    </font>
    <font>
      <b/>
      <color rgb="FFFFFFFF"/>
      <sz val="12"/>
    </font>
    <font>
      <b/>
      <color rgb="FF555555"/>
    </font>
    <font>
      <color rgb="FF666666"/>
    </font>
    <font>
      <b/>
      <color rgb="FF000000"/>
    </font>
    <font>
      <i/>
      <color rgb="FF666666"/>
    </font>
    <font/>
    <font>
      <i/>
      <color rgb="FFB26A00"/>
    </font>
    <font>
      <b/>
      <color rgb="FF1E7B34"/>
    </font>
    <font>
      <b/>
      <color rgb="FF666666"/>
    </font>
    <font>
      <color rgb="FFB26A00"/>
    </font>
  </fonts>
  <fills count="7">
    <fill>
      <patternFill patternType="none"/>
    </fill>
    <fill>
      <patternFill patternType="gray125"/>
    </fill>
    <fill>
      <patternFill patternType="solid">
        <fgColor rgb="FFD4FF3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11111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1111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5" fontId="11" fillId="5" borderId="0" xfId="0" applyNumberFormat="1" applyFont="1" applyFill="1" applyAlignment="1">
      <alignment horizontal="right"/>
    </xf>
    <xf numFmtId="0" fontId="12" fillId="5" borderId="0" xfId="0" applyFont="1" applyFill="1"/>
    <xf numFmtId="0" fontId="0" fillId="5" borderId="0" xfId="0" applyFill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7" fillId="0" borderId="0" xfId="0" applyFont="1" applyAlignment="1">
      <alignment indent="1"/>
    </xf>
    <xf numFmtId="0" fontId="14" fillId="0" borderId="0" xfId="0" applyFont="1"/>
    <xf numFmtId="164" fontId="15" fillId="0" borderId="0" xfId="0" applyNumberFormat="1" applyFont="1" applyAlignment="1">
      <alignment horizontal="right"/>
    </xf>
    <xf numFmtId="164" fontId="16" fillId="0" borderId="0" xfId="0" applyNumberFormat="1" applyFont="1"/>
    <xf numFmtId="164" fontId="10" fillId="0" borderId="0" xfId="0" applyNumberFormat="1" applyFont="1"/>
    <xf numFmtId="10" fontId="15" fillId="0" borderId="0" xfId="0" applyNumberFormat="1" applyFont="1" applyAlignment="1">
      <alignment horizontal="right"/>
    </xf>
    <xf numFmtId="10" fontId="16" fillId="0" borderId="0" xfId="0" applyNumberFormat="1" applyFont="1"/>
    <xf numFmtId="10" fontId="10" fillId="0" borderId="0" xfId="0" applyNumberFormat="1" applyFont="1"/>
    <xf numFmtId="0" fontId="17" fillId="0" borderId="0" xfId="0" applyFont="1" applyAlignment="1">
      <alignment indent="1"/>
    </xf>
    <xf numFmtId="10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6" fontId="16" fillId="0" borderId="0" xfId="0" applyNumberFormat="1" applyFont="1"/>
    <xf numFmtId="166" fontId="10" fillId="0" borderId="0" xfId="0" applyNumberFormat="1" applyFont="1"/>
    <xf numFmtId="167" fontId="10" fillId="0" borderId="0" xfId="0" applyNumberFormat="1" applyFont="1" applyAlignment="1">
      <alignment horizontal="right"/>
    </xf>
    <xf numFmtId="167" fontId="16" fillId="0" borderId="0" xfId="0" applyNumberFormat="1" applyFont="1"/>
    <xf numFmtId="167" fontId="10" fillId="0" borderId="0" xfId="0" applyNumberFormat="1" applyFont="1"/>
    <xf numFmtId="164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1" fontId="16" fillId="0" borderId="0" xfId="0" applyNumberFormat="1" applyFont="1"/>
    <xf numFmtId="1" fontId="10" fillId="0" borderId="0" xfId="0" applyNumberFormat="1" applyFont="1"/>
    <xf numFmtId="0" fontId="10" fillId="0" borderId="0" xfId="0" applyFont="1" applyAlignment="1">
      <alignment horizontal="right"/>
    </xf>
    <xf numFmtId="0" fontId="5" fillId="6" borderId="0" xfId="0" applyFont="1" applyFill="1"/>
    <xf numFmtId="0" fontId="0" fillId="6" borderId="0" xfId="0" applyFill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0" fontId="18" fillId="0" borderId="0" xfId="0" applyFont="1"/>
    <xf numFmtId="168" fontId="9" fillId="4" borderId="1" xfId="0" applyNumberFormat="1" applyFont="1" applyFill="1" applyBorder="1"/>
    <xf numFmtId="4" fontId="8" fillId="3" borderId="1" xfId="0" applyNumberFormat="1" applyFont="1" applyFill="1" applyBorder="1"/>
    <xf numFmtId="166" fontId="8" fillId="3" borderId="1" xfId="0" applyNumberFormat="1" applyFont="1" applyFill="1" applyBorder="1"/>
    <xf numFmtId="0" fontId="8" fillId="3" borderId="1" xfId="0" applyFont="1" applyFill="1" applyBorder="1"/>
    <xf numFmtId="167" fontId="8" fillId="3" borderId="1" xfId="0" applyNumberFormat="1" applyFont="1" applyFill="1" applyBorder="1"/>
    <xf numFmtId="1" fontId="8" fillId="3" borderId="1" xfId="0" applyNumberFormat="1" applyFont="1" applyFill="1" applyBorder="1"/>
    <xf numFmtId="166" fontId="15" fillId="0" borderId="0" xfId="0" applyNumberFormat="1" applyFont="1"/>
    <xf numFmtId="168" fontId="15" fillId="0" borderId="0" xfId="0" applyNumberFormat="1" applyFont="1"/>
    <xf numFmtId="168" fontId="10" fillId="0" borderId="0" xfId="0" applyNumberFormat="1" applyFont="1"/>
    <xf numFmtId="169" fontId="10" fillId="0" borderId="0" xfId="0" applyNumberFormat="1" applyFont="1"/>
    <xf numFmtId="0" fontId="7" fillId="0" borderId="2" xfId="0" applyFont="1" applyBorder="1" applyAlignment="1">
      <alignment indent="1"/>
    </xf>
    <xf numFmtId="0" fontId="14" fillId="0" borderId="2" xfId="0" applyFont="1" applyBorder="1"/>
    <xf numFmtId="166" fontId="15" fillId="0" borderId="2" xfId="0" applyNumberFormat="1" applyFont="1" applyBorder="1"/>
    <xf numFmtId="0" fontId="0" fillId="0" borderId="2" xfId="0" applyBorder="1"/>
    <xf numFmtId="10" fontId="15" fillId="0" borderId="0" xfId="0" applyNumberFormat="1" applyFont="1"/>
    <xf numFmtId="0" fontId="10" fillId="0" borderId="0" xfId="0" applyFont="1"/>
    <xf numFmtId="0" fontId="11" fillId="5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9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  <xf numFmtId="170" fontId="0" fillId="0" borderId="0" xfId="0" applyNumberFormat="1"/>
    <xf numFmtId="10" fontId="0" fillId="0" borderId="0" xfId="0" applyNumberFormat="1"/>
    <xf numFmtId="0" fontId="21" fillId="0" borderId="0" xfId="0" applyFont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4" fontId="7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b/>
        <color rgb="FF1E7B34"/>
      </font>
    </dxf>
    <dxf>
      <font>
        <b/>
        <color rgb="FFB26A00"/>
      </font>
    </dxf>
    <dxf>
      <font>
        <b/>
        <color rgb="FF1E7B34"/>
      </font>
    </dxf>
    <dxf>
      <font>
        <b/>
        <color rgb="FFB3261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866900" cy="4381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FF3F"/>
  </sheetPr>
  <dimension ref="A1:C54"/>
  <sheetFormatPr defaultRowHeight="15" outlineLevelRow="0" outlineLevelCol="0" x14ac:dyDescent="55"/>
  <cols>
    <col min="1" max="1" width="42" customWidth="1"/>
    <col min="2" max="2" width="22" customWidth="1"/>
    <col min="3" max="3" width="70" customWidth="1"/>
  </cols>
  <sheetData>
    <row r="1" ht="24" customHeight="1" x14ac:dyDescent="0.25"/>
    <row r="2" ht="24" customHeight="1" x14ac:dyDescent="0.25"/>
    <row r="4" spans="1:1" s="1" customFormat="1" x14ac:dyDescent="0.25">
      <c r="A4" s="1" t="s">
        <v>0</v>
      </c>
    </row>
    <row r="5" spans="1:1" s="2" customFormat="1" x14ac:dyDescent="0.25">
      <c r="A5" s="2" t="s">
        <v>1</v>
      </c>
    </row>
    <row r="6" spans="1:1" s="3" customFormat="1" x14ac:dyDescent="0.25">
      <c r="A6" s="3" t="s">
        <v>2</v>
      </c>
    </row>
    <row r="7" spans="1:1" s="4" customFormat="1" x14ac:dyDescent="0.25">
      <c r="A7" s="4" t="s">
        <v>3</v>
      </c>
    </row>
    <row r="9" spans="1:1" s="5" customFormat="1" x14ac:dyDescent="0.25">
      <c r="A9" s="5" t="s">
        <v>4</v>
      </c>
    </row>
    <row r="10" spans="1:3" x14ac:dyDescent="0.25">
      <c r="A10" t="s">
        <v>5</v>
      </c>
      <c r="B10" s="6">
        <f>'Live model'!$C$9</f>
        <v>7.043367848320882</v>
      </c>
      <c r="C10" t="s">
        <v>6</v>
      </c>
    </row>
    <row r="11" spans="1:3" x14ac:dyDescent="0.25">
      <c r="A11" t="s">
        <v>7</v>
      </c>
      <c r="B11" s="7">
        <f>'Live model'!$C$10</f>
        <v>0.13999999993597156</v>
      </c>
      <c r="C11" t="s">
        <v>8</v>
      </c>
    </row>
    <row r="12" spans="1:3" x14ac:dyDescent="0.25">
      <c r="A12" t="s">
        <v>9</v>
      </c>
      <c r="B12" s="7">
        <f>'Live model'!$C$12</f>
        <v>0.09960342112113721</v>
      </c>
      <c r="C12" t="s">
        <v>8</v>
      </c>
    </row>
    <row r="13" spans="1:3" x14ac:dyDescent="0.25">
      <c r="A13" t="s">
        <v>10</v>
      </c>
      <c r="B13" s="8">
        <f>'Live model'!$C$13</f>
        <v>8.171241461241152e-14</v>
      </c>
      <c r="C13" t="s">
        <v>8</v>
      </c>
    </row>
    <row r="14" spans="1:3" x14ac:dyDescent="0.25">
      <c r="A14" t="s">
        <v>11</v>
      </c>
      <c r="B14" s="9">
        <f>'Live model'!$C$15</f>
        <v>1.133711468359563</v>
      </c>
      <c r="C14" t="s">
        <v>8</v>
      </c>
    </row>
    <row r="15" spans="1:3" x14ac:dyDescent="0.25">
      <c r="A15" t="s">
        <v>12</v>
      </c>
      <c r="B15" s="9">
        <f>'Live model'!$C$16</f>
        <v>1.5576959212327717</v>
      </c>
      <c r="C15" t="s">
        <v>8</v>
      </c>
    </row>
    <row r="16" spans="1:3" x14ac:dyDescent="0.25">
      <c r="A16" t="s">
        <v>13</v>
      </c>
      <c r="B16" s="10">
        <f>'Live model'!$C$19</f>
        <v>8</v>
      </c>
      <c r="C16" t="s">
        <v>8</v>
      </c>
    </row>
    <row r="17" spans="1:3" x14ac:dyDescent="0.25">
      <c r="A17" t="s">
        <v>14</v>
      </c>
      <c r="B17" s="8">
        <f>'Live model'!$C$20</f>
        <v>1581.9723285425946</v>
      </c>
      <c r="C17" t="s">
        <v>15</v>
      </c>
    </row>
    <row r="18" spans="1:3" x14ac:dyDescent="0.25">
      <c r="A18" t="s">
        <v>16</v>
      </c>
      <c r="B18" s="8">
        <f>'Live model'!$C$21</f>
        <v>1107.3806299798161</v>
      </c>
      <c r="C18" t="s">
        <v>8</v>
      </c>
    </row>
    <row r="19" spans="1:3" x14ac:dyDescent="0.25">
      <c r="A19" t="s">
        <v>17</v>
      </c>
      <c r="B19" s="8">
        <f>'Live model'!$C$22</f>
        <v>474.59169856277845</v>
      </c>
      <c r="C19" t="s">
        <v>8</v>
      </c>
    </row>
    <row r="20" spans="1:3" x14ac:dyDescent="0.25">
      <c r="A20" t="s">
        <v>18</v>
      </c>
      <c r="B20" s="6">
        <f>'Live model'!$C$17</f>
        <v>5.533527030216576</v>
      </c>
      <c r="C20" t="s">
        <v>19</v>
      </c>
    </row>
    <row r="21" spans="1:3" x14ac:dyDescent="0.25">
      <c r="A21" t="s">
        <v>20</v>
      </c>
      <c r="B21" s="6">
        <v>7.037582326856202</v>
      </c>
      <c r="C21" t="s">
        <v>21</v>
      </c>
    </row>
    <row r="22" spans="1:3" x14ac:dyDescent="0.25">
      <c r="A22" t="s">
        <v>22</v>
      </c>
      <c r="B22" s="11">
        <v>389.3019923950858</v>
      </c>
      <c r="C22" t="s">
        <v>23</v>
      </c>
    </row>
    <row r="23" spans="1:3" x14ac:dyDescent="0.25">
      <c r="A23" t="s">
        <v>24</v>
      </c>
      <c r="B23" s="11">
        <v>0</v>
      </c>
      <c r="C23" t="s">
        <v>8</v>
      </c>
    </row>
    <row r="24" spans="1:3" x14ac:dyDescent="0.25">
      <c r="A24" t="s">
        <v>25</v>
      </c>
      <c r="B24" s="8">
        <f>'Live model'!$C$23</f>
        <v>6077.918396113618</v>
      </c>
      <c r="C24" t="s">
        <v>8</v>
      </c>
    </row>
    <row r="25" spans="1:3" x14ac:dyDescent="0.25">
      <c r="A25" t="s">
        <v>26</v>
      </c>
      <c r="B25" s="12" t="s">
        <v>27</v>
      </c>
      <c r="C25" t="s">
        <v>8</v>
      </c>
    </row>
    <row r="27" spans="1:1" s="5" customFormat="1" x14ac:dyDescent="0.25">
      <c r="A27" s="5" t="s">
        <v>28</v>
      </c>
    </row>
    <row r="28" spans="1:3" x14ac:dyDescent="0.25">
      <c r="A28" t="s">
        <v>29</v>
      </c>
      <c r="B28" s="11">
        <v>50</v>
      </c>
      <c r="C28" t="s">
        <v>30</v>
      </c>
    </row>
    <row r="29" spans="1:3" x14ac:dyDescent="0.25">
      <c r="A29" t="s">
        <v>31</v>
      </c>
      <c r="B29" s="11">
        <v>130.77878579954532</v>
      </c>
      <c r="C29" t="s">
        <v>32</v>
      </c>
    </row>
    <row r="30" spans="1:3" x14ac:dyDescent="0.25">
      <c r="A30" t="s">
        <v>33</v>
      </c>
      <c r="B30" s="11">
        <v>73.23155483158249</v>
      </c>
      <c r="C30" t="s">
        <v>32</v>
      </c>
    </row>
    <row r="31" spans="1:3" x14ac:dyDescent="0.25">
      <c r="A31" t="s">
        <v>34</v>
      </c>
      <c r="B31" s="11">
        <v>105.7333465196337</v>
      </c>
      <c r="C31" t="s">
        <v>8</v>
      </c>
    </row>
    <row r="32" spans="1:3" x14ac:dyDescent="0.25">
      <c r="A32" t="s">
        <v>35</v>
      </c>
      <c r="B32" s="11">
        <v>422.9333860785348</v>
      </c>
      <c r="C32" t="s">
        <v>8</v>
      </c>
    </row>
    <row r="34" spans="1:1" s="5" customFormat="1" x14ac:dyDescent="0.25">
      <c r="A34" s="5" t="s">
        <v>36</v>
      </c>
    </row>
    <row r="35" spans="1:3" x14ac:dyDescent="0.25">
      <c r="A35" t="s">
        <v>37</v>
      </c>
      <c r="B35" s="11">
        <v>50</v>
      </c>
      <c r="C35" t="s">
        <v>8</v>
      </c>
    </row>
    <row r="36" spans="1:3" x14ac:dyDescent="0.25">
      <c r="A36" t="s">
        <v>38</v>
      </c>
      <c r="B36" s="12" t="s">
        <v>39</v>
      </c>
      <c r="C36" t="s">
        <v>8</v>
      </c>
    </row>
    <row r="37" spans="1:3" x14ac:dyDescent="0.25">
      <c r="A37" t="s">
        <v>40</v>
      </c>
      <c r="B37" s="12" t="s">
        <v>41</v>
      </c>
      <c r="C37" t="s">
        <v>8</v>
      </c>
    </row>
    <row r="38" spans="1:3" x14ac:dyDescent="0.25">
      <c r="A38" t="s">
        <v>42</v>
      </c>
      <c r="B38" s="12" t="s">
        <v>43</v>
      </c>
      <c r="C38" t="s">
        <v>8</v>
      </c>
    </row>
    <row r="39" spans="1:3" x14ac:dyDescent="0.25">
      <c r="A39" t="s">
        <v>44</v>
      </c>
      <c r="B39" s="12" t="s">
        <v>45</v>
      </c>
      <c r="C39" t="s">
        <v>8</v>
      </c>
    </row>
    <row r="40" spans="1:3" x14ac:dyDescent="0.25">
      <c r="A40" t="s">
        <v>46</v>
      </c>
      <c r="B40" s="12" t="s">
        <v>47</v>
      </c>
      <c r="C40" t="s">
        <v>8</v>
      </c>
    </row>
    <row r="42" spans="1:1" s="5" customFormat="1" x14ac:dyDescent="0.25">
      <c r="A42" s="5" t="s">
        <v>48</v>
      </c>
    </row>
    <row r="43" spans="1:3" x14ac:dyDescent="0.25">
      <c r="A43" t="s">
        <v>49</v>
      </c>
      <c r="B43" s="12" t="s">
        <v>50</v>
      </c>
      <c r="C43" t="s">
        <v>8</v>
      </c>
    </row>
    <row r="44" spans="1:3" x14ac:dyDescent="0.25">
      <c r="A44" t="s">
        <v>48</v>
      </c>
      <c r="B44" s="12" t="s">
        <v>51</v>
      </c>
      <c r="C44" t="s">
        <v>52</v>
      </c>
    </row>
    <row r="45" spans="1:3" x14ac:dyDescent="0.25">
      <c r="A45" t="s">
        <v>53</v>
      </c>
      <c r="B45" s="12" t="s">
        <v>54</v>
      </c>
      <c r="C45" t="s">
        <v>8</v>
      </c>
    </row>
    <row r="46" spans="1:3" x14ac:dyDescent="0.25">
      <c r="A46" t="s">
        <v>55</v>
      </c>
      <c r="B46" s="12" t="s">
        <v>56</v>
      </c>
      <c r="C46" t="s">
        <v>8</v>
      </c>
    </row>
    <row r="47" spans="1:3" x14ac:dyDescent="0.25">
      <c r="A47" t="s">
        <v>57</v>
      </c>
      <c r="B47" s="12" t="s">
        <v>58</v>
      </c>
      <c r="C47" t="s">
        <v>8</v>
      </c>
    </row>
    <row r="48" spans="1:3" x14ac:dyDescent="0.25">
      <c r="A48" t="s">
        <v>59</v>
      </c>
      <c r="B48" s="12" t="s">
        <v>58</v>
      </c>
      <c r="C48" t="s">
        <v>8</v>
      </c>
    </row>
    <row r="49" spans="1:3" x14ac:dyDescent="0.25">
      <c r="A49" t="s">
        <v>60</v>
      </c>
      <c r="B49" s="12" t="s">
        <v>61</v>
      </c>
      <c r="C49" t="s">
        <v>8</v>
      </c>
    </row>
    <row r="50" spans="1:3" x14ac:dyDescent="0.25">
      <c r="A50" t="s">
        <v>62</v>
      </c>
      <c r="B50" s="12" t="s">
        <v>63</v>
      </c>
      <c r="C50" t="s">
        <v>8</v>
      </c>
    </row>
    <row r="51" spans="1:3" x14ac:dyDescent="0.25">
      <c r="A51" t="s">
        <v>64</v>
      </c>
      <c r="B51" s="12" t="s">
        <v>58</v>
      </c>
      <c r="C51" t="s">
        <v>8</v>
      </c>
    </row>
    <row r="53" spans="1:1" s="13" customFormat="1" x14ac:dyDescent="0.25">
      <c r="A53" s="13" t="s">
        <v>65</v>
      </c>
    </row>
    <row r="54" spans="1:1" s="13" customFormat="1" x14ac:dyDescent="0.25">
      <c r="A54" s="13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  <pageSetUpPr fitToPage="1"/>
  </sheetPr>
  <dimension ref="A1:AC199"/>
  <sheetViews>
    <sheetView workbookViewId="0" showGridLines="0">
      <pane xSplit="3" ySplit="5" topLeftCell="D6" activePane="bottomRight" state="frozen"/>
      <selection pane="bottomRight" activeCell="C1" sqref="C1"/>
    </sheetView>
  </sheetViews>
  <sheetFormatPr defaultRowHeight="15" outlineLevelRow="0" outlineLevelCol="0" x14ac:dyDescent="55"/>
  <cols>
    <col min="1" max="1" width="54" customWidth="1"/>
    <col min="2" max="3" width="16" customWidth="1"/>
    <col min="4" max="4" width="14" customWidth="1"/>
    <col min="5" max="29" width="12" customWidth="1"/>
  </cols>
  <sheetData>
    <row r="1" spans="1:1" x14ac:dyDescent="0.25">
      <c r="A1" s="1" t="s">
        <v>0</v>
      </c>
    </row>
    <row r="2" spans="1:1" x14ac:dyDescent="0.25">
      <c r="A2" s="2" t="s">
        <v>67</v>
      </c>
    </row>
    <row r="3" spans="1:4" x14ac:dyDescent="0.25">
      <c r="A3" s="14" t="s">
        <v>68</v>
      </c>
      <c r="B3" s="15" t="s">
        <v>69</v>
      </c>
      <c r="C3" s="16" t="s">
        <v>70</v>
      </c>
      <c r="D3" s="17" t="s">
        <v>71</v>
      </c>
    </row>
    <row r="4" spans="1:1" x14ac:dyDescent="0.25">
      <c r="A4" s="3" t="s">
        <v>72</v>
      </c>
    </row>
    <row r="5" spans="1:29" x14ac:dyDescent="0.25">
      <c r="A5" s="18" t="s">
        <v>73</v>
      </c>
      <c r="B5" s="18" t="s">
        <v>74</v>
      </c>
      <c r="C5" s="19" t="s">
        <v>75</v>
      </c>
      <c r="D5" s="19" t="s">
        <v>76</v>
      </c>
      <c r="E5" s="20">
        <v>1</v>
      </c>
      <c r="F5" s="20">
        <f>E5+1</f>
        <v>2</v>
      </c>
      <c r="G5" s="20">
        <f>F5+1</f>
        <v>3</v>
      </c>
      <c r="H5" s="20">
        <f>G5+1</f>
        <v>4</v>
      </c>
      <c r="I5" s="20">
        <f>H5+1</f>
        <v>5</v>
      </c>
      <c r="J5" s="20">
        <f>I5+1</f>
        <v>6</v>
      </c>
      <c r="K5" s="20">
        <f>J5+1</f>
        <v>7</v>
      </c>
      <c r="L5" s="20">
        <f>K5+1</f>
        <v>8</v>
      </c>
      <c r="M5" s="20">
        <f>L5+1</f>
        <v>9</v>
      </c>
      <c r="N5" s="20">
        <f>M5+1</f>
        <v>10</v>
      </c>
      <c r="O5" s="20">
        <f>N5+1</f>
        <v>11</v>
      </c>
      <c r="P5" s="20">
        <f>O5+1</f>
        <v>12</v>
      </c>
      <c r="Q5" s="20">
        <f>P5+1</f>
        <v>13</v>
      </c>
      <c r="R5" s="20">
        <f>Q5+1</f>
        <v>14</v>
      </c>
      <c r="S5" s="20">
        <f>R5+1</f>
        <v>15</v>
      </c>
      <c r="T5" s="20">
        <f>S5+1</f>
        <v>16</v>
      </c>
      <c r="U5" s="20">
        <f>T5+1</f>
        <v>17</v>
      </c>
      <c r="V5" s="20">
        <f>U5+1</f>
        <v>18</v>
      </c>
      <c r="W5" s="20">
        <f>V5+1</f>
        <v>19</v>
      </c>
      <c r="X5" s="20">
        <f>W5+1</f>
        <v>20</v>
      </c>
      <c r="Y5" s="20">
        <f>X5+1</f>
        <v>21</v>
      </c>
      <c r="Z5" s="20">
        <f>Y5+1</f>
        <v>22</v>
      </c>
      <c r="AA5" s="20">
        <f>Z5+1</f>
        <v>23</v>
      </c>
      <c r="AB5" s="20">
        <f>AA5+1</f>
        <v>24</v>
      </c>
      <c r="AC5" s="20">
        <f>AB5+1</f>
        <v>25</v>
      </c>
    </row>
    <row r="7" ht="20" customHeight="1" spans="1:29" x14ac:dyDescent="0.25">
      <c r="A7" s="21" t="s">
        <v>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 spans="1:6" x14ac:dyDescent="0.25">
      <c r="A8" s="23"/>
      <c r="B8" s="23"/>
      <c r="C8" s="24" t="s">
        <v>77</v>
      </c>
      <c r="D8" s="24" t="s">
        <v>78</v>
      </c>
      <c r="E8" s="24" t="s">
        <v>79</v>
      </c>
      <c r="F8" s="24" t="s">
        <v>80</v>
      </c>
    </row>
    <row r="9" spans="1:6" x14ac:dyDescent="0.25">
      <c r="A9" s="25" t="s">
        <v>81</v>
      </c>
      <c r="B9" s="26" t="s">
        <v>82</v>
      </c>
      <c r="C9" s="27">
        <f>$C$29</f>
        <v>7.043367848320882</v>
      </c>
      <c r="D9" s="28">
        <v>7.043367848320882</v>
      </c>
      <c r="E9" s="29">
        <f>IF(ISNUMBER(C9),C9-D9,"")</f>
        <v>0</v>
      </c>
      <c r="F9" s="12" t="str">
        <f>IF(ISNUMBER(E9),IF(ABS(E9)&lt;=0.000007043367848320882,"Yes","Changed"),"")</f>
        <v>Yes</v>
      </c>
    </row>
    <row r="10" spans="1:6" x14ac:dyDescent="0.25">
      <c r="A10" s="25" t="s">
        <v>7</v>
      </c>
      <c r="B10" s="26" t="s">
        <v>83</v>
      </c>
      <c r="C10" s="30">
        <f>IFERROR(IRR(D170:AC170),"n/a")</f>
        <v>0.1400000000002308</v>
      </c>
      <c r="D10" s="31">
        <v>0.13999999993597156</v>
      </c>
      <c r="E10" s="32">
        <f>IF(ISNUMBER(C10),C10-D10,"")</f>
        <v>6.42592368205186e-11</v>
      </c>
      <c r="F10" s="12" t="str">
        <f>IF(ISNUMBER(E10),IF(ABS(E10)&lt;=0.00001,"Yes","Changed"),"")</f>
        <v>Yes</v>
      </c>
    </row>
    <row r="11" spans="1:6" x14ac:dyDescent="0.25">
      <c r="A11" s="33" t="s">
        <v>84</v>
      </c>
      <c r="B11" s="26" t="s">
        <v>83</v>
      </c>
      <c r="C11" s="34">
        <f>IFERROR($C$10-$C$66,"n/a")</f>
        <v>2.307876112439544e-13</v>
      </c>
      <c r="D11" s="31">
        <v>-6.402844920927464e-11</v>
      </c>
      <c r="E11" s="32">
        <f>IF(ISNUMBER(C11),C11-D11,"")</f>
        <v>6.42592368205186e-11</v>
      </c>
      <c r="F11" s="12" t="str">
        <f>IF(ISNUMBER(E11),IF(ABS(E11)&lt;=0.00001,"Yes","Changed"),"")</f>
        <v>Yes</v>
      </c>
    </row>
    <row r="12" spans="1:6" x14ac:dyDescent="0.25">
      <c r="A12" s="33" t="s">
        <v>9</v>
      </c>
      <c r="B12" s="26" t="s">
        <v>83</v>
      </c>
      <c r="C12" s="34">
        <f>IFERROR(IRR(D174:AC174),"n/a")</f>
        <v>0.09960342138751571</v>
      </c>
      <c r="D12" s="31">
        <v>0.09960342112113721</v>
      </c>
      <c r="E12" s="32">
        <f>IF(ISNUMBER(C12),C12-D12,"")</f>
        <v>2.663785025891485e-10</v>
      </c>
      <c r="F12" s="12" t="str">
        <f>IF(ISNUMBER(E12),IF(ABS(E12)&lt;=0.00001,"Yes","Changed"),"")</f>
        <v>Yes</v>
      </c>
    </row>
    <row r="13" spans="1:6" x14ac:dyDescent="0.25">
      <c r="A13" s="33" t="s">
        <v>85</v>
      </c>
      <c r="B13" s="26" t="s">
        <v>86</v>
      </c>
      <c r="C13" s="35">
        <f>D170+NPV($C$66,E170:AC170)</f>
        <v>5.3290705182007514e-14</v>
      </c>
      <c r="D13" s="36">
        <v>8.171241461241152e-14</v>
      </c>
      <c r="E13" s="37">
        <f>IF(ISNUMBER(C13),C13-D13,"")</f>
        <v>-2.842170943040401e-14</v>
      </c>
      <c r="F13" s="12" t="str">
        <f>IF(ISNUMBER(E13),IF(ABS(E13)&lt;=0.000001,"Yes","Changed"),"")</f>
        <v>Yes</v>
      </c>
    </row>
    <row r="14" spans="1:6" x14ac:dyDescent="0.25">
      <c r="A14" s="33" t="s">
        <v>87</v>
      </c>
      <c r="B14" s="26" t="s">
        <v>86</v>
      </c>
      <c r="C14" s="35">
        <f>D174+NPV($C$67,E174:AC174)</f>
        <v>-4.414653759394039</v>
      </c>
      <c r="D14" s="36">
        <v>-4.414653759393982</v>
      </c>
      <c r="E14" s="37">
        <f>IF(ISNUMBER(C14),C14-D14,"")</f>
        <v>-5.684341886080802e-14</v>
      </c>
      <c r="F14" s="12" t="str">
        <f>IF(ISNUMBER(E14),IF(ABS(E14)&lt;=0.000004414653759393982,"Yes","Changed"),"")</f>
        <v>Yes</v>
      </c>
    </row>
    <row r="15" spans="1:6" x14ac:dyDescent="0.25">
      <c r="A15" s="33" t="s">
        <v>11</v>
      </c>
      <c r="B15" s="26" t="s">
        <v>88</v>
      </c>
      <c r="C15" s="38">
        <f>IF(COUNT(E167:AC167)=0,"",MIN(E167:AC167))</f>
        <v>1.133711468359563</v>
      </c>
      <c r="D15" s="39">
        <v>1.133711468359563</v>
      </c>
      <c r="E15" s="40">
        <f>IF(ISNUMBER(C15),C15-D15,"")</f>
        <v>0</v>
      </c>
      <c r="F15" s="12" t="str">
        <f>IF(ISNUMBER(E15),IF(ABS(E15)&lt;=0.000001133711468359563,"Yes","Changed"),"")</f>
        <v>Yes</v>
      </c>
    </row>
    <row r="16" spans="1:6" x14ac:dyDescent="0.25">
      <c r="A16" s="33" t="s">
        <v>12</v>
      </c>
      <c r="B16" s="26" t="s">
        <v>88</v>
      </c>
      <c r="C16" s="38">
        <f>IF(COUNT(E167:AC167)=0,"",AVERAGE(E167:AC167))</f>
        <v>1.5576959212327717</v>
      </c>
      <c r="D16" s="39">
        <v>1.5576959212327717</v>
      </c>
      <c r="E16" s="40">
        <f>IF(ISNUMBER(C16),C16-D16,"")</f>
        <v>0</v>
      </c>
      <c r="F16" s="12" t="str">
        <f>IF(ISNUMBER(E16),IF(ABS(E16)&lt;=0.0000015576959212327717,"Yes","Changed"),"")</f>
        <v>Yes</v>
      </c>
    </row>
    <row r="17" spans="1:6" x14ac:dyDescent="0.25">
      <c r="A17" s="33" t="s">
        <v>89</v>
      </c>
      <c r="B17" s="26" t="s">
        <v>82</v>
      </c>
      <c r="C17" s="41">
        <f>IF(C179&gt;0,($C$84+C178)*10/C179,"")</f>
        <v>5.533527030216576</v>
      </c>
      <c r="D17" s="28">
        <v>5.533527030216576</v>
      </c>
      <c r="E17" s="29">
        <f>IF(ISNUMBER(C17),C17-D17,"")</f>
        <v>0</v>
      </c>
      <c r="F17" s="12" t="str">
        <f>IF(ISNUMBER(E17),IF(ABS(E17)&lt;=0.000005533527030216576,"Yes","Changed"),"")</f>
        <v>Yes</v>
      </c>
    </row>
    <row r="18" spans="1:6" x14ac:dyDescent="0.25">
      <c r="A18" s="33" t="s">
        <v>90</v>
      </c>
      <c r="B18" s="26" t="s">
        <v>82</v>
      </c>
      <c r="C18" s="41">
        <f>IF(C179&gt;0,C180*10/C179,"")</f>
        <v>7.043367848320879</v>
      </c>
      <c r="D18" s="28">
        <v>7.043367848320881</v>
      </c>
      <c r="E18" s="29">
        <f>IF(ISNUMBER(C18),C18-D18,"")</f>
        <v>-1.7763568394002505e-15</v>
      </c>
      <c r="F18" s="12" t="str">
        <f>IF(ISNUMBER(E18),IF(ABS(E18)&lt;=0.000007043367848320881,"Yes","Changed"),"")</f>
        <v>Yes</v>
      </c>
    </row>
    <row r="19" spans="1:6" x14ac:dyDescent="0.25">
      <c r="A19" s="33" t="s">
        <v>91</v>
      </c>
      <c r="B19" s="26" t="s">
        <v>92</v>
      </c>
      <c r="C19" s="42">
        <f>IF(COUNT(E172:AC172)=0,"beyond the term",MIN(E172:AC172))</f>
        <v>8</v>
      </c>
      <c r="D19" s="43">
        <v>8</v>
      </c>
      <c r="E19" s="44">
        <f>IF(ISNUMBER(C19),C19-D19,"")</f>
        <v>0</v>
      </c>
      <c r="F19" s="12" t="str">
        <f>IF(ISNUMBER(E19),IF(ABS(E19)&lt;=0.000008,"Yes","Changed"),"")</f>
        <v>Yes</v>
      </c>
    </row>
    <row r="20" spans="1:6" x14ac:dyDescent="0.25">
      <c r="A20" s="33" t="s">
        <v>93</v>
      </c>
      <c r="B20" s="26" t="s">
        <v>86</v>
      </c>
      <c r="C20" s="35">
        <f>$C$84</f>
        <v>1581.9723285425946</v>
      </c>
      <c r="D20" s="36">
        <v>1581.9723285425946</v>
      </c>
      <c r="E20" s="37">
        <f>IF(ISNUMBER(C20),C20-D20,"")</f>
        <v>0</v>
      </c>
      <c r="F20" s="12" t="str">
        <f>IF(ISNUMBER(E20),IF(ABS(E20)&lt;=0.0015819723285425945,"Yes","Changed"),"")</f>
        <v>Yes</v>
      </c>
    </row>
    <row r="21" spans="1:6" x14ac:dyDescent="0.25">
      <c r="A21" s="33" t="s">
        <v>94</v>
      </c>
      <c r="B21" s="26" t="s">
        <v>86</v>
      </c>
      <c r="C21" s="35">
        <f>$C$85</f>
        <v>1107.3806299798161</v>
      </c>
      <c r="D21" s="36">
        <v>1107.3806299798161</v>
      </c>
      <c r="E21" s="37">
        <f>IF(ISNUMBER(C21),C21-D21,"")</f>
        <v>0</v>
      </c>
      <c r="F21" s="12" t="str">
        <f>IF(ISNUMBER(E21),IF(ABS(E21)&lt;=0.0011073806299798162,"Yes","Changed"),"")</f>
        <v>Yes</v>
      </c>
    </row>
    <row r="22" spans="1:6" x14ac:dyDescent="0.25">
      <c r="A22" s="33" t="s">
        <v>95</v>
      </c>
      <c r="B22" s="26" t="s">
        <v>86</v>
      </c>
      <c r="C22" s="35">
        <f>$C$86</f>
        <v>474.59169856277845</v>
      </c>
      <c r="D22" s="36">
        <v>474.59169856277845</v>
      </c>
      <c r="E22" s="37">
        <f>IF(ISNUMBER(C22),C22-D22,"")</f>
        <v>0</v>
      </c>
      <c r="F22" s="12" t="str">
        <f>IF(ISNUMBER(E22),IF(ABS(E22)&lt;=0.00047459169856277843,"Yes","Changed"),"")</f>
        <v>Yes</v>
      </c>
    </row>
    <row r="23" spans="1:6" x14ac:dyDescent="0.25">
      <c r="A23" s="33" t="s">
        <v>96</v>
      </c>
      <c r="B23" s="26" t="s">
        <v>86</v>
      </c>
      <c r="C23" s="35">
        <f>C115</f>
        <v>6077.918396113618</v>
      </c>
      <c r="D23" s="36">
        <v>6077.918396113618</v>
      </c>
      <c r="E23" s="37">
        <f>IF(ISNUMBER(C23),C23-D23,"")</f>
        <v>0</v>
      </c>
      <c r="F23" s="12" t="str">
        <f>IF(ISNUMBER(E23),IF(ABS(E23)&lt;=0.0060779183961136175,"Yes","Changed"),"")</f>
        <v>Yes</v>
      </c>
    </row>
    <row r="24" spans="1:6" x14ac:dyDescent="0.25">
      <c r="A24" s="33" t="s">
        <v>97</v>
      </c>
      <c r="C24" s="45" t="str">
        <f>IF(AND($C$194="OK",$C$195="OK",$C$196="OK",$C$197="OK"),"OK","CHECK")</f>
        <v>OK</v>
      </c>
      <c r="F24" s="12" t="str">
        <f>IF(C24="OK","OK","CHECK")</f>
        <v>OK</v>
      </c>
    </row>
    <row r="25" spans="1:1" x14ac:dyDescent="0.25">
      <c r="A25" s="13" t="s">
        <v>98</v>
      </c>
    </row>
    <row r="27" ht="20" customHeight="1" spans="1:29" x14ac:dyDescent="0.25">
      <c r="A27" s="21" t="s">
        <v>99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pans="1:4" x14ac:dyDescent="0.25">
      <c r="A28" s="46" t="s">
        <v>100</v>
      </c>
      <c r="B28" s="47"/>
      <c r="C28" s="47"/>
      <c r="D28" s="47"/>
    </row>
    <row r="29" spans="1:4" x14ac:dyDescent="0.25">
      <c r="A29" s="33" t="s">
        <v>81</v>
      </c>
      <c r="B29" s="26" t="s">
        <v>82</v>
      </c>
      <c r="C29" s="48">
        <v>7.043367848320882</v>
      </c>
      <c r="D29" s="3" t="s">
        <v>101</v>
      </c>
    </row>
    <row r="30" spans="1:4" x14ac:dyDescent="0.25">
      <c r="A30" s="33" t="s">
        <v>102</v>
      </c>
      <c r="B30" s="26" t="s">
        <v>103</v>
      </c>
      <c r="C30" s="49">
        <v>0</v>
      </c>
      <c r="D30" s="50" t="s">
        <v>104</v>
      </c>
    </row>
    <row r="31" spans="1:4" x14ac:dyDescent="0.25">
      <c r="A31" s="46" t="s">
        <v>105</v>
      </c>
      <c r="B31" s="47"/>
      <c r="C31" s="47"/>
      <c r="D31" s="47"/>
    </row>
    <row r="32" spans="1:4" x14ac:dyDescent="0.25">
      <c r="A32" s="33" t="s">
        <v>38</v>
      </c>
      <c r="B32" s="26" t="s">
        <v>106</v>
      </c>
      <c r="C32" s="51">
        <v>130.77878579954532</v>
      </c>
      <c r="D32" s="3" t="s">
        <v>107</v>
      </c>
    </row>
    <row r="33" spans="1:4" x14ac:dyDescent="0.25">
      <c r="A33" s="33" t="s">
        <v>40</v>
      </c>
      <c r="B33" s="26" t="s">
        <v>106</v>
      </c>
      <c r="C33" s="51">
        <v>73.23155483158249</v>
      </c>
      <c r="D33" s="3" t="s">
        <v>107</v>
      </c>
    </row>
    <row r="34" spans="1:4" x14ac:dyDescent="0.25">
      <c r="A34" s="33" t="s">
        <v>108</v>
      </c>
      <c r="B34" s="26" t="s">
        <v>106</v>
      </c>
      <c r="C34" s="51">
        <v>105.7333465196337</v>
      </c>
      <c r="D34" s="3" t="s">
        <v>107</v>
      </c>
    </row>
    <row r="35" spans="1:4" x14ac:dyDescent="0.25">
      <c r="A35" s="33" t="s">
        <v>109</v>
      </c>
      <c r="B35" s="26" t="s">
        <v>110</v>
      </c>
      <c r="C35" s="51">
        <v>422.9333860785348</v>
      </c>
      <c r="D35" s="3" t="s">
        <v>107</v>
      </c>
    </row>
    <row r="36" spans="1:4" x14ac:dyDescent="0.25">
      <c r="A36" s="46" t="s">
        <v>111</v>
      </c>
      <c r="B36" s="47"/>
      <c r="C36" s="47"/>
      <c r="D36" s="47"/>
    </row>
    <row r="37" spans="1:4" x14ac:dyDescent="0.25">
      <c r="A37" s="33" t="s">
        <v>38</v>
      </c>
      <c r="B37" s="26" t="s">
        <v>112</v>
      </c>
      <c r="C37" s="52">
        <v>4</v>
      </c>
      <c r="D37" s="50" t="s">
        <v>104</v>
      </c>
    </row>
    <row r="38" spans="1:4" x14ac:dyDescent="0.25">
      <c r="A38" s="33" t="s">
        <v>40</v>
      </c>
      <c r="B38" s="26" t="s">
        <v>112</v>
      </c>
      <c r="C38" s="52">
        <v>6.5</v>
      </c>
      <c r="D38" s="50" t="s">
        <v>104</v>
      </c>
    </row>
    <row r="39" spans="1:4" x14ac:dyDescent="0.25">
      <c r="A39" s="33" t="s">
        <v>109</v>
      </c>
      <c r="B39" s="26" t="s">
        <v>113</v>
      </c>
      <c r="C39" s="52">
        <v>1.2</v>
      </c>
      <c r="D39" s="50" t="s">
        <v>104</v>
      </c>
    </row>
    <row r="40" spans="1:4" x14ac:dyDescent="0.25">
      <c r="A40" s="33" t="s">
        <v>114</v>
      </c>
      <c r="B40" s="26" t="s">
        <v>112</v>
      </c>
      <c r="C40" s="52">
        <v>0</v>
      </c>
      <c r="D40" s="3" t="s">
        <v>115</v>
      </c>
    </row>
    <row r="41" spans="1:4" x14ac:dyDescent="0.25">
      <c r="A41" s="33" t="s">
        <v>116</v>
      </c>
      <c r="B41" s="26" t="s">
        <v>86</v>
      </c>
      <c r="C41" s="53">
        <v>0</v>
      </c>
      <c r="D41" s="50" t="s">
        <v>104</v>
      </c>
    </row>
    <row r="42" spans="1:4" x14ac:dyDescent="0.25">
      <c r="A42" s="33" t="s">
        <v>117</v>
      </c>
      <c r="B42" s="26" t="s">
        <v>118</v>
      </c>
      <c r="C42" s="49">
        <v>0.05</v>
      </c>
      <c r="D42" s="50" t="s">
        <v>104</v>
      </c>
    </row>
    <row r="43" spans="1:4" x14ac:dyDescent="0.25">
      <c r="A43" s="46" t="s">
        <v>119</v>
      </c>
      <c r="B43" s="47"/>
      <c r="C43" s="47"/>
      <c r="D43" s="47"/>
    </row>
    <row r="44" spans="1:4" x14ac:dyDescent="0.25">
      <c r="A44" s="33" t="s">
        <v>120</v>
      </c>
      <c r="B44" s="26" t="s">
        <v>121</v>
      </c>
      <c r="C44" s="52">
        <v>4</v>
      </c>
      <c r="D44" s="50" t="s">
        <v>104</v>
      </c>
    </row>
    <row r="45" spans="1:4" x14ac:dyDescent="0.25">
      <c r="A45" s="33" t="s">
        <v>122</v>
      </c>
      <c r="B45" s="26" t="s">
        <v>121</v>
      </c>
      <c r="C45" s="52">
        <v>9</v>
      </c>
      <c r="D45" s="50" t="s">
        <v>104</v>
      </c>
    </row>
    <row r="46" spans="1:4" x14ac:dyDescent="0.25">
      <c r="A46" s="33" t="s">
        <v>123</v>
      </c>
      <c r="B46" s="26" t="s">
        <v>124</v>
      </c>
      <c r="C46" s="52">
        <v>1.2</v>
      </c>
      <c r="D46" s="50" t="s">
        <v>104</v>
      </c>
    </row>
    <row r="47" spans="1:4" x14ac:dyDescent="0.25">
      <c r="A47" s="33" t="s">
        <v>125</v>
      </c>
      <c r="B47" s="26" t="s">
        <v>103</v>
      </c>
      <c r="C47" s="49">
        <v>0.05</v>
      </c>
      <c r="D47" s="50" t="s">
        <v>104</v>
      </c>
    </row>
    <row r="48" spans="1:4" x14ac:dyDescent="0.25">
      <c r="A48" s="33" t="s">
        <v>126</v>
      </c>
      <c r="B48" s="26" t="s">
        <v>127</v>
      </c>
      <c r="C48" s="49">
        <v>0.003</v>
      </c>
      <c r="D48" s="50" t="s">
        <v>104</v>
      </c>
    </row>
    <row r="49" spans="1:4" x14ac:dyDescent="0.25">
      <c r="A49" s="33" t="s">
        <v>128</v>
      </c>
      <c r="B49" s="26" t="s">
        <v>129</v>
      </c>
      <c r="C49" s="53">
        <v>0</v>
      </c>
      <c r="D49" s="3" t="s">
        <v>130</v>
      </c>
    </row>
    <row r="50" spans="1:4" x14ac:dyDescent="0.25">
      <c r="A50" s="46" t="s">
        <v>131</v>
      </c>
      <c r="B50" s="47"/>
      <c r="C50" s="47"/>
      <c r="D50" s="47"/>
    </row>
    <row r="51" spans="1:4" x14ac:dyDescent="0.25">
      <c r="A51" s="33" t="s">
        <v>132</v>
      </c>
      <c r="B51" s="26" t="s">
        <v>133</v>
      </c>
      <c r="C51" s="54" t="s">
        <v>134</v>
      </c>
      <c r="D51" s="50" t="s">
        <v>104</v>
      </c>
    </row>
    <row r="52" spans="1:4" x14ac:dyDescent="0.25">
      <c r="A52" s="33" t="s">
        <v>135</v>
      </c>
      <c r="B52" s="26" t="s">
        <v>82</v>
      </c>
      <c r="C52" s="48">
        <v>0</v>
      </c>
      <c r="D52" s="3" t="s">
        <v>136</v>
      </c>
    </row>
    <row r="53" spans="1:4" x14ac:dyDescent="0.25">
      <c r="A53" s="33" t="s">
        <v>137</v>
      </c>
      <c r="B53" s="26" t="s">
        <v>138</v>
      </c>
      <c r="C53" s="49">
        <v>0</v>
      </c>
      <c r="D53" s="3" t="s">
        <v>48</v>
      </c>
    </row>
    <row r="54" spans="1:4" x14ac:dyDescent="0.25">
      <c r="A54" s="33" t="s">
        <v>139</v>
      </c>
      <c r="B54" s="26" t="s">
        <v>140</v>
      </c>
      <c r="C54" s="48">
        <v>0</v>
      </c>
      <c r="D54" s="3" t="s">
        <v>130</v>
      </c>
    </row>
    <row r="55" spans="1:4" x14ac:dyDescent="0.25">
      <c r="A55" s="33" t="s">
        <v>141</v>
      </c>
      <c r="B55" s="26" t="s">
        <v>142</v>
      </c>
      <c r="C55" s="55">
        <v>1.5</v>
      </c>
      <c r="D55" s="3" t="s">
        <v>48</v>
      </c>
    </row>
    <row r="56" spans="1:4" x14ac:dyDescent="0.25">
      <c r="A56" s="46" t="s">
        <v>143</v>
      </c>
      <c r="B56" s="47"/>
      <c r="C56" s="47"/>
      <c r="D56" s="47"/>
    </row>
    <row r="57" spans="1:4" x14ac:dyDescent="0.25">
      <c r="A57" s="33" t="s">
        <v>144</v>
      </c>
      <c r="B57" s="26" t="s">
        <v>145</v>
      </c>
      <c r="C57" s="54" t="s">
        <v>146</v>
      </c>
      <c r="D57" s="50" t="s">
        <v>104</v>
      </c>
    </row>
    <row r="58" spans="1:4" x14ac:dyDescent="0.25">
      <c r="A58" s="33" t="s">
        <v>147</v>
      </c>
      <c r="B58" s="26" t="s">
        <v>103</v>
      </c>
      <c r="C58" s="49">
        <v>0.02</v>
      </c>
      <c r="D58" s="50" t="s">
        <v>104</v>
      </c>
    </row>
    <row r="59" spans="1:4" x14ac:dyDescent="0.25">
      <c r="A59" s="33" t="s">
        <v>148</v>
      </c>
      <c r="B59" s="26" t="s">
        <v>92</v>
      </c>
      <c r="C59" s="56">
        <v>12</v>
      </c>
      <c r="D59" s="3" t="s">
        <v>149</v>
      </c>
    </row>
    <row r="60" spans="1:4" x14ac:dyDescent="0.25">
      <c r="A60" s="33" t="s">
        <v>150</v>
      </c>
      <c r="B60" s="26" t="s">
        <v>103</v>
      </c>
      <c r="C60" s="49">
        <v>0</v>
      </c>
      <c r="D60" s="3" t="s">
        <v>130</v>
      </c>
    </row>
    <row r="61" spans="1:4" x14ac:dyDescent="0.25">
      <c r="A61" s="46" t="s">
        <v>44</v>
      </c>
      <c r="B61" s="47"/>
      <c r="C61" s="47"/>
      <c r="D61" s="47"/>
    </row>
    <row r="62" spans="1:4" x14ac:dyDescent="0.25">
      <c r="A62" s="33" t="s">
        <v>151</v>
      </c>
      <c r="B62" s="26" t="s">
        <v>152</v>
      </c>
      <c r="C62" s="49">
        <v>0.7</v>
      </c>
      <c r="D62" s="50" t="s">
        <v>104</v>
      </c>
    </row>
    <row r="63" spans="1:4" x14ac:dyDescent="0.25">
      <c r="A63" s="33" t="s">
        <v>153</v>
      </c>
      <c r="B63" s="26" t="s">
        <v>103</v>
      </c>
      <c r="C63" s="49">
        <v>0.09</v>
      </c>
      <c r="D63" s="50" t="s">
        <v>104</v>
      </c>
    </row>
    <row r="64" spans="1:4" x14ac:dyDescent="0.25">
      <c r="A64" s="33" t="s">
        <v>154</v>
      </c>
      <c r="B64" s="26" t="s">
        <v>155</v>
      </c>
      <c r="C64" s="56">
        <v>15</v>
      </c>
      <c r="D64" s="50" t="s">
        <v>104</v>
      </c>
    </row>
    <row r="65" spans="1:4" x14ac:dyDescent="0.25">
      <c r="A65" s="33" t="s">
        <v>156</v>
      </c>
      <c r="B65" s="26" t="s">
        <v>157</v>
      </c>
      <c r="C65" s="54" t="s">
        <v>158</v>
      </c>
      <c r="D65" s="3" t="s">
        <v>130</v>
      </c>
    </row>
    <row r="66" spans="1:4" x14ac:dyDescent="0.25">
      <c r="A66" s="33" t="s">
        <v>159</v>
      </c>
      <c r="B66" s="26" t="s">
        <v>83</v>
      </c>
      <c r="C66" s="49">
        <v>0.14</v>
      </c>
      <c r="D66" s="50" t="s">
        <v>104</v>
      </c>
    </row>
    <row r="67" spans="1:4" x14ac:dyDescent="0.25">
      <c r="A67" s="33" t="s">
        <v>160</v>
      </c>
      <c r="B67" s="26" t="s">
        <v>83</v>
      </c>
      <c r="C67" s="49">
        <v>0.1</v>
      </c>
      <c r="D67" s="3" t="s">
        <v>130</v>
      </c>
    </row>
    <row r="68" spans="1:4" x14ac:dyDescent="0.25">
      <c r="A68" s="46" t="s">
        <v>161</v>
      </c>
      <c r="B68" s="47"/>
      <c r="C68" s="47"/>
      <c r="D68" s="47"/>
    </row>
    <row r="69" spans="1:4" x14ac:dyDescent="0.25">
      <c r="A69" s="33" t="s">
        <v>162</v>
      </c>
      <c r="B69" s="26" t="s">
        <v>83</v>
      </c>
      <c r="C69" s="49">
        <v>0.2517</v>
      </c>
      <c r="D69" s="50" t="s">
        <v>104</v>
      </c>
    </row>
    <row r="70" spans="1:4" x14ac:dyDescent="0.25">
      <c r="A70" s="33" t="s">
        <v>163</v>
      </c>
      <c r="B70" s="26" t="s">
        <v>164</v>
      </c>
      <c r="C70" s="54" t="s">
        <v>165</v>
      </c>
      <c r="D70" s="3" t="s">
        <v>130</v>
      </c>
    </row>
    <row r="71" spans="1:4" x14ac:dyDescent="0.25">
      <c r="A71" s="33" t="s">
        <v>166</v>
      </c>
      <c r="B71" s="26" t="s">
        <v>103</v>
      </c>
      <c r="C71" s="49">
        <v>0.4</v>
      </c>
      <c r="D71" s="3" t="s">
        <v>130</v>
      </c>
    </row>
    <row r="72" spans="1:4" x14ac:dyDescent="0.25">
      <c r="A72" s="33" t="s">
        <v>167</v>
      </c>
      <c r="B72" s="26" t="s">
        <v>155</v>
      </c>
      <c r="C72" s="56">
        <v>25</v>
      </c>
      <c r="D72" s="3" t="s">
        <v>130</v>
      </c>
    </row>
    <row r="73" spans="1:4" x14ac:dyDescent="0.25">
      <c r="A73" s="33" t="s">
        <v>168</v>
      </c>
      <c r="B73" s="26" t="s">
        <v>152</v>
      </c>
      <c r="C73" s="49">
        <v>0.1</v>
      </c>
      <c r="D73" s="3" t="s">
        <v>130</v>
      </c>
    </row>
    <row r="74" spans="1:4" x14ac:dyDescent="0.25">
      <c r="A74" s="33" t="s">
        <v>169</v>
      </c>
      <c r="B74" s="26" t="s">
        <v>170</v>
      </c>
      <c r="C74" s="56">
        <v>45</v>
      </c>
      <c r="D74" s="3" t="s">
        <v>130</v>
      </c>
    </row>
    <row r="76" ht="20" customHeight="1" spans="1:29" x14ac:dyDescent="0.25">
      <c r="A76" s="21" t="s">
        <v>171</v>
      </c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</row>
    <row r="77" spans="1:3" x14ac:dyDescent="0.25">
      <c r="A77" s="33" t="s">
        <v>38</v>
      </c>
      <c r="B77" s="26" t="s">
        <v>86</v>
      </c>
      <c r="C77" s="37">
        <f>$C$32*$C$37</f>
        <v>523.1151431981813</v>
      </c>
    </row>
    <row r="78" spans="1:3" x14ac:dyDescent="0.25">
      <c r="A78" s="33" t="s">
        <v>40</v>
      </c>
      <c r="B78" s="26" t="s">
        <v>86</v>
      </c>
      <c r="C78" s="37">
        <f>$C$33*$C$38</f>
        <v>476.00510640528614</v>
      </c>
    </row>
    <row r="79" spans="1:3" x14ac:dyDescent="0.25">
      <c r="A79" s="33" t="s">
        <v>109</v>
      </c>
      <c r="B79" s="26" t="s">
        <v>86</v>
      </c>
      <c r="C79" s="37">
        <f>$C$35*$C$39</f>
        <v>507.5200632942417</v>
      </c>
    </row>
    <row r="80" spans="1:3" x14ac:dyDescent="0.25">
      <c r="A80" s="33" t="s">
        <v>114</v>
      </c>
      <c r="B80" s="26" t="s">
        <v>86</v>
      </c>
      <c r="C80" s="37">
        <f>$C$34*$C$40</f>
        <v>0</v>
      </c>
    </row>
    <row r="81" spans="1:3" x14ac:dyDescent="0.25">
      <c r="A81" s="33" t="s">
        <v>116</v>
      </c>
      <c r="B81" s="26" t="s">
        <v>86</v>
      </c>
      <c r="C81" s="37">
        <f>$C$41</f>
        <v>0</v>
      </c>
    </row>
    <row r="82" spans="1:3" x14ac:dyDescent="0.25">
      <c r="A82" s="25" t="s">
        <v>172</v>
      </c>
      <c r="B82" s="26" t="s">
        <v>86</v>
      </c>
      <c r="C82" s="57">
        <f>SUM($C$77:$C$81)</f>
        <v>1506.640312897709</v>
      </c>
    </row>
    <row r="83" spans="1:3" x14ac:dyDescent="0.25">
      <c r="A83" s="33" t="s">
        <v>117</v>
      </c>
      <c r="B83" s="26" t="s">
        <v>86</v>
      </c>
      <c r="C83" s="37">
        <f>$C$82*$C$42</f>
        <v>75.33201564488546</v>
      </c>
    </row>
    <row r="84" spans="1:3" x14ac:dyDescent="0.25">
      <c r="A84" s="25" t="s">
        <v>173</v>
      </c>
      <c r="B84" s="26" t="s">
        <v>86</v>
      </c>
      <c r="C84" s="57">
        <f>$C$82+$C$83</f>
        <v>1581.9723285425946</v>
      </c>
    </row>
    <row r="85" spans="1:3" x14ac:dyDescent="0.25">
      <c r="A85" s="33" t="s">
        <v>94</v>
      </c>
      <c r="B85" s="26" t="s">
        <v>86</v>
      </c>
      <c r="C85" s="37">
        <f>$C$84*$C$62</f>
        <v>1107.3806299798161</v>
      </c>
    </row>
    <row r="86" spans="1:3" x14ac:dyDescent="0.25">
      <c r="A86" s="33" t="s">
        <v>95</v>
      </c>
      <c r="B86" s="26" t="s">
        <v>86</v>
      </c>
      <c r="C86" s="37">
        <f>$C$84-$C$85</f>
        <v>474.59169856277845</v>
      </c>
    </row>
    <row r="87" spans="1:3" x14ac:dyDescent="0.25">
      <c r="A87" s="33" t="s">
        <v>174</v>
      </c>
      <c r="B87" s="26" t="s">
        <v>155</v>
      </c>
      <c r="C87" s="44">
        <f>COUNT(E5:AC5)</f>
        <v>25</v>
      </c>
    </row>
    <row r="88" spans="1:3" x14ac:dyDescent="0.25">
      <c r="A88" s="33" t="s">
        <v>175</v>
      </c>
      <c r="B88" s="26" t="s">
        <v>155</v>
      </c>
      <c r="C88" s="44">
        <f>MIN($C$87,MAX(1,ROUND($C$64,0)))</f>
        <v>15</v>
      </c>
    </row>
    <row r="89" spans="1:3" x14ac:dyDescent="0.25">
      <c r="A89" s="33" t="s">
        <v>176</v>
      </c>
      <c r="B89" s="26" t="s">
        <v>129</v>
      </c>
      <c r="C89" s="37">
        <f>IF($C$63&lt;=0,$C$85/$C$88,$C$85*$C$63*(1+$C$63)^$C$88/((1+$C$63)^$C$88-1))</f>
        <v>137.38040362389242</v>
      </c>
    </row>
    <row r="90" spans="1:3" x14ac:dyDescent="0.25">
      <c r="A90" s="33" t="s">
        <v>177</v>
      </c>
      <c r="B90" s="26" t="s">
        <v>129</v>
      </c>
      <c r="C90" s="37">
        <f>$C$85/$C$88</f>
        <v>73.82537533198774</v>
      </c>
    </row>
    <row r="91" spans="1:3" x14ac:dyDescent="0.25">
      <c r="A91" s="33" t="s">
        <v>178</v>
      </c>
      <c r="B91" s="26" t="s">
        <v>86</v>
      </c>
      <c r="C91" s="37">
        <f>$C$84*(1-$C$73)</f>
        <v>1423.775095688335</v>
      </c>
    </row>
    <row r="92" spans="1:3" x14ac:dyDescent="0.25">
      <c r="A92" s="33" t="s">
        <v>179</v>
      </c>
      <c r="B92" s="26" t="s">
        <v>129</v>
      </c>
      <c r="C92" s="37">
        <f>$C$91/$C$72</f>
        <v>56.951003827533405</v>
      </c>
    </row>
    <row r="94" ht="20" customHeight="1" spans="1:29" x14ac:dyDescent="0.25">
      <c r="A94" s="21" t="s">
        <v>180</v>
      </c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</row>
    <row r="95" spans="1:29" x14ac:dyDescent="0.25">
      <c r="A95" s="33" t="s">
        <v>181</v>
      </c>
      <c r="B95" s="26" t="s">
        <v>182</v>
      </c>
      <c r="C95" s="58">
        <f>SUM(E95:AC95)</f>
        <v>10950</v>
      </c>
      <c r="E95" s="51">
        <v>438</v>
      </c>
      <c r="F95" s="51">
        <v>438</v>
      </c>
      <c r="G95" s="51">
        <v>438</v>
      </c>
      <c r="H95" s="51">
        <v>438</v>
      </c>
      <c r="I95" s="51">
        <v>438</v>
      </c>
      <c r="J95" s="51">
        <v>438</v>
      </c>
      <c r="K95" s="51">
        <v>438</v>
      </c>
      <c r="L95" s="51">
        <v>438</v>
      </c>
      <c r="M95" s="51">
        <v>438</v>
      </c>
      <c r="N95" s="51">
        <v>438</v>
      </c>
      <c r="O95" s="51">
        <v>438</v>
      </c>
      <c r="P95" s="51">
        <v>438</v>
      </c>
      <c r="Q95" s="51">
        <v>438</v>
      </c>
      <c r="R95" s="51">
        <v>438</v>
      </c>
      <c r="S95" s="51">
        <v>438</v>
      </c>
      <c r="T95" s="51">
        <v>438</v>
      </c>
      <c r="U95" s="51">
        <v>438</v>
      </c>
      <c r="V95" s="51">
        <v>438</v>
      </c>
      <c r="W95" s="51">
        <v>438</v>
      </c>
      <c r="X95" s="51">
        <v>438</v>
      </c>
      <c r="Y95" s="51">
        <v>438</v>
      </c>
      <c r="Z95" s="51">
        <v>438</v>
      </c>
      <c r="AA95" s="51">
        <v>438</v>
      </c>
      <c r="AB95" s="51">
        <v>438</v>
      </c>
      <c r="AC95" s="51">
        <v>438</v>
      </c>
    </row>
    <row r="96" spans="1:29" x14ac:dyDescent="0.25">
      <c r="A96" s="33" t="s">
        <v>183</v>
      </c>
      <c r="B96" s="26" t="s">
        <v>182</v>
      </c>
      <c r="C96" s="58">
        <f>SUM(E96:AC96)</f>
        <v>9595.126747125765</v>
      </c>
      <c r="E96" s="51">
        <v>389.3019923950858</v>
      </c>
      <c r="F96" s="51">
        <v>388.8439155192479</v>
      </c>
      <c r="G96" s="51">
        <v>388.3858386434099</v>
      </c>
      <c r="H96" s="51">
        <v>387.92776176757195</v>
      </c>
      <c r="I96" s="51">
        <v>387.46968489173406</v>
      </c>
      <c r="J96" s="51">
        <v>387.0116080158961</v>
      </c>
      <c r="K96" s="51">
        <v>386.55353114005817</v>
      </c>
      <c r="L96" s="51">
        <v>386.0954542642202</v>
      </c>
      <c r="M96" s="51">
        <v>385.63737738838233</v>
      </c>
      <c r="N96" s="51">
        <v>385.17930051254433</v>
      </c>
      <c r="O96" s="51">
        <v>384.72122363670644</v>
      </c>
      <c r="P96" s="51">
        <v>384.2631467608685</v>
      </c>
      <c r="Q96" s="51">
        <v>383.8050698850305</v>
      </c>
      <c r="R96" s="51">
        <v>383.3469930091926</v>
      </c>
      <c r="S96" s="51">
        <v>382.88891613335466</v>
      </c>
      <c r="T96" s="51">
        <v>382.4308392575167</v>
      </c>
      <c r="U96" s="51">
        <v>381.9727623816788</v>
      </c>
      <c r="V96" s="51">
        <v>381.5146855058408</v>
      </c>
      <c r="W96" s="51">
        <v>381.05660863000287</v>
      </c>
      <c r="X96" s="51">
        <v>380.598531754165</v>
      </c>
      <c r="Y96" s="51">
        <v>380.14045487832703</v>
      </c>
      <c r="Z96" s="51">
        <v>379.68237800248903</v>
      </c>
      <c r="AA96" s="51">
        <v>379.22430112665114</v>
      </c>
      <c r="AB96" s="51">
        <v>378.7662242508132</v>
      </c>
      <c r="AC96" s="51">
        <v>378.30814737497525</v>
      </c>
    </row>
    <row r="97" spans="1:29" x14ac:dyDescent="0.25">
      <c r="A97" s="33" t="s">
        <v>184</v>
      </c>
      <c r="B97" s="26" t="s">
        <v>83</v>
      </c>
      <c r="E97" s="32">
        <f>IF(E95&gt;0,E96/E95,1)</f>
        <v>0.8888173342353557</v>
      </c>
      <c r="F97" s="32">
        <f>IF(F95&gt;0,F96/F95,1)</f>
        <v>0.8877714966192874</v>
      </c>
      <c r="G97" s="32">
        <f>IF(G95&gt;0,G96/G95,1)</f>
        <v>0.886725659003219</v>
      </c>
      <c r="H97" s="32">
        <f>IF(H95&gt;0,H96/H95,1)</f>
        <v>0.8856798213871506</v>
      </c>
      <c r="I97" s="32">
        <f>IF(I95&gt;0,I96/I95,1)</f>
        <v>0.8846339837710824</v>
      </c>
      <c r="J97" s="32">
        <f>IF(J95&gt;0,J96/J95,1)</f>
        <v>0.8835881461550139</v>
      </c>
      <c r="K97" s="32">
        <f>IF(K95&gt;0,K96/K95,1)</f>
        <v>0.8825423085389456</v>
      </c>
      <c r="L97" s="32">
        <f>IF(L95&gt;0,L96/L95,1)</f>
        <v>0.8814964709228772</v>
      </c>
      <c r="M97" s="32">
        <f>IF(M95&gt;0,M96/M95,1)</f>
        <v>0.880450633306809</v>
      </c>
      <c r="N97" s="32">
        <f>IF(N95&gt;0,N96/N95,1)</f>
        <v>0.8794047956907405</v>
      </c>
      <c r="O97" s="32">
        <f>IF(O95&gt;0,O96/O95,1)</f>
        <v>0.8783589580746722</v>
      </c>
      <c r="P97" s="32">
        <f>IF(P95&gt;0,P96/P95,1)</f>
        <v>0.8773131204586039</v>
      </c>
      <c r="Q97" s="32">
        <f>IF(Q95&gt;0,Q96/Q95,1)</f>
        <v>0.8762672828425354</v>
      </c>
      <c r="R97" s="32">
        <f>IF(R95&gt;0,R96/R95,1)</f>
        <v>0.8752214452264672</v>
      </c>
      <c r="S97" s="32">
        <f>IF(S95&gt;0,S96/S95,1)</f>
        <v>0.8741756076103988</v>
      </c>
      <c r="T97" s="32">
        <f>IF(T95&gt;0,T96/T95,1)</f>
        <v>0.8731297699943303</v>
      </c>
      <c r="U97" s="32">
        <f>IF(U95&gt;0,U96/U95,1)</f>
        <v>0.8720839323782621</v>
      </c>
      <c r="V97" s="32">
        <f>IF(V95&gt;0,V96/V95,1)</f>
        <v>0.8710380947621936</v>
      </c>
      <c r="W97" s="32">
        <f>IF(W95&gt;0,W96/W95,1)</f>
        <v>0.8699922571461253</v>
      </c>
      <c r="X97" s="32">
        <f>IF(X95&gt;0,X96/X95,1)</f>
        <v>0.868946419530057</v>
      </c>
      <c r="Y97" s="32">
        <f>IF(Y95&gt;0,Y96/Y95,1)</f>
        <v>0.8679005819139887</v>
      </c>
      <c r="Z97" s="32">
        <f>IF(Z95&gt;0,Z96/Z95,1)</f>
        <v>0.8668547442979202</v>
      </c>
      <c r="AA97" s="32">
        <f>IF(AA95&gt;0,AA96/AA95,1)</f>
        <v>0.865808906681852</v>
      </c>
      <c r="AB97" s="32">
        <f>IF(AB95&gt;0,AB96/AB95,1)</f>
        <v>0.8647630690657836</v>
      </c>
      <c r="AC97" s="32">
        <f>IF(AC95&gt;0,AC96/AC95,1)</f>
        <v>0.8637172314497151</v>
      </c>
    </row>
    <row r="98" spans="1:29" x14ac:dyDescent="0.25">
      <c r="A98" s="33" t="s">
        <v>185</v>
      </c>
      <c r="B98" s="26" t="s">
        <v>182</v>
      </c>
      <c r="C98" s="58">
        <f>SUM(E98:AC98)</f>
        <v>0</v>
      </c>
      <c r="E98" s="59">
        <f>MAX(0,$C$53*E95-E96)</f>
        <v>0</v>
      </c>
      <c r="F98" s="59">
        <f>MAX(0,$C$53*F95-F96)</f>
        <v>0</v>
      </c>
      <c r="G98" s="59">
        <f>MAX(0,$C$53*G95-G96)</f>
        <v>0</v>
      </c>
      <c r="H98" s="59">
        <f>MAX(0,$C$53*H95-H96)</f>
        <v>0</v>
      </c>
      <c r="I98" s="59">
        <f>MAX(0,$C$53*I95-I96)</f>
        <v>0</v>
      </c>
      <c r="J98" s="59">
        <f>MAX(0,$C$53*J95-J96)</f>
        <v>0</v>
      </c>
      <c r="K98" s="59">
        <f>MAX(0,$C$53*K95-K96)</f>
        <v>0</v>
      </c>
      <c r="L98" s="59">
        <f>MAX(0,$C$53*L95-L96)</f>
        <v>0</v>
      </c>
      <c r="M98" s="59">
        <f>MAX(0,$C$53*M95-M96)</f>
        <v>0</v>
      </c>
      <c r="N98" s="59">
        <f>MAX(0,$C$53*N95-N96)</f>
        <v>0</v>
      </c>
      <c r="O98" s="59">
        <f>MAX(0,$C$53*O95-O96)</f>
        <v>0</v>
      </c>
      <c r="P98" s="59">
        <f>MAX(0,$C$53*P95-P96)</f>
        <v>0</v>
      </c>
      <c r="Q98" s="59">
        <f>MAX(0,$C$53*Q95-Q96)</f>
        <v>0</v>
      </c>
      <c r="R98" s="59">
        <f>MAX(0,$C$53*R95-R96)</f>
        <v>0</v>
      </c>
      <c r="S98" s="59">
        <f>MAX(0,$C$53*S95-S96)</f>
        <v>0</v>
      </c>
      <c r="T98" s="59">
        <f>MAX(0,$C$53*T95-T96)</f>
        <v>0</v>
      </c>
      <c r="U98" s="59">
        <f>MAX(0,$C$53*U95-U96)</f>
        <v>0</v>
      </c>
      <c r="V98" s="59">
        <f>MAX(0,$C$53*V95-V96)</f>
        <v>0</v>
      </c>
      <c r="W98" s="59">
        <f>MAX(0,$C$53*W95-W96)</f>
        <v>0</v>
      </c>
      <c r="X98" s="59">
        <f>MAX(0,$C$53*X95-X96)</f>
        <v>0</v>
      </c>
      <c r="Y98" s="59">
        <f>MAX(0,$C$53*Y95-Y96)</f>
        <v>0</v>
      </c>
      <c r="Z98" s="59">
        <f>MAX(0,$C$53*Z95-Z96)</f>
        <v>0</v>
      </c>
      <c r="AA98" s="59">
        <f>MAX(0,$C$53*AA95-AA96)</f>
        <v>0</v>
      </c>
      <c r="AB98" s="59">
        <f>MAX(0,$C$53*AB95-AB96)</f>
        <v>0</v>
      </c>
      <c r="AC98" s="59">
        <f>MAX(0,$C$53*AC95-AC96)</f>
        <v>0</v>
      </c>
    </row>
    <row r="99" spans="1:29" x14ac:dyDescent="0.25">
      <c r="A99" s="33" t="s">
        <v>186</v>
      </c>
      <c r="B99" s="26" t="s">
        <v>182</v>
      </c>
      <c r="C99" s="58">
        <f>SUM(E99:AC99)</f>
        <v>643.898715939318</v>
      </c>
      <c r="E99" s="51">
        <v>24.064717166549077</v>
      </c>
      <c r="F99" s="51">
        <v>24.205653122467712</v>
      </c>
      <c r="G99" s="51">
        <v>24.346589078386348</v>
      </c>
      <c r="H99" s="51">
        <v>24.487525034304984</v>
      </c>
      <c r="I99" s="51">
        <v>24.628460990223623</v>
      </c>
      <c r="J99" s="51">
        <v>24.769396946142262</v>
      </c>
      <c r="K99" s="51">
        <v>24.910332902060897</v>
      </c>
      <c r="L99" s="51">
        <v>25.051268857979533</v>
      </c>
      <c r="M99" s="51">
        <v>25.192204813898172</v>
      </c>
      <c r="N99" s="51">
        <v>25.333140769816808</v>
      </c>
      <c r="O99" s="51">
        <v>25.474076725735443</v>
      </c>
      <c r="P99" s="51">
        <v>25.615012681654083</v>
      </c>
      <c r="Q99" s="51">
        <v>25.755948637572722</v>
      </c>
      <c r="R99" s="51">
        <v>25.896884593491354</v>
      </c>
      <c r="S99" s="51">
        <v>26.037820549409993</v>
      </c>
      <c r="T99" s="51">
        <v>26.178756505328632</v>
      </c>
      <c r="U99" s="51">
        <v>26.319692461247268</v>
      </c>
      <c r="V99" s="51">
        <v>26.460628417165907</v>
      </c>
      <c r="W99" s="51">
        <v>26.60156437308454</v>
      </c>
      <c r="X99" s="51">
        <v>26.742500329003178</v>
      </c>
      <c r="Y99" s="51">
        <v>26.883436284921814</v>
      </c>
      <c r="Z99" s="51">
        <v>27.02437224084045</v>
      </c>
      <c r="AA99" s="51">
        <v>27.165308196759092</v>
      </c>
      <c r="AB99" s="51">
        <v>27.306244152677724</v>
      </c>
      <c r="AC99" s="51">
        <v>27.447180108596363</v>
      </c>
    </row>
    <row r="100" spans="1:29" x14ac:dyDescent="0.25">
      <c r="A100" s="33" t="s">
        <v>187</v>
      </c>
      <c r="B100" s="26" t="s">
        <v>182</v>
      </c>
      <c r="C100" s="58">
        <f>SUM(E100:AC100)</f>
        <v>0</v>
      </c>
      <c r="E100" s="51">
        <v>0</v>
      </c>
      <c r="F100" s="51">
        <v>0</v>
      </c>
      <c r="G100" s="51">
        <v>0</v>
      </c>
      <c r="H100" s="51">
        <v>0</v>
      </c>
      <c r="I100" s="51">
        <v>0</v>
      </c>
      <c r="J100" s="51">
        <v>0</v>
      </c>
      <c r="K100" s="51">
        <v>0</v>
      </c>
      <c r="L100" s="51">
        <v>0</v>
      </c>
      <c r="M100" s="51">
        <v>0</v>
      </c>
      <c r="N100" s="51">
        <v>0</v>
      </c>
      <c r="O100" s="51">
        <v>0</v>
      </c>
      <c r="P100" s="51">
        <v>0</v>
      </c>
      <c r="Q100" s="51">
        <v>0</v>
      </c>
      <c r="R100" s="51">
        <v>0</v>
      </c>
      <c r="S100" s="51">
        <v>0</v>
      </c>
      <c r="T100" s="51">
        <v>0</v>
      </c>
      <c r="U100" s="51">
        <v>0</v>
      </c>
      <c r="V100" s="51">
        <v>0</v>
      </c>
      <c r="W100" s="51">
        <v>0</v>
      </c>
      <c r="X100" s="51">
        <v>0</v>
      </c>
      <c r="Y100" s="51">
        <v>0</v>
      </c>
      <c r="Z100" s="51">
        <v>0</v>
      </c>
      <c r="AA100" s="51">
        <v>0</v>
      </c>
      <c r="AB100" s="51">
        <v>0</v>
      </c>
      <c r="AC100" s="51">
        <v>0</v>
      </c>
    </row>
    <row r="101" spans="1:29" x14ac:dyDescent="0.25">
      <c r="A101" s="33" t="s">
        <v>135</v>
      </c>
      <c r="B101" s="26" t="s">
        <v>82</v>
      </c>
      <c r="E101" s="29">
        <f>$C$52</f>
        <v>0</v>
      </c>
      <c r="F101" s="29">
        <f>$C$52</f>
        <v>0</v>
      </c>
      <c r="G101" s="29">
        <f>$C$52</f>
        <v>0</v>
      </c>
      <c r="H101" s="29">
        <f>$C$52</f>
        <v>0</v>
      </c>
      <c r="I101" s="29">
        <f>$C$52</f>
        <v>0</v>
      </c>
      <c r="J101" s="29">
        <f>$C$52</f>
        <v>0</v>
      </c>
      <c r="K101" s="29">
        <f>$C$52</f>
        <v>0</v>
      </c>
      <c r="L101" s="29">
        <f>$C$52</f>
        <v>0</v>
      </c>
      <c r="M101" s="29">
        <f>$C$52</f>
        <v>0</v>
      </c>
      <c r="N101" s="29">
        <f>$C$52</f>
        <v>0</v>
      </c>
      <c r="O101" s="29">
        <f>$C$52</f>
        <v>0</v>
      </c>
      <c r="P101" s="29">
        <f>$C$52</f>
        <v>0</v>
      </c>
      <c r="Q101" s="29">
        <f>$C$52</f>
        <v>0</v>
      </c>
      <c r="R101" s="29">
        <f>$C$52</f>
        <v>0</v>
      </c>
      <c r="S101" s="29">
        <f>$C$52</f>
        <v>0</v>
      </c>
      <c r="T101" s="29">
        <f>$C$52</f>
        <v>0</v>
      </c>
      <c r="U101" s="29">
        <f>$C$52</f>
        <v>0</v>
      </c>
      <c r="V101" s="29">
        <f>$C$52</f>
        <v>0</v>
      </c>
      <c r="W101" s="29">
        <f>$C$52</f>
        <v>0</v>
      </c>
      <c r="X101" s="29">
        <f>$C$52</f>
        <v>0</v>
      </c>
      <c r="Y101" s="29">
        <f>$C$52</f>
        <v>0</v>
      </c>
      <c r="Z101" s="29">
        <f>$C$52</f>
        <v>0</v>
      </c>
      <c r="AA101" s="29">
        <f>$C$52</f>
        <v>0</v>
      </c>
      <c r="AB101" s="29">
        <f>$C$52</f>
        <v>0</v>
      </c>
      <c r="AC101" s="29">
        <f>$C$52</f>
        <v>0</v>
      </c>
    </row>
    <row r="103" ht="20" customHeight="1" spans="1:29" x14ac:dyDescent="0.25">
      <c r="A103" s="21" t="s">
        <v>188</v>
      </c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</row>
    <row r="104" spans="1:29" x14ac:dyDescent="0.25">
      <c r="A104" s="33" t="s">
        <v>100</v>
      </c>
      <c r="B104" s="26" t="s">
        <v>88</v>
      </c>
      <c r="E104" s="60">
        <f>(1+$C$30)^(E$5-1)</f>
        <v>1</v>
      </c>
      <c r="F104" s="60">
        <f>(1+$C$30)^(F$5-1)</f>
        <v>1</v>
      </c>
      <c r="G104" s="60">
        <f>(1+$C$30)^(G$5-1)</f>
        <v>1</v>
      </c>
      <c r="H104" s="60">
        <f>(1+$C$30)^(H$5-1)</f>
        <v>1</v>
      </c>
      <c r="I104" s="60">
        <f>(1+$C$30)^(I$5-1)</f>
        <v>1</v>
      </c>
      <c r="J104" s="60">
        <f>(1+$C$30)^(J$5-1)</f>
        <v>1</v>
      </c>
      <c r="K104" s="60">
        <f>(1+$C$30)^(K$5-1)</f>
        <v>1</v>
      </c>
      <c r="L104" s="60">
        <f>(1+$C$30)^(L$5-1)</f>
        <v>1</v>
      </c>
      <c r="M104" s="60">
        <f>(1+$C$30)^(M$5-1)</f>
        <v>1</v>
      </c>
      <c r="N104" s="60">
        <f>(1+$C$30)^(N$5-1)</f>
        <v>1</v>
      </c>
      <c r="O104" s="60">
        <f>(1+$C$30)^(O$5-1)</f>
        <v>1</v>
      </c>
      <c r="P104" s="60">
        <f>(1+$C$30)^(P$5-1)</f>
        <v>1</v>
      </c>
      <c r="Q104" s="60">
        <f>(1+$C$30)^(Q$5-1)</f>
        <v>1</v>
      </c>
      <c r="R104" s="60">
        <f>(1+$C$30)^(R$5-1)</f>
        <v>1</v>
      </c>
      <c r="S104" s="60">
        <f>(1+$C$30)^(S$5-1)</f>
        <v>1</v>
      </c>
      <c r="T104" s="60">
        <f>(1+$C$30)^(T$5-1)</f>
        <v>1</v>
      </c>
      <c r="U104" s="60">
        <f>(1+$C$30)^(U$5-1)</f>
        <v>1</v>
      </c>
      <c r="V104" s="60">
        <f>(1+$C$30)^(V$5-1)</f>
        <v>1</v>
      </c>
      <c r="W104" s="60">
        <f>(1+$C$30)^(W$5-1)</f>
        <v>1</v>
      </c>
      <c r="X104" s="60">
        <f>(1+$C$30)^(X$5-1)</f>
        <v>1</v>
      </c>
      <c r="Y104" s="60">
        <f>(1+$C$30)^(Y$5-1)</f>
        <v>1</v>
      </c>
      <c r="Z104" s="60">
        <f>(1+$C$30)^(Z$5-1)</f>
        <v>1</v>
      </c>
      <c r="AA104" s="60">
        <f>(1+$C$30)^(AA$5-1)</f>
        <v>1</v>
      </c>
      <c r="AB104" s="60">
        <f>(1+$C$30)^(AB$5-1)</f>
        <v>1</v>
      </c>
      <c r="AC104" s="60">
        <f>(1+$C$30)^(AC$5-1)</f>
        <v>1</v>
      </c>
    </row>
    <row r="105" spans="1:29" x14ac:dyDescent="0.25">
      <c r="A105" s="33" t="s">
        <v>189</v>
      </c>
      <c r="B105" s="26" t="s">
        <v>88</v>
      </c>
      <c r="E105" s="60">
        <f>(1+$C$47)^(E$5-1)</f>
        <v>1</v>
      </c>
      <c r="F105" s="60">
        <f>(1+$C$47)^(F$5-1)</f>
        <v>1.05</v>
      </c>
      <c r="G105" s="60">
        <f>(1+$C$47)^(G$5-1)</f>
        <v>1.1025</v>
      </c>
      <c r="H105" s="60">
        <f>(1+$C$47)^(H$5-1)</f>
        <v>1.1576250000000001</v>
      </c>
      <c r="I105" s="60">
        <f>(1+$C$47)^(I$5-1)</f>
        <v>1.2155062500000002</v>
      </c>
      <c r="J105" s="60">
        <f>(1+$C$47)^(J$5-1)</f>
        <v>1.2762815625000004</v>
      </c>
      <c r="K105" s="60">
        <f>(1+$C$47)^(K$5-1)</f>
        <v>1.3400956406250004</v>
      </c>
      <c r="L105" s="60">
        <f>(1+$C$47)^(L$5-1)</f>
        <v>1.4071004226562505</v>
      </c>
      <c r="M105" s="60">
        <f>(1+$C$47)^(M$5-1)</f>
        <v>1.477455443789063</v>
      </c>
      <c r="N105" s="60">
        <f>(1+$C$47)^(N$5-1)</f>
        <v>1.5513282159785162</v>
      </c>
      <c r="O105" s="60">
        <f>(1+$C$47)^(O$5-1)</f>
        <v>1.6288946267774422</v>
      </c>
      <c r="P105" s="60">
        <f>(1+$C$47)^(P$5-1)</f>
        <v>1.7103393581163142</v>
      </c>
      <c r="Q105" s="60">
        <f>(1+$C$47)^(Q$5-1)</f>
        <v>1.79585632602213</v>
      </c>
      <c r="R105" s="60">
        <f>(1+$C$47)^(R$5-1)</f>
        <v>1.8856491423232367</v>
      </c>
      <c r="S105" s="60">
        <f>(1+$C$47)^(S$5-1)</f>
        <v>1.9799315994393987</v>
      </c>
      <c r="T105" s="60">
        <f>(1+$C$47)^(T$5-1)</f>
        <v>2.0789281794113688</v>
      </c>
      <c r="U105" s="60">
        <f>(1+$C$47)^(U$5-1)</f>
        <v>2.182874588381937</v>
      </c>
      <c r="V105" s="60">
        <f>(1+$C$47)^(V$5-1)</f>
        <v>2.292018317801034</v>
      </c>
      <c r="W105" s="60">
        <f>(1+$C$47)^(W$5-1)</f>
        <v>2.406619233691086</v>
      </c>
      <c r="X105" s="60">
        <f>(1+$C$47)^(X$5-1)</f>
        <v>2.5269501953756404</v>
      </c>
      <c r="Y105" s="60">
        <f>(1+$C$47)^(Y$5-1)</f>
        <v>2.653297705144422</v>
      </c>
      <c r="Z105" s="60">
        <f>(1+$C$47)^(Z$5-1)</f>
        <v>2.7859625904016436</v>
      </c>
      <c r="AA105" s="60">
        <f>(1+$C$47)^(AA$5-1)</f>
        <v>2.925260719921726</v>
      </c>
      <c r="AB105" s="60">
        <f>(1+$C$47)^(AB$5-1)</f>
        <v>3.0715237559178123</v>
      </c>
      <c r="AC105" s="60">
        <f>(1+$C$47)^(AC$5-1)</f>
        <v>3.225099943713703</v>
      </c>
    </row>
    <row r="106" spans="1:29" x14ac:dyDescent="0.25">
      <c r="A106" s="33" t="s">
        <v>190</v>
      </c>
      <c r="B106" s="26" t="s">
        <v>88</v>
      </c>
      <c r="E106" s="60">
        <f>(1-$C$60)^(E$5-1)</f>
        <v>1</v>
      </c>
      <c r="F106" s="60">
        <f>(1-$C$60)^(F$5-1)</f>
        <v>1</v>
      </c>
      <c r="G106" s="60">
        <f>(1-$C$60)^(G$5-1)</f>
        <v>1</v>
      </c>
      <c r="H106" s="60">
        <f>(1-$C$60)^(H$5-1)</f>
        <v>1</v>
      </c>
      <c r="I106" s="60">
        <f>(1-$C$60)^(I$5-1)</f>
        <v>1</v>
      </c>
      <c r="J106" s="60">
        <f>(1-$C$60)^(J$5-1)</f>
        <v>1</v>
      </c>
      <c r="K106" s="60">
        <f>(1-$C$60)^(K$5-1)</f>
        <v>1</v>
      </c>
      <c r="L106" s="60">
        <f>(1-$C$60)^(L$5-1)</f>
        <v>1</v>
      </c>
      <c r="M106" s="60">
        <f>(1-$C$60)^(M$5-1)</f>
        <v>1</v>
      </c>
      <c r="N106" s="60">
        <f>(1-$C$60)^(N$5-1)</f>
        <v>1</v>
      </c>
      <c r="O106" s="60">
        <f>(1-$C$60)^(O$5-1)</f>
        <v>1</v>
      </c>
      <c r="P106" s="60">
        <f>(1-$C$60)^(P$5-1)</f>
        <v>1</v>
      </c>
      <c r="Q106" s="60">
        <f>(1-$C$60)^(Q$5-1)</f>
        <v>1</v>
      </c>
      <c r="R106" s="60">
        <f>(1-$C$60)^(R$5-1)</f>
        <v>1</v>
      </c>
      <c r="S106" s="60">
        <f>(1-$C$60)^(S$5-1)</f>
        <v>1</v>
      </c>
      <c r="T106" s="60">
        <f>(1-$C$60)^(T$5-1)</f>
        <v>1</v>
      </c>
      <c r="U106" s="60">
        <f>(1-$C$60)^(U$5-1)</f>
        <v>1</v>
      </c>
      <c r="V106" s="60">
        <f>(1-$C$60)^(V$5-1)</f>
        <v>1</v>
      </c>
      <c r="W106" s="60">
        <f>(1-$C$60)^(W$5-1)</f>
        <v>1</v>
      </c>
      <c r="X106" s="60">
        <f>(1-$C$60)^(X$5-1)</f>
        <v>1</v>
      </c>
      <c r="Y106" s="60">
        <f>(1-$C$60)^(Y$5-1)</f>
        <v>1</v>
      </c>
      <c r="Z106" s="60">
        <f>(1-$C$60)^(Z$5-1)</f>
        <v>1</v>
      </c>
      <c r="AA106" s="60">
        <f>(1-$C$60)^(AA$5-1)</f>
        <v>1</v>
      </c>
      <c r="AB106" s="60">
        <f>(1-$C$60)^(AB$5-1)</f>
        <v>1</v>
      </c>
      <c r="AC106" s="60">
        <f>(1-$C$60)^(AC$5-1)</f>
        <v>1</v>
      </c>
    </row>
    <row r="107" spans="1:29" x14ac:dyDescent="0.25">
      <c r="A107" s="33" t="s">
        <v>191</v>
      </c>
      <c r="B107" s="26" t="s">
        <v>88</v>
      </c>
      <c r="E107" s="60">
        <f>1/(1+$C$67)^E$5</f>
        <v>0.9090909090909091</v>
      </c>
      <c r="F107" s="60">
        <f>1/(1+$C$67)^F$5</f>
        <v>0.8264462809917354</v>
      </c>
      <c r="G107" s="60">
        <f>1/(1+$C$67)^G$5</f>
        <v>0.7513148009015775</v>
      </c>
      <c r="H107" s="60">
        <f>1/(1+$C$67)^H$5</f>
        <v>0.6830134553650704</v>
      </c>
      <c r="I107" s="60">
        <f>1/(1+$C$67)^I$5</f>
        <v>0.6209213230591549</v>
      </c>
      <c r="J107" s="60">
        <f>1/(1+$C$67)^J$5</f>
        <v>0.5644739300537772</v>
      </c>
      <c r="K107" s="60">
        <f>1/(1+$C$67)^K$5</f>
        <v>0.5131581182307065</v>
      </c>
      <c r="L107" s="60">
        <f>1/(1+$C$67)^L$5</f>
        <v>0.4665073802097331</v>
      </c>
      <c r="M107" s="60">
        <f>1/(1+$C$67)^M$5</f>
        <v>0.42409761837248455</v>
      </c>
      <c r="N107" s="60">
        <f>1/(1+$C$67)^N$5</f>
        <v>0.3855432894295314</v>
      </c>
      <c r="O107" s="60">
        <f>1/(1+$C$67)^O$5</f>
        <v>0.3504938994813922</v>
      </c>
      <c r="P107" s="60">
        <f>1/(1+$C$67)^P$5</f>
        <v>0.3186308177103565</v>
      </c>
      <c r="Q107" s="60">
        <f>1/(1+$C$67)^Q$5</f>
        <v>0.2896643797366877</v>
      </c>
      <c r="R107" s="60">
        <f>1/(1+$C$67)^R$5</f>
        <v>0.26333125430607973</v>
      </c>
      <c r="S107" s="60">
        <f>1/(1+$C$67)^S$5</f>
        <v>0.23939204936916333</v>
      </c>
      <c r="T107" s="60">
        <f>1/(1+$C$67)^T$5</f>
        <v>0.2176291357901485</v>
      </c>
      <c r="U107" s="60">
        <f>1/(1+$C$67)^U$5</f>
        <v>0.19784466890013497</v>
      </c>
      <c r="V107" s="60">
        <f>1/(1+$C$67)^V$5</f>
        <v>0.17985878990921358</v>
      </c>
      <c r="W107" s="60">
        <f>1/(1+$C$67)^W$5</f>
        <v>0.16350799082655781</v>
      </c>
      <c r="X107" s="60">
        <f>1/(1+$C$67)^X$5</f>
        <v>0.14864362802414344</v>
      </c>
      <c r="Y107" s="60">
        <f>1/(1+$C$67)^Y$5</f>
        <v>0.13513057093103947</v>
      </c>
      <c r="Z107" s="60">
        <f>1/(1+$C$67)^Z$5</f>
        <v>0.12284597357367225</v>
      </c>
      <c r="AA107" s="60">
        <f>1/(1+$C$67)^AA$5</f>
        <v>0.11167815779424749</v>
      </c>
      <c r="AB107" s="60">
        <f>1/(1+$C$67)^AB$5</f>
        <v>0.10152559799477044</v>
      </c>
      <c r="AC107" s="60">
        <f>1/(1+$C$67)^AC$5</f>
        <v>0.09229599817706403</v>
      </c>
    </row>
    <row r="109" ht="20" customHeight="1" spans="1:29" x14ac:dyDescent="0.25">
      <c r="A109" s="21" t="s">
        <v>192</v>
      </c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</row>
    <row r="110" spans="1:29" x14ac:dyDescent="0.25">
      <c r="A110" s="33" t="s">
        <v>100</v>
      </c>
      <c r="B110" s="26" t="s">
        <v>82</v>
      </c>
      <c r="E110" s="29">
        <f>$C$29*E104</f>
        <v>7.043367848320882</v>
      </c>
      <c r="F110" s="29">
        <f>$C$29*F104</f>
        <v>7.043367848320882</v>
      </c>
      <c r="G110" s="29">
        <f>$C$29*G104</f>
        <v>7.043367848320882</v>
      </c>
      <c r="H110" s="29">
        <f>$C$29*H104</f>
        <v>7.043367848320882</v>
      </c>
      <c r="I110" s="29">
        <f>$C$29*I104</f>
        <v>7.043367848320882</v>
      </c>
      <c r="J110" s="29">
        <f>$C$29*J104</f>
        <v>7.043367848320882</v>
      </c>
      <c r="K110" s="29">
        <f>$C$29*K104</f>
        <v>7.043367848320882</v>
      </c>
      <c r="L110" s="29">
        <f>$C$29*L104</f>
        <v>7.043367848320882</v>
      </c>
      <c r="M110" s="29">
        <f>$C$29*M104</f>
        <v>7.043367848320882</v>
      </c>
      <c r="N110" s="29">
        <f>$C$29*N104</f>
        <v>7.043367848320882</v>
      </c>
      <c r="O110" s="29">
        <f>$C$29*O104</f>
        <v>7.043367848320882</v>
      </c>
      <c r="P110" s="29">
        <f>$C$29*P104</f>
        <v>7.043367848320882</v>
      </c>
      <c r="Q110" s="29">
        <f>$C$29*Q104</f>
        <v>7.043367848320882</v>
      </c>
      <c r="R110" s="29">
        <f>$C$29*R104</f>
        <v>7.043367848320882</v>
      </c>
      <c r="S110" s="29">
        <f>$C$29*S104</f>
        <v>7.043367848320882</v>
      </c>
      <c r="T110" s="29">
        <f>$C$29*T104</f>
        <v>7.043367848320882</v>
      </c>
      <c r="U110" s="29">
        <f>$C$29*U104</f>
        <v>7.043367848320882</v>
      </c>
      <c r="V110" s="29">
        <f>$C$29*V104</f>
        <v>7.043367848320882</v>
      </c>
      <c r="W110" s="29">
        <f>$C$29*W104</f>
        <v>7.043367848320882</v>
      </c>
      <c r="X110" s="29">
        <f>$C$29*X104</f>
        <v>7.043367848320882</v>
      </c>
      <c r="Y110" s="29">
        <f>$C$29*Y104</f>
        <v>7.043367848320882</v>
      </c>
      <c r="Z110" s="29">
        <f>$C$29*Z104</f>
        <v>7.043367848320882</v>
      </c>
      <c r="AA110" s="29">
        <f>$C$29*AA104</f>
        <v>7.043367848320882</v>
      </c>
      <c r="AB110" s="29">
        <f>$C$29*AB104</f>
        <v>7.043367848320882</v>
      </c>
      <c r="AC110" s="29">
        <f>$C$29*AC104</f>
        <v>7.043367848320882</v>
      </c>
    </row>
    <row r="111" spans="1:29" x14ac:dyDescent="0.25">
      <c r="A111" s="33" t="s">
        <v>193</v>
      </c>
      <c r="B111" s="26" t="s">
        <v>86</v>
      </c>
      <c r="C111" s="57">
        <f>SUM(E111:AC111)</f>
        <v>6758.200723126933</v>
      </c>
      <c r="E111" s="37">
        <f>E96*E110/10</f>
        <v>274.19971365228076</v>
      </c>
      <c r="F111" s="37">
        <f>F96*F110/10</f>
        <v>273.8770732583472</v>
      </c>
      <c r="G111" s="37">
        <f>G96*G110/10</f>
        <v>273.5544328644135</v>
      </c>
      <c r="H111" s="37">
        <f>H96*H110/10</f>
        <v>273.2317924704799</v>
      </c>
      <c r="I111" s="37">
        <f>I96*I110/10</f>
        <v>272.9091520765463</v>
      </c>
      <c r="J111" s="37">
        <f>J96*J110/10</f>
        <v>272.5865116826127</v>
      </c>
      <c r="K111" s="37">
        <f>K96*K110/10</f>
        <v>272.26387128867907</v>
      </c>
      <c r="L111" s="37">
        <f>L96*L110/10</f>
        <v>271.94123089474544</v>
      </c>
      <c r="M111" s="37">
        <f>M96*M110/10</f>
        <v>271.6185905008118</v>
      </c>
      <c r="N111" s="37">
        <f>N96*N110/10</f>
        <v>271.2959501068782</v>
      </c>
      <c r="O111" s="37">
        <f>O96*O110/10</f>
        <v>270.97330971294457</v>
      </c>
      <c r="P111" s="37">
        <f>P96*P110/10</f>
        <v>270.65066931901094</v>
      </c>
      <c r="Q111" s="37">
        <f>Q96*Q110/10</f>
        <v>270.3280289250773</v>
      </c>
      <c r="R111" s="37">
        <f>R96*R110/10</f>
        <v>270.0053885311437</v>
      </c>
      <c r="S111" s="37">
        <f>S96*S110/10</f>
        <v>269.68274813721007</v>
      </c>
      <c r="T111" s="37">
        <f>T96*T110/10</f>
        <v>269.36010774327644</v>
      </c>
      <c r="U111" s="37">
        <f>U96*U110/10</f>
        <v>269.0374673493429</v>
      </c>
      <c r="V111" s="37">
        <f>V96*V110/10</f>
        <v>268.7148269554092</v>
      </c>
      <c r="W111" s="37">
        <f>W96*W110/10</f>
        <v>268.39218656147557</v>
      </c>
      <c r="X111" s="37">
        <f>X96*X110/10</f>
        <v>268.06954616754194</v>
      </c>
      <c r="Y111" s="37">
        <f>Y96*Y110/10</f>
        <v>267.7469057736083</v>
      </c>
      <c r="Z111" s="37">
        <f>Z96*Z110/10</f>
        <v>267.4242653796747</v>
      </c>
      <c r="AA111" s="37">
        <f>AA96*AA110/10</f>
        <v>267.10162498574107</v>
      </c>
      <c r="AB111" s="37">
        <f>AB96*AB110/10</f>
        <v>266.77898459180744</v>
      </c>
      <c r="AC111" s="37">
        <f>AC96*AC110/10</f>
        <v>266.4563441978738</v>
      </c>
    </row>
    <row r="112" spans="1:29" x14ac:dyDescent="0.25">
      <c r="A112" s="33" t="s">
        <v>194</v>
      </c>
      <c r="B112" s="26" t="s">
        <v>86</v>
      </c>
      <c r="C112" s="57">
        <f>SUM(E112:AC112)</f>
        <v>0</v>
      </c>
      <c r="E112" s="37">
        <f>IF($C$51="Yes",E100*E101/10,0)</f>
        <v>0</v>
      </c>
      <c r="F112" s="37">
        <f>IF($C$51="Yes",F100*F101/10,0)</f>
        <v>0</v>
      </c>
      <c r="G112" s="37">
        <f>IF($C$51="Yes",G100*G101/10,0)</f>
        <v>0</v>
      </c>
      <c r="H112" s="37">
        <f>IF($C$51="Yes",H100*H101/10,0)</f>
        <v>0</v>
      </c>
      <c r="I112" s="37">
        <f>IF($C$51="Yes",I100*I101/10,0)</f>
        <v>0</v>
      </c>
      <c r="J112" s="37">
        <f>IF($C$51="Yes",J100*J101/10,0)</f>
        <v>0</v>
      </c>
      <c r="K112" s="37">
        <f>IF($C$51="Yes",K100*K101/10,0)</f>
        <v>0</v>
      </c>
      <c r="L112" s="37">
        <f>IF($C$51="Yes",L100*L101/10,0)</f>
        <v>0</v>
      </c>
      <c r="M112" s="37">
        <f>IF($C$51="Yes",M100*M101/10,0)</f>
        <v>0</v>
      </c>
      <c r="N112" s="37">
        <f>IF($C$51="Yes",N100*N101/10,0)</f>
        <v>0</v>
      </c>
      <c r="O112" s="37">
        <f>IF($C$51="Yes",O100*O101/10,0)</f>
        <v>0</v>
      </c>
      <c r="P112" s="37">
        <f>IF($C$51="Yes",P100*P101/10,0)</f>
        <v>0</v>
      </c>
      <c r="Q112" s="37">
        <f>IF($C$51="Yes",Q100*Q101/10,0)</f>
        <v>0</v>
      </c>
      <c r="R112" s="37">
        <f>IF($C$51="Yes",R100*R101/10,0)</f>
        <v>0</v>
      </c>
      <c r="S112" s="37">
        <f>IF($C$51="Yes",S100*S101/10,0)</f>
        <v>0</v>
      </c>
      <c r="T112" s="37">
        <f>IF($C$51="Yes",T100*T101/10,0)</f>
        <v>0</v>
      </c>
      <c r="U112" s="37">
        <f>IF($C$51="Yes",U100*U101/10,0)</f>
        <v>0</v>
      </c>
      <c r="V112" s="37">
        <f>IF($C$51="Yes",V100*V101/10,0)</f>
        <v>0</v>
      </c>
      <c r="W112" s="37">
        <f>IF($C$51="Yes",W100*W101/10,0)</f>
        <v>0</v>
      </c>
      <c r="X112" s="37">
        <f>IF($C$51="Yes",X100*X101/10,0)</f>
        <v>0</v>
      </c>
      <c r="Y112" s="37">
        <f>IF($C$51="Yes",Y100*Y101/10,0)</f>
        <v>0</v>
      </c>
      <c r="Z112" s="37">
        <f>IF($C$51="Yes",Z100*Z101/10,0)</f>
        <v>0</v>
      </c>
      <c r="AA112" s="37">
        <f>IF($C$51="Yes",AA100*AA101/10,0)</f>
        <v>0</v>
      </c>
      <c r="AB112" s="37">
        <f>IF($C$51="Yes",AB100*AB101/10,0)</f>
        <v>0</v>
      </c>
      <c r="AC112" s="37">
        <f>IF($C$51="Yes",AC100*AC101/10,0)</f>
        <v>0</v>
      </c>
    </row>
    <row r="113" spans="1:29" x14ac:dyDescent="0.25">
      <c r="A113" s="33" t="s">
        <v>139</v>
      </c>
      <c r="B113" s="26" t="s">
        <v>86</v>
      </c>
      <c r="C113" s="57">
        <f>SUM(E113:AC113)</f>
        <v>0</v>
      </c>
      <c r="E113" s="37">
        <f>E98*$C$54/10</f>
        <v>0</v>
      </c>
      <c r="F113" s="37">
        <f>F98*$C$54/10</f>
        <v>0</v>
      </c>
      <c r="G113" s="37">
        <f>G98*$C$54/10</f>
        <v>0</v>
      </c>
      <c r="H113" s="37">
        <f>H98*$C$54/10</f>
        <v>0</v>
      </c>
      <c r="I113" s="37">
        <f>I98*$C$54/10</f>
        <v>0</v>
      </c>
      <c r="J113" s="37">
        <f>J98*$C$54/10</f>
        <v>0</v>
      </c>
      <c r="K113" s="37">
        <f>K98*$C$54/10</f>
        <v>0</v>
      </c>
      <c r="L113" s="37">
        <f>L98*$C$54/10</f>
        <v>0</v>
      </c>
      <c r="M113" s="37">
        <f>M98*$C$54/10</f>
        <v>0</v>
      </c>
      <c r="N113" s="37">
        <f>N98*$C$54/10</f>
        <v>0</v>
      </c>
      <c r="O113" s="37">
        <f>O98*$C$54/10</f>
        <v>0</v>
      </c>
      <c r="P113" s="37">
        <f>P98*$C$54/10</f>
        <v>0</v>
      </c>
      <c r="Q113" s="37">
        <f>Q98*$C$54/10</f>
        <v>0</v>
      </c>
      <c r="R113" s="37">
        <f>R98*$C$54/10</f>
        <v>0</v>
      </c>
      <c r="S113" s="37">
        <f>S98*$C$54/10</f>
        <v>0</v>
      </c>
      <c r="T113" s="37">
        <f>T98*$C$54/10</f>
        <v>0</v>
      </c>
      <c r="U113" s="37">
        <f>U98*$C$54/10</f>
        <v>0</v>
      </c>
      <c r="V113" s="37">
        <f>V98*$C$54/10</f>
        <v>0</v>
      </c>
      <c r="W113" s="37">
        <f>W98*$C$54/10</f>
        <v>0</v>
      </c>
      <c r="X113" s="37">
        <f>X98*$C$54/10</f>
        <v>0</v>
      </c>
      <c r="Y113" s="37">
        <f>Y98*$C$54/10</f>
        <v>0</v>
      </c>
      <c r="Z113" s="37">
        <f>Z98*$C$54/10</f>
        <v>0</v>
      </c>
      <c r="AA113" s="37">
        <f>AA98*$C$54/10</f>
        <v>0</v>
      </c>
      <c r="AB113" s="37">
        <f>AB98*$C$54/10</f>
        <v>0</v>
      </c>
      <c r="AC113" s="37">
        <f>AC98*$C$54/10</f>
        <v>0</v>
      </c>
    </row>
    <row r="114" spans="1:29" x14ac:dyDescent="0.25">
      <c r="A114" s="33" t="s">
        <v>141</v>
      </c>
      <c r="B114" s="26" t="s">
        <v>86</v>
      </c>
      <c r="C114" s="57">
        <f>SUM(E114:AC114)</f>
        <v>680.282327013314</v>
      </c>
      <c r="E114" s="37">
        <f>E99*$C$55*E110/10</f>
        <v>25.424498275471105</v>
      </c>
      <c r="F114" s="37">
        <f>F99*$C$55*F110/10</f>
        <v>25.573397842559558</v>
      </c>
      <c r="G114" s="37">
        <f>G99*$C$55*G110/10</f>
        <v>25.722297409648014</v>
      </c>
      <c r="H114" s="37">
        <f>H99*$C$55*H110/10</f>
        <v>25.871196976736464</v>
      </c>
      <c r="I114" s="37">
        <f>I99*$C$55*I110/10</f>
        <v>26.020096543824916</v>
      </c>
      <c r="J114" s="37">
        <f>J99*$C$55*J110/10</f>
        <v>26.168996110913376</v>
      </c>
      <c r="K114" s="37">
        <f>K99*$C$55*K110/10</f>
        <v>26.317895678001825</v>
      </c>
      <c r="L114" s="37">
        <f>L99*$C$55*L110/10</f>
        <v>26.46679524509028</v>
      </c>
      <c r="M114" s="37">
        <f>M99*$C$55*M110/10</f>
        <v>26.61569481217874</v>
      </c>
      <c r="N114" s="37">
        <f>N99*$C$55*N110/10</f>
        <v>26.76459437926719</v>
      </c>
      <c r="O114" s="37">
        <f>O99*$C$55*O110/10</f>
        <v>26.913493946355647</v>
      </c>
      <c r="P114" s="37">
        <f>P99*$C$55*P110/10</f>
        <v>27.062393513444107</v>
      </c>
      <c r="Q114" s="37">
        <f>Q99*$C$55*Q110/10</f>
        <v>27.211293080532563</v>
      </c>
      <c r="R114" s="37">
        <f>R99*$C$55*R110/10</f>
        <v>27.360192647621012</v>
      </c>
      <c r="S114" s="37">
        <f>S99*$C$55*S110/10</f>
        <v>27.509092214709465</v>
      </c>
      <c r="T114" s="37">
        <f>T99*$C$55*T110/10</f>
        <v>27.65799178179792</v>
      </c>
      <c r="U114" s="37">
        <f>U99*$C$55*U110/10</f>
        <v>27.806891348886374</v>
      </c>
      <c r="V114" s="37">
        <f>V99*$C$55*V110/10</f>
        <v>27.95579091597483</v>
      </c>
      <c r="W114" s="37">
        <f>W99*$C$55*W110/10</f>
        <v>28.10469048306328</v>
      </c>
      <c r="X114" s="37">
        <f>X99*$C$55*X110/10</f>
        <v>28.25359005015174</v>
      </c>
      <c r="Y114" s="37">
        <f>Y99*$C$55*Y110/10</f>
        <v>28.40248961724019</v>
      </c>
      <c r="Z114" s="37">
        <f>Z99*$C$55*Z110/10</f>
        <v>28.551389184328645</v>
      </c>
      <c r="AA114" s="37">
        <f>AA99*$C$55*AA110/10</f>
        <v>28.700288751417105</v>
      </c>
      <c r="AB114" s="37">
        <f>AB99*$C$55*AB110/10</f>
        <v>28.849188318505554</v>
      </c>
      <c r="AC114" s="37">
        <f>AC99*$C$55*AC110/10</f>
        <v>28.99808788559401</v>
      </c>
    </row>
    <row r="115" spans="1:29" x14ac:dyDescent="0.25">
      <c r="A115" s="61" t="s">
        <v>195</v>
      </c>
      <c r="B115" s="62" t="s">
        <v>86</v>
      </c>
      <c r="C115" s="63">
        <f>SUM(E115:AC115)</f>
        <v>6077.918396113618</v>
      </c>
      <c r="D115" s="64"/>
      <c r="E115" s="63">
        <f>E111+E112-E113-E114</f>
        <v>248.77521537680965</v>
      </c>
      <c r="F115" s="63">
        <f>F111+F112-F113-F114</f>
        <v>248.30367541578764</v>
      </c>
      <c r="G115" s="63">
        <f>G111+G112-G113-G114</f>
        <v>247.8321354547655</v>
      </c>
      <c r="H115" s="63">
        <f>H111+H112-H113-H114</f>
        <v>247.36059549374343</v>
      </c>
      <c r="I115" s="63">
        <f>I111+I112-I113-I114</f>
        <v>246.88905553272141</v>
      </c>
      <c r="J115" s="63">
        <f>J111+J112-J113-J114</f>
        <v>246.4175155716993</v>
      </c>
      <c r="K115" s="63">
        <f>K111+K112-K113-K114</f>
        <v>245.94597561067724</v>
      </c>
      <c r="L115" s="63">
        <f>L111+L112-L113-L114</f>
        <v>245.47443564965516</v>
      </c>
      <c r="M115" s="63">
        <f>M111+M112-M113-M114</f>
        <v>245.0028956886331</v>
      </c>
      <c r="N115" s="63">
        <f>N111+N112-N113-N114</f>
        <v>244.53135572761101</v>
      </c>
      <c r="O115" s="63">
        <f>O111+O112-O113-O114</f>
        <v>244.0598157665889</v>
      </c>
      <c r="P115" s="63">
        <f>P111+P112-P113-P114</f>
        <v>243.58827580556684</v>
      </c>
      <c r="Q115" s="63">
        <f>Q111+Q112-Q113-Q114</f>
        <v>243.11673584454476</v>
      </c>
      <c r="R115" s="63">
        <f>R111+R112-R113-R114</f>
        <v>242.6451958835227</v>
      </c>
      <c r="S115" s="63">
        <f>S111+S112-S113-S114</f>
        <v>242.17365592250061</v>
      </c>
      <c r="T115" s="63">
        <f>T111+T112-T113-T114</f>
        <v>241.7021159614785</v>
      </c>
      <c r="U115" s="63">
        <f>U111+U112-U113-U114</f>
        <v>241.2305760004565</v>
      </c>
      <c r="V115" s="63">
        <f>V111+V112-V113-V114</f>
        <v>240.75903603943436</v>
      </c>
      <c r="W115" s="63">
        <f>W111+W112-W113-W114</f>
        <v>240.2874960784123</v>
      </c>
      <c r="X115" s="63">
        <f>X111+X112-X113-X114</f>
        <v>239.81595611739021</v>
      </c>
      <c r="Y115" s="63">
        <f>Y111+Y112-Y113-Y114</f>
        <v>239.34441615636814</v>
      </c>
      <c r="Z115" s="63">
        <f>Z111+Z112-Z113-Z114</f>
        <v>238.87287619534604</v>
      </c>
      <c r="AA115" s="63">
        <f>AA111+AA112-AA113-AA114</f>
        <v>238.40133623432396</v>
      </c>
      <c r="AB115" s="63">
        <f>AB111+AB112-AB113-AB114</f>
        <v>237.9297962733019</v>
      </c>
      <c r="AC115" s="63">
        <f>AC111+AC112-AC113-AC114</f>
        <v>237.45825631227981</v>
      </c>
    </row>
    <row r="117" ht="20" customHeight="1" spans="1:29" x14ac:dyDescent="0.25">
      <c r="A117" s="21" t="s">
        <v>196</v>
      </c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</row>
    <row r="118" spans="1:29" x14ac:dyDescent="0.25">
      <c r="A118" s="33" t="s">
        <v>120</v>
      </c>
      <c r="B118" s="26" t="s">
        <v>86</v>
      </c>
      <c r="C118" s="57">
        <f>SUM(E118:AC118)</f>
        <v>249.66768132605398</v>
      </c>
      <c r="E118" s="37">
        <f>$C$32*$C$44/100*E105</f>
        <v>5.231151431981813</v>
      </c>
      <c r="F118" s="37">
        <f>$C$32*$C$44/100*F105</f>
        <v>5.492709003580903</v>
      </c>
      <c r="G118" s="37">
        <f>$C$32*$C$44/100*G105</f>
        <v>5.767344453759948</v>
      </c>
      <c r="H118" s="37">
        <f>$C$32*$C$44/100*H105</f>
        <v>6.055711676447946</v>
      </c>
      <c r="I118" s="37">
        <f>$C$32*$C$44/100*I105</f>
        <v>6.358497260270345</v>
      </c>
      <c r="J118" s="37">
        <f>$C$32*$C$44/100*J105</f>
        <v>6.676422123283862</v>
      </c>
      <c r="K118" s="37">
        <f>$C$32*$C$44/100*K105</f>
        <v>7.010243229448055</v>
      </c>
      <c r="L118" s="37">
        <f>$C$32*$C$44/100*L105</f>
        <v>7.360755390920459</v>
      </c>
      <c r="M118" s="37">
        <f>$C$32*$C$44/100*M105</f>
        <v>7.7287931604664815</v>
      </c>
      <c r="N118" s="37">
        <f>$C$32*$C$44/100*N105</f>
        <v>8.115232818489806</v>
      </c>
      <c r="O118" s="37">
        <f>$C$32*$C$44/100*O105</f>
        <v>8.520994459414297</v>
      </c>
      <c r="P118" s="37">
        <f>$C$32*$C$44/100*P105</f>
        <v>8.947044182385012</v>
      </c>
      <c r="Q118" s="37">
        <f>$C$32*$C$44/100*Q105</f>
        <v>9.394396391504262</v>
      </c>
      <c r="R118" s="37">
        <f>$C$32*$C$44/100*R105</f>
        <v>9.864116211079477</v>
      </c>
      <c r="S118" s="37">
        <f>$C$32*$C$44/100*S105</f>
        <v>10.35732202163345</v>
      </c>
      <c r="T118" s="37">
        <f>$C$32*$C$44/100*T105</f>
        <v>10.875188122715125</v>
      </c>
      <c r="U118" s="37">
        <f>$C$32*$C$44/100*U105</f>
        <v>11.418947528850879</v>
      </c>
      <c r="V118" s="37">
        <f>$C$32*$C$44/100*V105</f>
        <v>11.989894905293424</v>
      </c>
      <c r="W118" s="37">
        <f>$C$32*$C$44/100*W105</f>
        <v>12.589389650558097</v>
      </c>
      <c r="X118" s="37">
        <f>$C$32*$C$44/100*X105</f>
        <v>13.218859133086003</v>
      </c>
      <c r="Y118" s="37">
        <f>$C$32*$C$44/100*Y105</f>
        <v>13.879802089740302</v>
      </c>
      <c r="Z118" s="37">
        <f>$C$32*$C$44/100*Z105</f>
        <v>14.573792194227318</v>
      </c>
      <c r="AA118" s="37">
        <f>$C$32*$C$44/100*AA105</f>
        <v>15.302481803938685</v>
      </c>
      <c r="AB118" s="37">
        <f>$C$32*$C$44/100*AB105</f>
        <v>16.06760589413562</v>
      </c>
      <c r="AC118" s="37">
        <f>$C$32*$C$44/100*AC105</f>
        <v>16.8709861888424</v>
      </c>
    </row>
    <row r="119" spans="1:29" x14ac:dyDescent="0.25">
      <c r="A119" s="33" t="s">
        <v>122</v>
      </c>
      <c r="B119" s="26" t="s">
        <v>86</v>
      </c>
      <c r="C119" s="57">
        <f>SUM(E119:AC119)</f>
        <v>314.5616688637641</v>
      </c>
      <c r="E119" s="37">
        <f>$C$33*$C$45/100*E105</f>
        <v>6.590839934842424</v>
      </c>
      <c r="F119" s="37">
        <f>$C$33*$C$45/100*F105</f>
        <v>6.920381931584545</v>
      </c>
      <c r="G119" s="37">
        <f>$C$33*$C$45/100*G105</f>
        <v>7.266401028163773</v>
      </c>
      <c r="H119" s="37">
        <f>$C$33*$C$45/100*H105</f>
        <v>7.629721079571961</v>
      </c>
      <c r="I119" s="37">
        <f>$C$33*$C$45/100*I105</f>
        <v>8.01120713355056</v>
      </c>
      <c r="J119" s="37">
        <f>$C$33*$C$45/100*J105</f>
        <v>8.411767490228089</v>
      </c>
      <c r="K119" s="37">
        <f>$C$33*$C$45/100*K105</f>
        <v>8.832355864739494</v>
      </c>
      <c r="L119" s="37">
        <f>$C$33*$C$45/100*L105</f>
        <v>9.27397365797647</v>
      </c>
      <c r="M119" s="37">
        <f>$C$33*$C$45/100*M105</f>
        <v>9.737672340875292</v>
      </c>
      <c r="N119" s="37">
        <f>$C$33*$C$45/100*N105</f>
        <v>10.224555957919057</v>
      </c>
      <c r="O119" s="37">
        <f>$C$33*$C$45/100*O105</f>
        <v>10.735783755815012</v>
      </c>
      <c r="P119" s="37">
        <f>$C$33*$C$45/100*P105</f>
        <v>11.272572943605761</v>
      </c>
      <c r="Q119" s="37">
        <f>$C$33*$C$45/100*Q105</f>
        <v>11.83620159078605</v>
      </c>
      <c r="R119" s="37">
        <f>$C$33*$C$45/100*R105</f>
        <v>12.428011670325354</v>
      </c>
      <c r="S119" s="37">
        <f>$C$33*$C$45/100*S105</f>
        <v>13.049412253841622</v>
      </c>
      <c r="T119" s="37">
        <f>$C$33*$C$45/100*T105</f>
        <v>13.701882866533705</v>
      </c>
      <c r="U119" s="37">
        <f>$C$33*$C$45/100*U105</f>
        <v>14.386977009860388</v>
      </c>
      <c r="V119" s="37">
        <f>$C$33*$C$45/100*V105</f>
        <v>15.10632586035341</v>
      </c>
      <c r="W119" s="37">
        <f>$C$33*$C$45/100*W105</f>
        <v>15.861642153371081</v>
      </c>
      <c r="X119" s="37">
        <f>$C$33*$C$45/100*X105</f>
        <v>16.654724261039636</v>
      </c>
      <c r="Y119" s="37">
        <f>$C$33*$C$45/100*Y105</f>
        <v>17.487460474091616</v>
      </c>
      <c r="Z119" s="37">
        <f>$C$33*$C$45/100*Z105</f>
        <v>18.361833497796198</v>
      </c>
      <c r="AA119" s="37">
        <f>$C$33*$C$45/100*AA105</f>
        <v>19.27992517268601</v>
      </c>
      <c r="AB119" s="37">
        <f>$C$33*$C$45/100*AB105</f>
        <v>20.24392143132031</v>
      </c>
      <c r="AC119" s="37">
        <f>$C$33*$C$45/100*AC105</f>
        <v>21.256117502886326</v>
      </c>
    </row>
    <row r="120" spans="1:29" x14ac:dyDescent="0.25">
      <c r="A120" s="33" t="s">
        <v>123</v>
      </c>
      <c r="B120" s="26" t="s">
        <v>86</v>
      </c>
      <c r="C120" s="57">
        <f>SUM(E120:AC120)</f>
        <v>242.22460212955662</v>
      </c>
      <c r="E120" s="37">
        <f>$C$35*$C$46/100*E105</f>
        <v>5.075200632942417</v>
      </c>
      <c r="F120" s="37">
        <f>$C$35*$C$46/100*F105</f>
        <v>5.328960664589538</v>
      </c>
      <c r="G120" s="37">
        <f>$C$35*$C$46/100*G105</f>
        <v>5.595408697819015</v>
      </c>
      <c r="H120" s="37">
        <f>$C$35*$C$46/100*H105</f>
        <v>5.875179132709967</v>
      </c>
      <c r="I120" s="37">
        <f>$C$35*$C$46/100*I105</f>
        <v>6.168938089345465</v>
      </c>
      <c r="J120" s="37">
        <f>$C$35*$C$46/100*J105</f>
        <v>6.4773849938127395</v>
      </c>
      <c r="K120" s="37">
        <f>$C$35*$C$46/100*K105</f>
        <v>6.801254243503377</v>
      </c>
      <c r="L120" s="37">
        <f>$C$35*$C$46/100*L105</f>
        <v>7.141316955678545</v>
      </c>
      <c r="M120" s="37">
        <f>$C$35*$C$46/100*M105</f>
        <v>7.498382803462473</v>
      </c>
      <c r="N120" s="37">
        <f>$C$35*$C$46/100*N105</f>
        <v>7.873301943635597</v>
      </c>
      <c r="O120" s="37">
        <f>$C$35*$C$46/100*O105</f>
        <v>8.266967040817377</v>
      </c>
      <c r="P120" s="37">
        <f>$C$35*$C$46/100*P105</f>
        <v>8.680315392858246</v>
      </c>
      <c r="Q120" s="37">
        <f>$C$35*$C$46/100*Q105</f>
        <v>9.11433116250116</v>
      </c>
      <c r="R120" s="37">
        <f>$C$35*$C$46/100*R105</f>
        <v>9.570047720626217</v>
      </c>
      <c r="S120" s="37">
        <f>$C$35*$C$46/100*S105</f>
        <v>10.04855010665753</v>
      </c>
      <c r="T120" s="37">
        <f>$C$35*$C$46/100*T105</f>
        <v>10.550977611990406</v>
      </c>
      <c r="U120" s="37">
        <f>$C$35*$C$46/100*U105</f>
        <v>11.078526492589925</v>
      </c>
      <c r="V120" s="37">
        <f>$C$35*$C$46/100*V105</f>
        <v>11.632452817219422</v>
      </c>
      <c r="W120" s="37">
        <f>$C$35*$C$46/100*W105</f>
        <v>12.214075458080396</v>
      </c>
      <c r="X120" s="37">
        <f>$C$35*$C$46/100*X105</f>
        <v>12.824779230984415</v>
      </c>
      <c r="Y120" s="37">
        <f>$C$35*$C$46/100*Y105</f>
        <v>13.466018192533635</v>
      </c>
      <c r="Z120" s="37">
        <f>$C$35*$C$46/100*Z105</f>
        <v>14.139319102160318</v>
      </c>
      <c r="AA120" s="37">
        <f>$C$35*$C$46/100*AA105</f>
        <v>14.846285057268336</v>
      </c>
      <c r="AB120" s="37">
        <f>$C$35*$C$46/100*AB105</f>
        <v>15.588599310131752</v>
      </c>
      <c r="AC120" s="37">
        <f>$C$35*$C$46/100*AC105</f>
        <v>16.36802927563834</v>
      </c>
    </row>
    <row r="121" spans="1:29" x14ac:dyDescent="0.25">
      <c r="A121" s="33" t="s">
        <v>126</v>
      </c>
      <c r="B121" s="26" t="s">
        <v>86</v>
      </c>
      <c r="C121" s="57">
        <f>SUM(E121:AC121)</f>
        <v>112.99802346732822</v>
      </c>
      <c r="E121" s="37">
        <f>$C$82*$C$48</f>
        <v>4.519920938693127</v>
      </c>
      <c r="F121" s="37">
        <f>$C$82*$C$48</f>
        <v>4.519920938693127</v>
      </c>
      <c r="G121" s="37">
        <f>$C$82*$C$48</f>
        <v>4.519920938693127</v>
      </c>
      <c r="H121" s="37">
        <f>$C$82*$C$48</f>
        <v>4.519920938693127</v>
      </c>
      <c r="I121" s="37">
        <f>$C$82*$C$48</f>
        <v>4.519920938693127</v>
      </c>
      <c r="J121" s="37">
        <f>$C$82*$C$48</f>
        <v>4.519920938693127</v>
      </c>
      <c r="K121" s="37">
        <f>$C$82*$C$48</f>
        <v>4.519920938693127</v>
      </c>
      <c r="L121" s="37">
        <f>$C$82*$C$48</f>
        <v>4.519920938693127</v>
      </c>
      <c r="M121" s="37">
        <f>$C$82*$C$48</f>
        <v>4.519920938693127</v>
      </c>
      <c r="N121" s="37">
        <f>$C$82*$C$48</f>
        <v>4.519920938693127</v>
      </c>
      <c r="O121" s="37">
        <f>$C$82*$C$48</f>
        <v>4.519920938693127</v>
      </c>
      <c r="P121" s="37">
        <f>$C$82*$C$48</f>
        <v>4.519920938693127</v>
      </c>
      <c r="Q121" s="37">
        <f>$C$82*$C$48</f>
        <v>4.519920938693127</v>
      </c>
      <c r="R121" s="37">
        <f>$C$82*$C$48</f>
        <v>4.519920938693127</v>
      </c>
      <c r="S121" s="37">
        <f>$C$82*$C$48</f>
        <v>4.519920938693127</v>
      </c>
      <c r="T121" s="37">
        <f>$C$82*$C$48</f>
        <v>4.519920938693127</v>
      </c>
      <c r="U121" s="37">
        <f>$C$82*$C$48</f>
        <v>4.519920938693127</v>
      </c>
      <c r="V121" s="37">
        <f>$C$82*$C$48</f>
        <v>4.519920938693127</v>
      </c>
      <c r="W121" s="37">
        <f>$C$82*$C$48</f>
        <v>4.519920938693127</v>
      </c>
      <c r="X121" s="37">
        <f>$C$82*$C$48</f>
        <v>4.519920938693127</v>
      </c>
      <c r="Y121" s="37">
        <f>$C$82*$C$48</f>
        <v>4.519920938693127</v>
      </c>
      <c r="Z121" s="37">
        <f>$C$82*$C$48</f>
        <v>4.519920938693127</v>
      </c>
      <c r="AA121" s="37">
        <f>$C$82*$C$48</f>
        <v>4.519920938693127</v>
      </c>
      <c r="AB121" s="37">
        <f>$C$82*$C$48</f>
        <v>4.519920938693127</v>
      </c>
      <c r="AC121" s="37">
        <f>$C$82*$C$48</f>
        <v>4.519920938693127</v>
      </c>
    </row>
    <row r="122" spans="1:29" x14ac:dyDescent="0.25">
      <c r="A122" s="33" t="s">
        <v>128</v>
      </c>
      <c r="B122" s="26" t="s">
        <v>86</v>
      </c>
      <c r="C122" s="57">
        <f>SUM(E122:AC122)</f>
        <v>0</v>
      </c>
      <c r="E122" s="37">
        <f>$C$49*E105</f>
        <v>0</v>
      </c>
      <c r="F122" s="37">
        <f>$C$49*F105</f>
        <v>0</v>
      </c>
      <c r="G122" s="37">
        <f>$C$49*G105</f>
        <v>0</v>
      </c>
      <c r="H122" s="37">
        <f>$C$49*H105</f>
        <v>0</v>
      </c>
      <c r="I122" s="37">
        <f>$C$49*I105</f>
        <v>0</v>
      </c>
      <c r="J122" s="37">
        <f>$C$49*J105</f>
        <v>0</v>
      </c>
      <c r="K122" s="37">
        <f>$C$49*K105</f>
        <v>0</v>
      </c>
      <c r="L122" s="37">
        <f>$C$49*L105</f>
        <v>0</v>
      </c>
      <c r="M122" s="37">
        <f>$C$49*M105</f>
        <v>0</v>
      </c>
      <c r="N122" s="37">
        <f>$C$49*N105</f>
        <v>0</v>
      </c>
      <c r="O122" s="37">
        <f>$C$49*O105</f>
        <v>0</v>
      </c>
      <c r="P122" s="37">
        <f>$C$49*P105</f>
        <v>0</v>
      </c>
      <c r="Q122" s="37">
        <f>$C$49*Q105</f>
        <v>0</v>
      </c>
      <c r="R122" s="37">
        <f>$C$49*R105</f>
        <v>0</v>
      </c>
      <c r="S122" s="37">
        <f>$C$49*S105</f>
        <v>0</v>
      </c>
      <c r="T122" s="37">
        <f>$C$49*T105</f>
        <v>0</v>
      </c>
      <c r="U122" s="37">
        <f>$C$49*U105</f>
        <v>0</v>
      </c>
      <c r="V122" s="37">
        <f>$C$49*V105</f>
        <v>0</v>
      </c>
      <c r="W122" s="37">
        <f>$C$49*W105</f>
        <v>0</v>
      </c>
      <c r="X122" s="37">
        <f>$C$49*X105</f>
        <v>0</v>
      </c>
      <c r="Y122" s="37">
        <f>$C$49*Y105</f>
        <v>0</v>
      </c>
      <c r="Z122" s="37">
        <f>$C$49*Z105</f>
        <v>0</v>
      </c>
      <c r="AA122" s="37">
        <f>$C$49*AA105</f>
        <v>0</v>
      </c>
      <c r="AB122" s="37">
        <f>$C$49*AB105</f>
        <v>0</v>
      </c>
      <c r="AC122" s="37">
        <f>$C$49*AC105</f>
        <v>0</v>
      </c>
    </row>
    <row r="123" spans="1:29" x14ac:dyDescent="0.25">
      <c r="A123" s="61" t="s">
        <v>197</v>
      </c>
      <c r="B123" s="62" t="s">
        <v>86</v>
      </c>
      <c r="C123" s="63">
        <f>SUM(E123:AC123)</f>
        <v>919.4519757867031</v>
      </c>
      <c r="D123" s="64"/>
      <c r="E123" s="63">
        <f>SUM(E118:E122)</f>
        <v>21.41711293845978</v>
      </c>
      <c r="F123" s="63">
        <f>SUM(F118:F122)</f>
        <v>22.261972538448113</v>
      </c>
      <c r="G123" s="63">
        <f>SUM(G118:G122)</f>
        <v>23.14907511843586</v>
      </c>
      <c r="H123" s="63">
        <f>SUM(H118:H122)</f>
        <v>24.080532827423</v>
      </c>
      <c r="I123" s="63">
        <f>SUM(I118:I122)</f>
        <v>25.058563421859496</v>
      </c>
      <c r="J123" s="63">
        <f>SUM(J118:J122)</f>
        <v>26.085495546017818</v>
      </c>
      <c r="K123" s="63">
        <f>SUM(K118:K122)</f>
        <v>27.16377427638405</v>
      </c>
      <c r="L123" s="63">
        <f>SUM(L118:L122)</f>
        <v>28.2959669432686</v>
      </c>
      <c r="M123" s="63">
        <f>SUM(M118:M122)</f>
        <v>29.48476924349737</v>
      </c>
      <c r="N123" s="63">
        <f>SUM(N118:N122)</f>
        <v>30.733011658737585</v>
      </c>
      <c r="O123" s="63">
        <f>SUM(O118:O122)</f>
        <v>32.043666194739814</v>
      </c>
      <c r="P123" s="63">
        <f>SUM(P118:P122)</f>
        <v>33.419853457542146</v>
      </c>
      <c r="Q123" s="63">
        <f>SUM(Q118:Q122)</f>
        <v>34.8648500834846</v>
      </c>
      <c r="R123" s="63">
        <f>SUM(R118:R122)</f>
        <v>36.38209654072418</v>
      </c>
      <c r="S123" s="63">
        <f>SUM(S118:S122)</f>
        <v>37.97520532082573</v>
      </c>
      <c r="T123" s="63">
        <f>SUM(T118:T122)</f>
        <v>39.64796953993236</v>
      </c>
      <c r="U123" s="63">
        <f>SUM(U118:U122)</f>
        <v>41.404371969994315</v>
      </c>
      <c r="V123" s="63">
        <f>SUM(V118:V122)</f>
        <v>43.24859452155938</v>
      </c>
      <c r="W123" s="63">
        <f>SUM(W118:W122)</f>
        <v>45.185028200702696</v>
      </c>
      <c r="X123" s="63">
        <f>SUM(X118:X122)</f>
        <v>47.218283563803176</v>
      </c>
      <c r="Y123" s="63">
        <f>SUM(Y118:Y122)</f>
        <v>49.35320169505868</v>
      </c>
      <c r="Z123" s="63">
        <f>SUM(Z118:Z122)</f>
        <v>51.59486573287696</v>
      </c>
      <c r="AA123" s="63">
        <f>SUM(AA118:AA122)</f>
        <v>53.948612972586155</v>
      </c>
      <c r="AB123" s="63">
        <f>SUM(AB118:AB122)</f>
        <v>56.42004757428081</v>
      </c>
      <c r="AC123" s="63">
        <f>SUM(AC118:AC122)</f>
        <v>59.015053906060196</v>
      </c>
    </row>
    <row r="124" spans="1:29" x14ac:dyDescent="0.25">
      <c r="A124" s="61" t="s">
        <v>198</v>
      </c>
      <c r="B124" s="62" t="s">
        <v>86</v>
      </c>
      <c r="C124" s="63">
        <f>SUM(E124:AC124)</f>
        <v>5158.466420326915</v>
      </c>
      <c r="D124" s="64"/>
      <c r="E124" s="63">
        <f>E115-E123</f>
        <v>227.35810243834987</v>
      </c>
      <c r="F124" s="63">
        <f>F115-F123</f>
        <v>226.04170287733953</v>
      </c>
      <c r="G124" s="63">
        <f>G115-G123</f>
        <v>224.68306033632965</v>
      </c>
      <c r="H124" s="63">
        <f>H115-H123</f>
        <v>223.28006266632042</v>
      </c>
      <c r="I124" s="63">
        <f>I115-I123</f>
        <v>221.8304921108619</v>
      </c>
      <c r="J124" s="63">
        <f>J115-J123</f>
        <v>220.3320200256815</v>
      </c>
      <c r="K124" s="63">
        <f>K115-K123</f>
        <v>218.78220133429318</v>
      </c>
      <c r="L124" s="63">
        <f>L115-L123</f>
        <v>217.17846870638655</v>
      </c>
      <c r="M124" s="63">
        <f>M115-M123</f>
        <v>215.51812644513572</v>
      </c>
      <c r="N124" s="63">
        <f>N115-N123</f>
        <v>213.79834406887343</v>
      </c>
      <c r="O124" s="63">
        <f>O115-O123</f>
        <v>212.0161495718491</v>
      </c>
      <c r="P124" s="63">
        <f>P115-P123</f>
        <v>210.1684223480247</v>
      </c>
      <c r="Q124" s="63">
        <f>Q115-Q123</f>
        <v>208.25188576106018</v>
      </c>
      <c r="R124" s="63">
        <f>R115-R123</f>
        <v>206.2630993427985</v>
      </c>
      <c r="S124" s="63">
        <f>S115-S123</f>
        <v>204.1984506016749</v>
      </c>
      <c r="T124" s="63">
        <f>T115-T123</f>
        <v>202.05414642154614</v>
      </c>
      <c r="U124" s="63">
        <f>U115-U123</f>
        <v>199.82620403046218</v>
      </c>
      <c r="V124" s="63">
        <f>V115-V123</f>
        <v>197.510441517875</v>
      </c>
      <c r="W124" s="63">
        <f>W115-W123</f>
        <v>195.10246787770959</v>
      </c>
      <c r="X124" s="63">
        <f>X115-X123</f>
        <v>192.59767255358705</v>
      </c>
      <c r="Y124" s="63">
        <f>Y115-Y123</f>
        <v>189.99121446130945</v>
      </c>
      <c r="Z124" s="63">
        <f>Z115-Z123</f>
        <v>187.27801046246907</v>
      </c>
      <c r="AA124" s="63">
        <f>AA115-AA123</f>
        <v>184.45272326173782</v>
      </c>
      <c r="AB124" s="63">
        <f>AB115-AB123</f>
        <v>181.5097486990211</v>
      </c>
      <c r="AC124" s="63">
        <f>AC115-AC123</f>
        <v>178.44320240621963</v>
      </c>
    </row>
    <row r="125" spans="1:29" x14ac:dyDescent="0.25">
      <c r="A125" s="33" t="s">
        <v>199</v>
      </c>
      <c r="B125" s="26" t="s">
        <v>83</v>
      </c>
      <c r="E125" s="32">
        <f>IF(E115&lt;&gt;0,E124/E115,"")</f>
        <v>0.9139097803371604</v>
      </c>
      <c r="F125" s="32">
        <f>IF(F115&lt;&gt;0,F124/F115,"")</f>
        <v>0.9103437655476901</v>
      </c>
      <c r="G125" s="32">
        <f>IF(G115&lt;&gt;0,G124/G115,"")</f>
        <v>0.9065937309705301</v>
      </c>
      <c r="H125" s="32">
        <f>IF(H115&lt;&gt;0,H124/H115,"")</f>
        <v>0.9026500854780158</v>
      </c>
      <c r="I125" s="32">
        <f>IF(I115&lt;&gt;0,I124/I115,"")</f>
        <v>0.8985027369164269</v>
      </c>
      <c r="J125" s="32">
        <f>IF(J115&lt;&gt;0,J124/J115,"")</f>
        <v>0.8941410658836555</v>
      </c>
      <c r="K125" s="32">
        <f>IF(K115&lt;&gt;0,K124/K115,"")</f>
        <v>0.8895538981317457</v>
      </c>
      <c r="L125" s="32">
        <f>IF(L115&lt;&gt;0,L124/L115,"")</f>
        <v>0.8847294755220334</v>
      </c>
      <c r="M125" s="32">
        <f>IF(M115&lt;&gt;0,M124/M115,"")</f>
        <v>0.8796554254568131</v>
      </c>
      <c r="N125" s="32">
        <f>IF(N115&lt;&gt;0,N124/N115,"")</f>
        <v>0.8743187287074473</v>
      </c>
      <c r="O125" s="32">
        <f>IF(O115&lt;&gt;0,O124/O115,"")</f>
        <v>0.8687056855546209</v>
      </c>
      <c r="P125" s="32">
        <f>IF(P115&lt;&gt;0,P124/P115,"")</f>
        <v>0.8628018801519906</v>
      </c>
      <c r="Q125" s="32">
        <f>IF(Q115&lt;&gt;0,Q124/Q115,"")</f>
        <v>0.8565921430198121</v>
      </c>
      <c r="R125" s="32">
        <f>IF(R115&lt;&gt;0,R124/R115,"")</f>
        <v>0.8500605115701992</v>
      </c>
      <c r="S125" s="32">
        <f>IF(S115&lt;&gt;0,S124/S115,"")</f>
        <v>0.8431901885604833</v>
      </c>
      <c r="T125" s="32">
        <f>IF(T115&lt;&gt;0,T124/T115,"")</f>
        <v>0.8359634983656854</v>
      </c>
      <c r="U125" s="32">
        <f>IF(U115&lt;&gt;0,U124/U115,"")</f>
        <v>0.8283618409553689</v>
      </c>
      <c r="V125" s="32">
        <f>IF(V115&lt;&gt;0,V124/V115,"")</f>
        <v>0.8203656434540816</v>
      </c>
      <c r="W125" s="32">
        <f>IF(W115&lt;&gt;0,W124/W115,"")</f>
        <v>0.811954309158236</v>
      </c>
      <c r="X125" s="32">
        <f>IF(X115&lt;&gt;0,X124/X115,"")</f>
        <v>0.8031061638755607</v>
      </c>
      <c r="Y125" s="32">
        <f>IF(Y115&lt;&gt;0,Y124/Y115,"")</f>
        <v>0.7937983994461967</v>
      </c>
      <c r="Z125" s="32">
        <f>IF(Z115&lt;&gt;0,Z124/Z115,"")</f>
        <v>0.7840070142970791</v>
      </c>
      <c r="AA125" s="32">
        <f>IF(AA115&lt;&gt;0,AA124/AA115,"")</f>
        <v>0.7737067508734087</v>
      </c>
      <c r="AB125" s="32">
        <f>IF(AB115&lt;&gt;0,AB124/AB115,"")</f>
        <v>0.762871029782781</v>
      </c>
      <c r="AC125" s="32">
        <f>IF(AC115&lt;&gt;0,AC124/AC115,"")</f>
        <v>0.7514718804788583</v>
      </c>
    </row>
    <row r="127" ht="20" customHeight="1" spans="1:29" x14ac:dyDescent="0.25">
      <c r="A127" s="21" t="s">
        <v>200</v>
      </c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</row>
    <row r="128" spans="1:29" x14ac:dyDescent="0.25">
      <c r="A128" s="33" t="s">
        <v>143</v>
      </c>
      <c r="B128" s="26" t="s">
        <v>86</v>
      </c>
      <c r="C128" s="57">
        <f>SUM(E128:AC128)</f>
        <v>243.60963038123595</v>
      </c>
      <c r="E128" s="37">
        <f>IF($C$57="annual",IF(E$5&gt;=2,$C$35*$C$58*$C$39*E106,0),IF(AND($C$57="oneTime",E$5=$C$59,$C$59&gt;1,$C$59&lt;=$C$87),$C$35*MIN(0.6,$C$58*(E$5-1))*$C$39*E106,0))</f>
        <v>0</v>
      </c>
      <c r="F128" s="37">
        <f>IF($C$57="annual",IF(F$5&gt;=2,$C$35*$C$58*$C$39*F106,0),IF(AND($C$57="oneTime",F$5=$C$59,$C$59&gt;1,$C$59&lt;=$C$87),$C$35*MIN(0.6,$C$58*(F$5-1))*$C$39*F106,0))</f>
        <v>10.150401265884836</v>
      </c>
      <c r="G128" s="37">
        <f>IF($C$57="annual",IF(G$5&gt;=2,$C$35*$C$58*$C$39*G106,0),IF(AND($C$57="oneTime",G$5=$C$59,$C$59&gt;1,$C$59&lt;=$C$87),$C$35*MIN(0.6,$C$58*(G$5-1))*$C$39*G106,0))</f>
        <v>10.150401265884836</v>
      </c>
      <c r="H128" s="37">
        <f>IF($C$57="annual",IF(H$5&gt;=2,$C$35*$C$58*$C$39*H106,0),IF(AND($C$57="oneTime",H$5=$C$59,$C$59&gt;1,$C$59&lt;=$C$87),$C$35*MIN(0.6,$C$58*(H$5-1))*$C$39*H106,0))</f>
        <v>10.150401265884836</v>
      </c>
      <c r="I128" s="37">
        <f>IF($C$57="annual",IF(I$5&gt;=2,$C$35*$C$58*$C$39*I106,0),IF(AND($C$57="oneTime",I$5=$C$59,$C$59&gt;1,$C$59&lt;=$C$87),$C$35*MIN(0.6,$C$58*(I$5-1))*$C$39*I106,0))</f>
        <v>10.150401265884836</v>
      </c>
      <c r="J128" s="37">
        <f>IF($C$57="annual",IF(J$5&gt;=2,$C$35*$C$58*$C$39*J106,0),IF(AND($C$57="oneTime",J$5=$C$59,$C$59&gt;1,$C$59&lt;=$C$87),$C$35*MIN(0.6,$C$58*(J$5-1))*$C$39*J106,0))</f>
        <v>10.150401265884836</v>
      </c>
      <c r="K128" s="37">
        <f>IF($C$57="annual",IF(K$5&gt;=2,$C$35*$C$58*$C$39*K106,0),IF(AND($C$57="oneTime",K$5=$C$59,$C$59&gt;1,$C$59&lt;=$C$87),$C$35*MIN(0.6,$C$58*(K$5-1))*$C$39*K106,0))</f>
        <v>10.150401265884836</v>
      </c>
      <c r="L128" s="37">
        <f>IF($C$57="annual",IF(L$5&gt;=2,$C$35*$C$58*$C$39*L106,0),IF(AND($C$57="oneTime",L$5=$C$59,$C$59&gt;1,$C$59&lt;=$C$87),$C$35*MIN(0.6,$C$58*(L$5-1))*$C$39*L106,0))</f>
        <v>10.150401265884836</v>
      </c>
      <c r="M128" s="37">
        <f>IF($C$57="annual",IF(M$5&gt;=2,$C$35*$C$58*$C$39*M106,0),IF(AND($C$57="oneTime",M$5=$C$59,$C$59&gt;1,$C$59&lt;=$C$87),$C$35*MIN(0.6,$C$58*(M$5-1))*$C$39*M106,0))</f>
        <v>10.150401265884836</v>
      </c>
      <c r="N128" s="37">
        <f>IF($C$57="annual",IF(N$5&gt;=2,$C$35*$C$58*$C$39*N106,0),IF(AND($C$57="oneTime",N$5=$C$59,$C$59&gt;1,$C$59&lt;=$C$87),$C$35*MIN(0.6,$C$58*(N$5-1))*$C$39*N106,0))</f>
        <v>10.150401265884836</v>
      </c>
      <c r="O128" s="37">
        <f>IF($C$57="annual",IF(O$5&gt;=2,$C$35*$C$58*$C$39*O106,0),IF(AND($C$57="oneTime",O$5=$C$59,$C$59&gt;1,$C$59&lt;=$C$87),$C$35*MIN(0.6,$C$58*(O$5-1))*$C$39*O106,0))</f>
        <v>10.150401265884836</v>
      </c>
      <c r="P128" s="37">
        <f>IF($C$57="annual",IF(P$5&gt;=2,$C$35*$C$58*$C$39*P106,0),IF(AND($C$57="oneTime",P$5=$C$59,$C$59&gt;1,$C$59&lt;=$C$87),$C$35*MIN(0.6,$C$58*(P$5-1))*$C$39*P106,0))</f>
        <v>10.150401265884836</v>
      </c>
      <c r="Q128" s="37">
        <f>IF($C$57="annual",IF(Q$5&gt;=2,$C$35*$C$58*$C$39*Q106,0),IF(AND($C$57="oneTime",Q$5=$C$59,$C$59&gt;1,$C$59&lt;=$C$87),$C$35*MIN(0.6,$C$58*(Q$5-1))*$C$39*Q106,0))</f>
        <v>10.150401265884836</v>
      </c>
      <c r="R128" s="37">
        <f>IF($C$57="annual",IF(R$5&gt;=2,$C$35*$C$58*$C$39*R106,0),IF(AND($C$57="oneTime",R$5=$C$59,$C$59&gt;1,$C$59&lt;=$C$87),$C$35*MIN(0.6,$C$58*(R$5-1))*$C$39*R106,0))</f>
        <v>10.150401265884836</v>
      </c>
      <c r="S128" s="37">
        <f>IF($C$57="annual",IF(S$5&gt;=2,$C$35*$C$58*$C$39*S106,0),IF(AND($C$57="oneTime",S$5=$C$59,$C$59&gt;1,$C$59&lt;=$C$87),$C$35*MIN(0.6,$C$58*(S$5-1))*$C$39*S106,0))</f>
        <v>10.150401265884836</v>
      </c>
      <c r="T128" s="37">
        <f>IF($C$57="annual",IF(T$5&gt;=2,$C$35*$C$58*$C$39*T106,0),IF(AND($C$57="oneTime",T$5=$C$59,$C$59&gt;1,$C$59&lt;=$C$87),$C$35*MIN(0.6,$C$58*(T$5-1))*$C$39*T106,0))</f>
        <v>10.150401265884836</v>
      </c>
      <c r="U128" s="37">
        <f>IF($C$57="annual",IF(U$5&gt;=2,$C$35*$C$58*$C$39*U106,0),IF(AND($C$57="oneTime",U$5=$C$59,$C$59&gt;1,$C$59&lt;=$C$87),$C$35*MIN(0.6,$C$58*(U$5-1))*$C$39*U106,0))</f>
        <v>10.150401265884836</v>
      </c>
      <c r="V128" s="37">
        <f>IF($C$57="annual",IF(V$5&gt;=2,$C$35*$C$58*$C$39*V106,0),IF(AND($C$57="oneTime",V$5=$C$59,$C$59&gt;1,$C$59&lt;=$C$87),$C$35*MIN(0.6,$C$58*(V$5-1))*$C$39*V106,0))</f>
        <v>10.150401265884836</v>
      </c>
      <c r="W128" s="37">
        <f>IF($C$57="annual",IF(W$5&gt;=2,$C$35*$C$58*$C$39*W106,0),IF(AND($C$57="oneTime",W$5=$C$59,$C$59&gt;1,$C$59&lt;=$C$87),$C$35*MIN(0.6,$C$58*(W$5-1))*$C$39*W106,0))</f>
        <v>10.150401265884836</v>
      </c>
      <c r="X128" s="37">
        <f>IF($C$57="annual",IF(X$5&gt;=2,$C$35*$C$58*$C$39*X106,0),IF(AND($C$57="oneTime",X$5=$C$59,$C$59&gt;1,$C$59&lt;=$C$87),$C$35*MIN(0.6,$C$58*(X$5-1))*$C$39*X106,0))</f>
        <v>10.150401265884836</v>
      </c>
      <c r="Y128" s="37">
        <f>IF($C$57="annual",IF(Y$5&gt;=2,$C$35*$C$58*$C$39*Y106,0),IF(AND($C$57="oneTime",Y$5=$C$59,$C$59&gt;1,$C$59&lt;=$C$87),$C$35*MIN(0.6,$C$58*(Y$5-1))*$C$39*Y106,0))</f>
        <v>10.150401265884836</v>
      </c>
      <c r="Z128" s="37">
        <f>IF($C$57="annual",IF(Z$5&gt;=2,$C$35*$C$58*$C$39*Z106,0),IF(AND($C$57="oneTime",Z$5=$C$59,$C$59&gt;1,$C$59&lt;=$C$87),$C$35*MIN(0.6,$C$58*(Z$5-1))*$C$39*Z106,0))</f>
        <v>10.150401265884836</v>
      </c>
      <c r="AA128" s="37">
        <f>IF($C$57="annual",IF(AA$5&gt;=2,$C$35*$C$58*$C$39*AA106,0),IF(AND($C$57="oneTime",AA$5=$C$59,$C$59&gt;1,$C$59&lt;=$C$87),$C$35*MIN(0.6,$C$58*(AA$5-1))*$C$39*AA106,0))</f>
        <v>10.150401265884836</v>
      </c>
      <c r="AB128" s="37">
        <f>IF($C$57="annual",IF(AB$5&gt;=2,$C$35*$C$58*$C$39*AB106,0),IF(AND($C$57="oneTime",AB$5=$C$59,$C$59&gt;1,$C$59&lt;=$C$87),$C$35*MIN(0.6,$C$58*(AB$5-1))*$C$39*AB106,0))</f>
        <v>10.150401265884836</v>
      </c>
      <c r="AC128" s="37">
        <f>IF($C$57="annual",IF(AC$5&gt;=2,$C$35*$C$58*$C$39*AC106,0),IF(AND($C$57="oneTime",AC$5=$C$59,$C$59&gt;1,$C$59&lt;=$C$87),$C$35*MIN(0.6,$C$58*(AC$5-1))*$C$39*AC106,0))</f>
        <v>10.150401265884836</v>
      </c>
    </row>
    <row r="130" ht="20" customHeight="1" spans="1:29" x14ac:dyDescent="0.25">
      <c r="A130" s="21" t="s">
        <v>201</v>
      </c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</row>
    <row r="131" spans="1:29" x14ac:dyDescent="0.25">
      <c r="A131" s="33" t="s">
        <v>202</v>
      </c>
      <c r="B131" s="26" t="s">
        <v>86</v>
      </c>
      <c r="C131" s="57">
        <f>SUM(E131:AC131)</f>
        <v>1423.7750956883356</v>
      </c>
      <c r="E131" s="37">
        <f>IF(E$5&lt;=$C$72,$C$92,0)</f>
        <v>56.951003827533405</v>
      </c>
      <c r="F131" s="37">
        <f>IF(F$5&lt;=$C$72,$C$92,0)</f>
        <v>56.951003827533405</v>
      </c>
      <c r="G131" s="37">
        <f>IF(G$5&lt;=$C$72,$C$92,0)</f>
        <v>56.951003827533405</v>
      </c>
      <c r="H131" s="37">
        <f>IF(H$5&lt;=$C$72,$C$92,0)</f>
        <v>56.951003827533405</v>
      </c>
      <c r="I131" s="37">
        <f>IF(I$5&lt;=$C$72,$C$92,0)</f>
        <v>56.951003827533405</v>
      </c>
      <c r="J131" s="37">
        <f>IF(J$5&lt;=$C$72,$C$92,0)</f>
        <v>56.951003827533405</v>
      </c>
      <c r="K131" s="37">
        <f>IF(K$5&lt;=$C$72,$C$92,0)</f>
        <v>56.951003827533405</v>
      </c>
      <c r="L131" s="37">
        <f>IF(L$5&lt;=$C$72,$C$92,0)</f>
        <v>56.951003827533405</v>
      </c>
      <c r="M131" s="37">
        <f>IF(M$5&lt;=$C$72,$C$92,0)</f>
        <v>56.951003827533405</v>
      </c>
      <c r="N131" s="37">
        <f>IF(N$5&lt;=$C$72,$C$92,0)</f>
        <v>56.951003827533405</v>
      </c>
      <c r="O131" s="37">
        <f>IF(O$5&lt;=$C$72,$C$92,0)</f>
        <v>56.951003827533405</v>
      </c>
      <c r="P131" s="37">
        <f>IF(P$5&lt;=$C$72,$C$92,0)</f>
        <v>56.951003827533405</v>
      </c>
      <c r="Q131" s="37">
        <f>IF(Q$5&lt;=$C$72,$C$92,0)</f>
        <v>56.951003827533405</v>
      </c>
      <c r="R131" s="37">
        <f>IF(R$5&lt;=$C$72,$C$92,0)</f>
        <v>56.951003827533405</v>
      </c>
      <c r="S131" s="37">
        <f>IF(S$5&lt;=$C$72,$C$92,0)</f>
        <v>56.951003827533405</v>
      </c>
      <c r="T131" s="37">
        <f>IF(T$5&lt;=$C$72,$C$92,0)</f>
        <v>56.951003827533405</v>
      </c>
      <c r="U131" s="37">
        <f>IF(U$5&lt;=$C$72,$C$92,0)</f>
        <v>56.951003827533405</v>
      </c>
      <c r="V131" s="37">
        <f>IF(V$5&lt;=$C$72,$C$92,0)</f>
        <v>56.951003827533405</v>
      </c>
      <c r="W131" s="37">
        <f>IF(W$5&lt;=$C$72,$C$92,0)</f>
        <v>56.951003827533405</v>
      </c>
      <c r="X131" s="37">
        <f>IF(X$5&lt;=$C$72,$C$92,0)</f>
        <v>56.951003827533405</v>
      </c>
      <c r="Y131" s="37">
        <f>IF(Y$5&lt;=$C$72,$C$92,0)</f>
        <v>56.951003827533405</v>
      </c>
      <c r="Z131" s="37">
        <f>IF(Z$5&lt;=$C$72,$C$92,0)</f>
        <v>56.951003827533405</v>
      </c>
      <c r="AA131" s="37">
        <f>IF(AA$5&lt;=$C$72,$C$92,0)</f>
        <v>56.951003827533405</v>
      </c>
      <c r="AB131" s="37">
        <f>IF(AB$5&lt;=$C$72,$C$92,0)</f>
        <v>56.951003827533405</v>
      </c>
      <c r="AC131" s="37">
        <f>IF(AC$5&lt;=$C$72,$C$92,0)</f>
        <v>56.951003827533405</v>
      </c>
    </row>
    <row r="132" spans="1:29" x14ac:dyDescent="0.25">
      <c r="A132" s="33" t="s">
        <v>203</v>
      </c>
      <c r="B132" s="26" t="s">
        <v>86</v>
      </c>
      <c r="E132" s="37">
        <f>E128/MAX(1,$C$87-E$5+1)</f>
        <v>0</v>
      </c>
      <c r="F132" s="37">
        <f>F128/MAX(1,$C$87-F$5+1)</f>
        <v>0.42293338607853487</v>
      </c>
      <c r="G132" s="37">
        <f>G128/MAX(1,$C$87-G$5+1)</f>
        <v>0.44132179416890593</v>
      </c>
      <c r="H132" s="37">
        <f>H128/MAX(1,$C$87-H$5+1)</f>
        <v>0.46138187572203804</v>
      </c>
      <c r="I132" s="37">
        <f>I128/MAX(1,$C$87-I$5+1)</f>
        <v>0.48335244123261123</v>
      </c>
      <c r="J132" s="37">
        <f>J128/MAX(1,$C$87-J$5+1)</f>
        <v>0.5075200632942418</v>
      </c>
      <c r="K132" s="37">
        <f>K128/MAX(1,$C$87-K$5+1)</f>
        <v>0.5342316455728862</v>
      </c>
      <c r="L132" s="37">
        <f>L128/MAX(1,$C$87-L$5+1)</f>
        <v>0.5639111814380464</v>
      </c>
      <c r="M132" s="37">
        <f>M128/MAX(1,$C$87-M$5+1)</f>
        <v>0.5970824274049904</v>
      </c>
      <c r="N132" s="37">
        <f>N128/MAX(1,$C$87-N$5+1)</f>
        <v>0.6344000791178023</v>
      </c>
      <c r="O132" s="37">
        <f>O128/MAX(1,$C$87-O$5+1)</f>
        <v>0.6766934177256557</v>
      </c>
      <c r="P132" s="37">
        <f>P128/MAX(1,$C$87-P$5+1)</f>
        <v>0.7250286618489169</v>
      </c>
      <c r="Q132" s="37">
        <f>Q128/MAX(1,$C$87-Q$5+1)</f>
        <v>0.7808000973757566</v>
      </c>
      <c r="R132" s="37">
        <f>R128/MAX(1,$C$87-R$5+1)</f>
        <v>0.8458667721570697</v>
      </c>
      <c r="S132" s="37">
        <f>S128/MAX(1,$C$87-S$5+1)</f>
        <v>0.9227637514440761</v>
      </c>
      <c r="T132" s="37">
        <f>T128/MAX(1,$C$87-T$5+1)</f>
        <v>1.0150401265884836</v>
      </c>
      <c r="U132" s="37">
        <f>U128/MAX(1,$C$87-U$5+1)</f>
        <v>1.1278223628760928</v>
      </c>
      <c r="V132" s="37">
        <f>V128/MAX(1,$C$87-V$5+1)</f>
        <v>1.2688001582356045</v>
      </c>
      <c r="W132" s="37">
        <f>W128/MAX(1,$C$87-W$5+1)</f>
        <v>1.4500573236978338</v>
      </c>
      <c r="X132" s="37">
        <f>X128/MAX(1,$C$87-X$5+1)</f>
        <v>1.6917335443141395</v>
      </c>
      <c r="Y132" s="37">
        <f>Y128/MAX(1,$C$87-Y$5+1)</f>
        <v>2.0300802531769673</v>
      </c>
      <c r="Z132" s="37">
        <f>Z128/MAX(1,$C$87-Z$5+1)</f>
        <v>2.537600316471209</v>
      </c>
      <c r="AA132" s="37">
        <f>AA128/MAX(1,$C$87-AA$5+1)</f>
        <v>3.383467088628279</v>
      </c>
      <c r="AB132" s="37">
        <f>AB128/MAX(1,$C$87-AB$5+1)</f>
        <v>5.075200632942418</v>
      </c>
      <c r="AC132" s="37">
        <f>AC128/MAX(1,$C$87-AC$5+1)</f>
        <v>10.150401265884836</v>
      </c>
    </row>
    <row r="133" spans="1:29" x14ac:dyDescent="0.25">
      <c r="A133" s="33" t="s">
        <v>204</v>
      </c>
      <c r="B133" s="26" t="s">
        <v>86</v>
      </c>
      <c r="C133" s="57">
        <f>SUM(E133:AC133)</f>
        <v>243.60963038123606</v>
      </c>
      <c r="E133" s="37">
        <f>E132</f>
        <v>0</v>
      </c>
      <c r="F133" s="37">
        <f>E133+F132</f>
        <v>0.42293338607853487</v>
      </c>
      <c r="G133" s="37">
        <f>F133+G132</f>
        <v>0.8642551802474407</v>
      </c>
      <c r="H133" s="37">
        <f>G133+H132</f>
        <v>1.3256370559694788</v>
      </c>
      <c r="I133" s="37">
        <f>H133+I132</f>
        <v>1.8089894972020901</v>
      </c>
      <c r="J133" s="37">
        <f>I133+J132</f>
        <v>2.316509560496332</v>
      </c>
      <c r="K133" s="37">
        <f>J133+K132</f>
        <v>2.850741206069218</v>
      </c>
      <c r="L133" s="37">
        <f>K133+L132</f>
        <v>3.4146523875072643</v>
      </c>
      <c r="M133" s="37">
        <f>L133+M132</f>
        <v>4.011734814912255</v>
      </c>
      <c r="N133" s="37">
        <f>M133+N132</f>
        <v>4.646134894030057</v>
      </c>
      <c r="O133" s="37">
        <f>N133+O132</f>
        <v>5.322828311755713</v>
      </c>
      <c r="P133" s="37">
        <f>O133+P132</f>
        <v>6.04785697360463</v>
      </c>
      <c r="Q133" s="37">
        <f>P133+Q132</f>
        <v>6.828657070980387</v>
      </c>
      <c r="R133" s="37">
        <f>Q133+R132</f>
        <v>7.6745238431374565</v>
      </c>
      <c r="S133" s="37">
        <f>R133+S132</f>
        <v>8.597287594581532</v>
      </c>
      <c r="T133" s="37">
        <f>S133+T132</f>
        <v>9.612327721170015</v>
      </c>
      <c r="U133" s="37">
        <f>T133+U132</f>
        <v>10.740150084046107</v>
      </c>
      <c r="V133" s="37">
        <f>U133+V132</f>
        <v>12.008950242281712</v>
      </c>
      <c r="W133" s="37">
        <f>V133+W132</f>
        <v>13.459007565979546</v>
      </c>
      <c r="X133" s="37">
        <f>W133+X132</f>
        <v>15.150741110293685</v>
      </c>
      <c r="Y133" s="37">
        <f>X133+Y132</f>
        <v>17.180821363470653</v>
      </c>
      <c r="Z133" s="37">
        <f>Y133+Z132</f>
        <v>19.718421679941862</v>
      </c>
      <c r="AA133" s="37">
        <f>Z133+AA132</f>
        <v>23.10188876857014</v>
      </c>
      <c r="AB133" s="37">
        <f>AA133+AB132</f>
        <v>28.17708940151256</v>
      </c>
      <c r="AC133" s="37">
        <f>AB133+AC132</f>
        <v>38.3274906673974</v>
      </c>
    </row>
    <row r="134" spans="1:29" x14ac:dyDescent="0.25">
      <c r="A134" s="61" t="s">
        <v>201</v>
      </c>
      <c r="B134" s="62" t="s">
        <v>86</v>
      </c>
      <c r="C134" s="63">
        <f>SUM(E134:AC134)</f>
        <v>1667.3847260695711</v>
      </c>
      <c r="D134" s="64"/>
      <c r="E134" s="63">
        <f>E131+E133</f>
        <v>56.951003827533405</v>
      </c>
      <c r="F134" s="63">
        <f>F131+F133</f>
        <v>57.37393721361194</v>
      </c>
      <c r="G134" s="63">
        <f>G131+G133</f>
        <v>57.815259007780845</v>
      </c>
      <c r="H134" s="63">
        <f>H131+H133</f>
        <v>58.276640883502886</v>
      </c>
      <c r="I134" s="63">
        <f>I131+I133</f>
        <v>58.7599933247355</v>
      </c>
      <c r="J134" s="63">
        <f>J131+J133</f>
        <v>59.26751338802974</v>
      </c>
      <c r="K134" s="63">
        <f>K131+K133</f>
        <v>59.80174503360262</v>
      </c>
      <c r="L134" s="63">
        <f>L131+L133</f>
        <v>60.36565621504067</v>
      </c>
      <c r="M134" s="63">
        <f>M131+M133</f>
        <v>60.96273864244566</v>
      </c>
      <c r="N134" s="63">
        <f>N131+N133</f>
        <v>61.59713872156346</v>
      </c>
      <c r="O134" s="63">
        <f>O131+O133</f>
        <v>62.27383213928912</v>
      </c>
      <c r="P134" s="63">
        <f>P131+P133</f>
        <v>62.998860801138036</v>
      </c>
      <c r="Q134" s="63">
        <f>Q131+Q133</f>
        <v>63.77966089851379</v>
      </c>
      <c r="R134" s="63">
        <f>R131+R133</f>
        <v>64.62552767067086</v>
      </c>
      <c r="S134" s="63">
        <f>S131+S133</f>
        <v>65.54829142211494</v>
      </c>
      <c r="T134" s="63">
        <f>T131+T133</f>
        <v>66.56333154870342</v>
      </c>
      <c r="U134" s="63">
        <f>U131+U133</f>
        <v>67.6911539115795</v>
      </c>
      <c r="V134" s="63">
        <f>V131+V133</f>
        <v>68.95995406981511</v>
      </c>
      <c r="W134" s="63">
        <f>W131+W133</f>
        <v>70.41001139351295</v>
      </c>
      <c r="X134" s="63">
        <f>X131+X133</f>
        <v>72.10174493782709</v>
      </c>
      <c r="Y134" s="63">
        <f>Y131+Y133</f>
        <v>74.13182519100405</v>
      </c>
      <c r="Z134" s="63">
        <f>Z131+Z133</f>
        <v>76.66942550747527</v>
      </c>
      <c r="AA134" s="63">
        <f>AA131+AA133</f>
        <v>80.05289259610355</v>
      </c>
      <c r="AB134" s="63">
        <f>AB131+AB133</f>
        <v>85.12809322904596</v>
      </c>
      <c r="AC134" s="63">
        <f>AC131+AC133</f>
        <v>95.27849449493081</v>
      </c>
    </row>
    <row r="136" ht="20" customHeight="1" spans="1:29" x14ac:dyDescent="0.25">
      <c r="A136" s="21" t="s">
        <v>94</v>
      </c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</row>
    <row r="137" spans="1:29" x14ac:dyDescent="0.25">
      <c r="A137" s="33" t="s">
        <v>205</v>
      </c>
      <c r="B137" s="26" t="s">
        <v>86</v>
      </c>
      <c r="E137" s="37">
        <f>$C$85</f>
        <v>1107.3806299798161</v>
      </c>
      <c r="F137" s="37">
        <f>E140</f>
        <v>1033.5552546478284</v>
      </c>
      <c r="G137" s="37">
        <f>F140</f>
        <v>959.7298793158407</v>
      </c>
      <c r="H137" s="37">
        <f>G140</f>
        <v>885.9045039838529</v>
      </c>
      <c r="I137" s="37">
        <f>H140</f>
        <v>812.0791286518652</v>
      </c>
      <c r="J137" s="37">
        <f>I140</f>
        <v>738.2537533198774</v>
      </c>
      <c r="K137" s="37">
        <f>J140</f>
        <v>664.4283779878897</v>
      </c>
      <c r="L137" s="37">
        <f>K140</f>
        <v>590.603002655902</v>
      </c>
      <c r="M137" s="37">
        <f>L140</f>
        <v>516.7776273239142</v>
      </c>
      <c r="N137" s="37">
        <f>M140</f>
        <v>442.95225199192646</v>
      </c>
      <c r="O137" s="37">
        <f>N140</f>
        <v>369.1268766599387</v>
      </c>
      <c r="P137" s="37">
        <f>O140</f>
        <v>295.301501327951</v>
      </c>
      <c r="Q137" s="37">
        <f>P140</f>
        <v>221.47612599596323</v>
      </c>
      <c r="R137" s="37">
        <f>Q140</f>
        <v>147.6507506639755</v>
      </c>
      <c r="S137" s="37">
        <f>R140</f>
        <v>73.82537533198774</v>
      </c>
      <c r="T137" s="37">
        <f>S140</f>
        <v>0</v>
      </c>
      <c r="U137" s="37">
        <f>T140</f>
        <v>0</v>
      </c>
      <c r="V137" s="37">
        <f>U140</f>
        <v>0</v>
      </c>
      <c r="W137" s="37">
        <f>V140</f>
        <v>0</v>
      </c>
      <c r="X137" s="37">
        <f>W140</f>
        <v>0</v>
      </c>
      <c r="Y137" s="37">
        <f>X140</f>
        <v>0</v>
      </c>
      <c r="Z137" s="37">
        <f>Y140</f>
        <v>0</v>
      </c>
      <c r="AA137" s="37">
        <f>Z140</f>
        <v>0</v>
      </c>
      <c r="AB137" s="37">
        <f>AA140</f>
        <v>0</v>
      </c>
      <c r="AC137" s="37">
        <f>AB140</f>
        <v>0</v>
      </c>
    </row>
    <row r="138" spans="1:29" x14ac:dyDescent="0.25">
      <c r="A138" s="33" t="s">
        <v>206</v>
      </c>
      <c r="B138" s="26" t="s">
        <v>86</v>
      </c>
      <c r="C138" s="57">
        <f>SUM(E138:AC138)</f>
        <v>797.3140535854675</v>
      </c>
      <c r="E138" s="37">
        <f>E137*$C$63</f>
        <v>99.66425669818345</v>
      </c>
      <c r="F138" s="37">
        <f>F137*$C$63</f>
        <v>93.01997291830455</v>
      </c>
      <c r="G138" s="37">
        <f>G137*$C$63</f>
        <v>86.37568913842566</v>
      </c>
      <c r="H138" s="37">
        <f>H137*$C$63</f>
        <v>79.73140535854677</v>
      </c>
      <c r="I138" s="37">
        <f>I137*$C$63</f>
        <v>73.08712157866786</v>
      </c>
      <c r="J138" s="37">
        <f>J137*$C$63</f>
        <v>66.44283779878897</v>
      </c>
      <c r="K138" s="37">
        <f>K137*$C$63</f>
        <v>59.79855401891007</v>
      </c>
      <c r="L138" s="37">
        <f>L137*$C$63</f>
        <v>53.15427023903117</v>
      </c>
      <c r="M138" s="37">
        <f>M137*$C$63</f>
        <v>46.50998645915227</v>
      </c>
      <c r="N138" s="37">
        <f>N137*$C$63</f>
        <v>39.86570267927338</v>
      </c>
      <c r="O138" s="37">
        <f>O137*$C$63</f>
        <v>33.221418899394486</v>
      </c>
      <c r="P138" s="37">
        <f>P137*$C$63</f>
        <v>26.577135119515585</v>
      </c>
      <c r="Q138" s="37">
        <f>Q137*$C$63</f>
        <v>19.93285133963669</v>
      </c>
      <c r="R138" s="37">
        <f>R137*$C$63</f>
        <v>13.288567559757793</v>
      </c>
      <c r="S138" s="37">
        <f>S137*$C$63</f>
        <v>6.644283779878896</v>
      </c>
      <c r="T138" s="37">
        <f>T137*$C$63</f>
        <v>0</v>
      </c>
      <c r="U138" s="37">
        <f>U137*$C$63</f>
        <v>0</v>
      </c>
      <c r="V138" s="37">
        <f>V137*$C$63</f>
        <v>0</v>
      </c>
      <c r="W138" s="37">
        <f>W137*$C$63</f>
        <v>0</v>
      </c>
      <c r="X138" s="37">
        <f>X137*$C$63</f>
        <v>0</v>
      </c>
      <c r="Y138" s="37">
        <f>Y137*$C$63</f>
        <v>0</v>
      </c>
      <c r="Z138" s="37">
        <f>Z137*$C$63</f>
        <v>0</v>
      </c>
      <c r="AA138" s="37">
        <f>AA137*$C$63</f>
        <v>0</v>
      </c>
      <c r="AB138" s="37">
        <f>AB137*$C$63</f>
        <v>0</v>
      </c>
      <c r="AC138" s="37">
        <f>AC137*$C$63</f>
        <v>0</v>
      </c>
    </row>
    <row r="139" spans="1:29" x14ac:dyDescent="0.25">
      <c r="A139" s="33" t="s">
        <v>207</v>
      </c>
      <c r="B139" s="26" t="s">
        <v>86</v>
      </c>
      <c r="C139" s="57">
        <f>SUM(E139:AC139)</f>
        <v>1107.3806299798161</v>
      </c>
      <c r="E139" s="37">
        <f>IF(AND(E$5&lt;=$C$88,E137&gt;1E-9),IF($C$65="annuity",MIN(E137,$C$89-E138),MIN(E137,$C$90)),0)</f>
        <v>73.82537533198774</v>
      </c>
      <c r="F139" s="37">
        <f>IF(AND(F$5&lt;=$C$88,F137&gt;1E-9),IF($C$65="annuity",MIN(F137,$C$89-F138),MIN(F137,$C$90)),0)</f>
        <v>73.82537533198774</v>
      </c>
      <c r="G139" s="37">
        <f>IF(AND(G$5&lt;=$C$88,G137&gt;1E-9),IF($C$65="annuity",MIN(G137,$C$89-G138),MIN(G137,$C$90)),0)</f>
        <v>73.82537533198774</v>
      </c>
      <c r="H139" s="37">
        <f>IF(AND(H$5&lt;=$C$88,H137&gt;1E-9),IF($C$65="annuity",MIN(H137,$C$89-H138),MIN(H137,$C$90)),0)</f>
        <v>73.82537533198774</v>
      </c>
      <c r="I139" s="37">
        <f>IF(AND(I$5&lt;=$C$88,I137&gt;1E-9),IF($C$65="annuity",MIN(I137,$C$89-I138),MIN(I137,$C$90)),0)</f>
        <v>73.82537533198774</v>
      </c>
      <c r="J139" s="37">
        <f>IF(AND(J$5&lt;=$C$88,J137&gt;1E-9),IF($C$65="annuity",MIN(J137,$C$89-J138),MIN(J137,$C$90)),0)</f>
        <v>73.82537533198774</v>
      </c>
      <c r="K139" s="37">
        <f>IF(AND(K$5&lt;=$C$88,K137&gt;1E-9),IF($C$65="annuity",MIN(K137,$C$89-K138),MIN(K137,$C$90)),0)</f>
        <v>73.82537533198774</v>
      </c>
      <c r="L139" s="37">
        <f>IF(AND(L$5&lt;=$C$88,L137&gt;1E-9),IF($C$65="annuity",MIN(L137,$C$89-L138),MIN(L137,$C$90)),0)</f>
        <v>73.82537533198774</v>
      </c>
      <c r="M139" s="37">
        <f>IF(AND(M$5&lt;=$C$88,M137&gt;1E-9),IF($C$65="annuity",MIN(M137,$C$89-M138),MIN(M137,$C$90)),0)</f>
        <v>73.82537533198774</v>
      </c>
      <c r="N139" s="37">
        <f>IF(AND(N$5&lt;=$C$88,N137&gt;1E-9),IF($C$65="annuity",MIN(N137,$C$89-N138),MIN(N137,$C$90)),0)</f>
        <v>73.82537533198774</v>
      </c>
      <c r="O139" s="37">
        <f>IF(AND(O$5&lt;=$C$88,O137&gt;1E-9),IF($C$65="annuity",MIN(O137,$C$89-O138),MIN(O137,$C$90)),0)</f>
        <v>73.82537533198774</v>
      </c>
      <c r="P139" s="37">
        <f>IF(AND(P$5&lt;=$C$88,P137&gt;1E-9),IF($C$65="annuity",MIN(P137,$C$89-P138),MIN(P137,$C$90)),0)</f>
        <v>73.82537533198774</v>
      </c>
      <c r="Q139" s="37">
        <f>IF(AND(Q$5&lt;=$C$88,Q137&gt;1E-9),IF($C$65="annuity",MIN(Q137,$C$89-Q138),MIN(Q137,$C$90)),0)</f>
        <v>73.82537533198774</v>
      </c>
      <c r="R139" s="37">
        <f>IF(AND(R$5&lt;=$C$88,R137&gt;1E-9),IF($C$65="annuity",MIN(R137,$C$89-R138),MIN(R137,$C$90)),0)</f>
        <v>73.82537533198774</v>
      </c>
      <c r="S139" s="37">
        <f>IF(AND(S$5&lt;=$C$88,S137&gt;1E-9),IF($C$65="annuity",MIN(S137,$C$89-S138),MIN(S137,$C$90)),0)</f>
        <v>73.82537533198774</v>
      </c>
      <c r="T139" s="37">
        <f>IF(AND(T$5&lt;=$C$88,T137&gt;1E-9),IF($C$65="annuity",MIN(T137,$C$89-T138),MIN(T137,$C$90)),0)</f>
        <v>0</v>
      </c>
      <c r="U139" s="37">
        <f>IF(AND(U$5&lt;=$C$88,U137&gt;1E-9),IF($C$65="annuity",MIN(U137,$C$89-U138),MIN(U137,$C$90)),0)</f>
        <v>0</v>
      </c>
      <c r="V139" s="37">
        <f>IF(AND(V$5&lt;=$C$88,V137&gt;1E-9),IF($C$65="annuity",MIN(V137,$C$89-V138),MIN(V137,$C$90)),0)</f>
        <v>0</v>
      </c>
      <c r="W139" s="37">
        <f>IF(AND(W$5&lt;=$C$88,W137&gt;1E-9),IF($C$65="annuity",MIN(W137,$C$89-W138),MIN(W137,$C$90)),0)</f>
        <v>0</v>
      </c>
      <c r="X139" s="37">
        <f>IF(AND(X$5&lt;=$C$88,X137&gt;1E-9),IF($C$65="annuity",MIN(X137,$C$89-X138),MIN(X137,$C$90)),0)</f>
        <v>0</v>
      </c>
      <c r="Y139" s="37">
        <f>IF(AND(Y$5&lt;=$C$88,Y137&gt;1E-9),IF($C$65="annuity",MIN(Y137,$C$89-Y138),MIN(Y137,$C$90)),0)</f>
        <v>0</v>
      </c>
      <c r="Z139" s="37">
        <f>IF(AND(Z$5&lt;=$C$88,Z137&gt;1E-9),IF($C$65="annuity",MIN(Z137,$C$89-Z138),MIN(Z137,$C$90)),0)</f>
        <v>0</v>
      </c>
      <c r="AA139" s="37">
        <f>IF(AND(AA$5&lt;=$C$88,AA137&gt;1E-9),IF($C$65="annuity",MIN(AA137,$C$89-AA138),MIN(AA137,$C$90)),0)</f>
        <v>0</v>
      </c>
      <c r="AB139" s="37">
        <f>IF(AND(AB$5&lt;=$C$88,AB137&gt;1E-9),IF($C$65="annuity",MIN(AB137,$C$89-AB138),MIN(AB137,$C$90)),0)</f>
        <v>0</v>
      </c>
      <c r="AC139" s="37">
        <f>IF(AND(AC$5&lt;=$C$88,AC137&gt;1E-9),IF($C$65="annuity",MIN(AC137,$C$89-AC138),MIN(AC137,$C$90)),0)</f>
        <v>0</v>
      </c>
    </row>
    <row r="140" spans="1:29" x14ac:dyDescent="0.25">
      <c r="A140" s="33" t="s">
        <v>208</v>
      </c>
      <c r="B140" s="26" t="s">
        <v>86</v>
      </c>
      <c r="E140" s="37">
        <f>E137-E139</f>
        <v>1033.5552546478284</v>
      </c>
      <c r="F140" s="37">
        <f>F137-F139</f>
        <v>959.7298793158407</v>
      </c>
      <c r="G140" s="37">
        <f>G137-G139</f>
        <v>885.9045039838529</v>
      </c>
      <c r="H140" s="37">
        <f>H137-H139</f>
        <v>812.0791286518652</v>
      </c>
      <c r="I140" s="37">
        <f>I137-I139</f>
        <v>738.2537533198774</v>
      </c>
      <c r="J140" s="37">
        <f>J137-J139</f>
        <v>664.4283779878897</v>
      </c>
      <c r="K140" s="37">
        <f>K137-K139</f>
        <v>590.603002655902</v>
      </c>
      <c r="L140" s="37">
        <f>L137-L139</f>
        <v>516.7776273239142</v>
      </c>
      <c r="M140" s="37">
        <f>M137-M139</f>
        <v>442.95225199192646</v>
      </c>
      <c r="N140" s="37">
        <f>N137-N139</f>
        <v>369.1268766599387</v>
      </c>
      <c r="O140" s="37">
        <f>O137-O139</f>
        <v>295.301501327951</v>
      </c>
      <c r="P140" s="37">
        <f>P137-P139</f>
        <v>221.47612599596323</v>
      </c>
      <c r="Q140" s="37">
        <f>Q137-Q139</f>
        <v>147.6507506639755</v>
      </c>
      <c r="R140" s="37">
        <f>R137-R139</f>
        <v>73.82537533198774</v>
      </c>
      <c r="S140" s="37">
        <f>S137-S139</f>
        <v>0</v>
      </c>
      <c r="T140" s="37">
        <f>T137-T139</f>
        <v>0</v>
      </c>
      <c r="U140" s="37">
        <f>U137-U139</f>
        <v>0</v>
      </c>
      <c r="V140" s="37">
        <f>V137-V139</f>
        <v>0</v>
      </c>
      <c r="W140" s="37">
        <f>W137-W139</f>
        <v>0</v>
      </c>
      <c r="X140" s="37">
        <f>X137-X139</f>
        <v>0</v>
      </c>
      <c r="Y140" s="37">
        <f>Y137-Y139</f>
        <v>0</v>
      </c>
      <c r="Z140" s="37">
        <f>Z137-Z139</f>
        <v>0</v>
      </c>
      <c r="AA140" s="37">
        <f>AA137-AA139</f>
        <v>0</v>
      </c>
      <c r="AB140" s="37">
        <f>AB137-AB139</f>
        <v>0</v>
      </c>
      <c r="AC140" s="37">
        <f>AC137-AC139</f>
        <v>0</v>
      </c>
    </row>
    <row r="141" spans="1:29" x14ac:dyDescent="0.25">
      <c r="A141" s="61" t="s">
        <v>209</v>
      </c>
      <c r="B141" s="62" t="s">
        <v>86</v>
      </c>
      <c r="C141" s="63">
        <f>SUM(E141:AC141)</f>
        <v>1904.6946835652839</v>
      </c>
      <c r="D141" s="64"/>
      <c r="E141" s="63">
        <f>E138+E139</f>
        <v>173.4896320301712</v>
      </c>
      <c r="F141" s="63">
        <f>F138+F139</f>
        <v>166.8453482502923</v>
      </c>
      <c r="G141" s="63">
        <f>G138+G139</f>
        <v>160.2010644704134</v>
      </c>
      <c r="H141" s="63">
        <f>H138+H139</f>
        <v>153.5567806905345</v>
      </c>
      <c r="I141" s="63">
        <f>I138+I139</f>
        <v>146.9124969106556</v>
      </c>
      <c r="J141" s="63">
        <f>J138+J139</f>
        <v>140.2682131307767</v>
      </c>
      <c r="K141" s="63">
        <f>K138+K139</f>
        <v>133.6239293508978</v>
      </c>
      <c r="L141" s="63">
        <f>L138+L139</f>
        <v>126.97964557101892</v>
      </c>
      <c r="M141" s="63">
        <f>M138+M139</f>
        <v>120.33536179114002</v>
      </c>
      <c r="N141" s="63">
        <f>N138+N139</f>
        <v>113.69107801126113</v>
      </c>
      <c r="O141" s="63">
        <f>O138+O139</f>
        <v>107.04679423138222</v>
      </c>
      <c r="P141" s="63">
        <f>P138+P139</f>
        <v>100.40251045150333</v>
      </c>
      <c r="Q141" s="63">
        <f>Q138+Q139</f>
        <v>93.75822667162444</v>
      </c>
      <c r="R141" s="63">
        <f>R138+R139</f>
        <v>87.11394289174554</v>
      </c>
      <c r="S141" s="63">
        <f>S138+S139</f>
        <v>80.46965911186663</v>
      </c>
      <c r="T141" s="63">
        <f>T138+T139</f>
        <v>0</v>
      </c>
      <c r="U141" s="63">
        <f>U138+U139</f>
        <v>0</v>
      </c>
      <c r="V141" s="63">
        <f>V138+V139</f>
        <v>0</v>
      </c>
      <c r="W141" s="63">
        <f>W138+W139</f>
        <v>0</v>
      </c>
      <c r="X141" s="63">
        <f>X138+X139</f>
        <v>0</v>
      </c>
      <c r="Y141" s="63">
        <f>Y138+Y139</f>
        <v>0</v>
      </c>
      <c r="Z141" s="63">
        <f>Z138+Z139</f>
        <v>0</v>
      </c>
      <c r="AA141" s="63">
        <f>AA138+AA139</f>
        <v>0</v>
      </c>
      <c r="AB141" s="63">
        <f>AB138+AB139</f>
        <v>0</v>
      </c>
      <c r="AC141" s="63">
        <f>AC138+AC139</f>
        <v>0</v>
      </c>
    </row>
    <row r="143" ht="20" customHeight="1" spans="1:29" x14ac:dyDescent="0.25">
      <c r="A143" s="21" t="s">
        <v>163</v>
      </c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</row>
    <row r="144" spans="1:29" x14ac:dyDescent="0.25">
      <c r="A144" s="33" t="s">
        <v>210</v>
      </c>
      <c r="B144" s="26" t="s">
        <v>86</v>
      </c>
      <c r="E144" s="37">
        <f>$C$84</f>
        <v>1581.9723285425946</v>
      </c>
      <c r="F144" s="37">
        <f>E147</f>
        <v>949.1833971255567</v>
      </c>
      <c r="G144" s="37">
        <f>F147</f>
        <v>575.6002790348649</v>
      </c>
      <c r="H144" s="37">
        <f>G147</f>
        <v>351.4504081804498</v>
      </c>
      <c r="I144" s="37">
        <f>H147</f>
        <v>216.96048566780078</v>
      </c>
      <c r="J144" s="37">
        <f>I147</f>
        <v>136.26653216021134</v>
      </c>
      <c r="K144" s="37">
        <f>J147</f>
        <v>87.8501600556577</v>
      </c>
      <c r="L144" s="37">
        <f>K147</f>
        <v>58.80033679292552</v>
      </c>
      <c r="M144" s="37">
        <f>L147</f>
        <v>41.37044283528621</v>
      </c>
      <c r="N144" s="37">
        <f>M147</f>
        <v>30.91250646070263</v>
      </c>
      <c r="O144" s="37">
        <f>N147</f>
        <v>24.63774463595248</v>
      </c>
      <c r="P144" s="37">
        <f>O147</f>
        <v>20.87288754110239</v>
      </c>
      <c r="Q144" s="37">
        <f>P147</f>
        <v>18.613973284192333</v>
      </c>
      <c r="R144" s="37">
        <f>Q147</f>
        <v>17.2586247300463</v>
      </c>
      <c r="S144" s="37">
        <f>R147</f>
        <v>16.445415597558682</v>
      </c>
      <c r="T144" s="37">
        <f>S147</f>
        <v>15.95749011806611</v>
      </c>
      <c r="U144" s="37">
        <f>T147</f>
        <v>15.664734830370566</v>
      </c>
      <c r="V144" s="37">
        <f>U147</f>
        <v>15.489081657753239</v>
      </c>
      <c r="W144" s="37">
        <f>V147</f>
        <v>15.383689754182846</v>
      </c>
      <c r="X144" s="37">
        <f>W147</f>
        <v>15.32045461204061</v>
      </c>
      <c r="Y144" s="37">
        <f>X147</f>
        <v>15.282513526755267</v>
      </c>
      <c r="Z144" s="37">
        <f>Y147</f>
        <v>15.259748875584062</v>
      </c>
      <c r="AA144" s="37">
        <f>Z147</f>
        <v>15.246090084881338</v>
      </c>
      <c r="AB144" s="37">
        <f>AA147</f>
        <v>15.237894810459705</v>
      </c>
      <c r="AC144" s="37">
        <f>AB147</f>
        <v>15.232977645806724</v>
      </c>
    </row>
    <row r="145" spans="1:29" x14ac:dyDescent="0.25">
      <c r="A145" s="33" t="s">
        <v>211</v>
      </c>
      <c r="B145" s="26" t="s">
        <v>86</v>
      </c>
      <c r="C145" s="57">
        <f>SUM(E145:AC145)</f>
        <v>243.60963038123595</v>
      </c>
      <c r="E145" s="37">
        <f>E128</f>
        <v>0</v>
      </c>
      <c r="F145" s="37">
        <f>F128</f>
        <v>10.150401265884836</v>
      </c>
      <c r="G145" s="37">
        <f>G128</f>
        <v>10.150401265884836</v>
      </c>
      <c r="H145" s="37">
        <f>H128</f>
        <v>10.150401265884836</v>
      </c>
      <c r="I145" s="37">
        <f>I128</f>
        <v>10.150401265884836</v>
      </c>
      <c r="J145" s="37">
        <f>J128</f>
        <v>10.150401265884836</v>
      </c>
      <c r="K145" s="37">
        <f>K128</f>
        <v>10.150401265884836</v>
      </c>
      <c r="L145" s="37">
        <f>L128</f>
        <v>10.150401265884836</v>
      </c>
      <c r="M145" s="37">
        <f>M128</f>
        <v>10.150401265884836</v>
      </c>
      <c r="N145" s="37">
        <f>N128</f>
        <v>10.150401265884836</v>
      </c>
      <c r="O145" s="37">
        <f>O128</f>
        <v>10.150401265884836</v>
      </c>
      <c r="P145" s="37">
        <f>P128</f>
        <v>10.150401265884836</v>
      </c>
      <c r="Q145" s="37">
        <f>Q128</f>
        <v>10.150401265884836</v>
      </c>
      <c r="R145" s="37">
        <f>R128</f>
        <v>10.150401265884836</v>
      </c>
      <c r="S145" s="37">
        <f>S128</f>
        <v>10.150401265884836</v>
      </c>
      <c r="T145" s="37">
        <f>T128</f>
        <v>10.150401265884836</v>
      </c>
      <c r="U145" s="37">
        <f>U128</f>
        <v>10.150401265884836</v>
      </c>
      <c r="V145" s="37">
        <f>V128</f>
        <v>10.150401265884836</v>
      </c>
      <c r="W145" s="37">
        <f>W128</f>
        <v>10.150401265884836</v>
      </c>
      <c r="X145" s="37">
        <f>X128</f>
        <v>10.150401265884836</v>
      </c>
      <c r="Y145" s="37">
        <f>Y128</f>
        <v>10.150401265884836</v>
      </c>
      <c r="Z145" s="37">
        <f>Z128</f>
        <v>10.150401265884836</v>
      </c>
      <c r="AA145" s="37">
        <f>AA128</f>
        <v>10.150401265884836</v>
      </c>
      <c r="AB145" s="37">
        <f>AB128</f>
        <v>10.150401265884836</v>
      </c>
      <c r="AC145" s="37">
        <f>AC128</f>
        <v>10.150401265884836</v>
      </c>
    </row>
    <row r="146" spans="1:29" x14ac:dyDescent="0.25">
      <c r="A146" s="61" t="s">
        <v>163</v>
      </c>
      <c r="B146" s="62" t="s">
        <v>86</v>
      </c>
      <c r="C146" s="63">
        <f>SUM(E146:AC146)</f>
        <v>1810.3519315768153</v>
      </c>
      <c r="D146" s="64"/>
      <c r="E146" s="63">
        <f>IF($C$70="wdv",(E144+E145)*$C$71,E134)</f>
        <v>632.7889314170379</v>
      </c>
      <c r="F146" s="63">
        <f>IF($C$70="wdv",(F144+F145)*$C$71,F134)</f>
        <v>383.7335193565766</v>
      </c>
      <c r="G146" s="63">
        <f>IF($C$70="wdv",(G144+G145)*$C$71,G134)</f>
        <v>234.30027212029992</v>
      </c>
      <c r="H146" s="63">
        <f>IF($C$70="wdv",(H144+H145)*$C$71,H134)</f>
        <v>144.64032377853388</v>
      </c>
      <c r="I146" s="63">
        <f>IF($C$70="wdv",(I144+I145)*$C$71,I134)</f>
        <v>90.84435477347425</v>
      </c>
      <c r="J146" s="63">
        <f>IF($C$70="wdv",(J144+J145)*$C$71,J134)</f>
        <v>58.56677337043847</v>
      </c>
      <c r="K146" s="63">
        <f>IF($C$70="wdv",(K144+K145)*$C$71,K134)</f>
        <v>39.200224528617014</v>
      </c>
      <c r="L146" s="63">
        <f>IF($C$70="wdv",(L144+L145)*$C$71,L134)</f>
        <v>27.580295223524146</v>
      </c>
      <c r="M146" s="63">
        <f>IF($C$70="wdv",(M144+M145)*$C$71,M134)</f>
        <v>20.60833764046842</v>
      </c>
      <c r="N146" s="63">
        <f>IF($C$70="wdv",(N144+N145)*$C$71,N134)</f>
        <v>16.42516309063499</v>
      </c>
      <c r="O146" s="63">
        <f>IF($C$70="wdv",(O144+O145)*$C$71,O134)</f>
        <v>13.915258360734928</v>
      </c>
      <c r="P146" s="63">
        <f>IF($C$70="wdv",(P144+P145)*$C$71,P134)</f>
        <v>12.409315522794891</v>
      </c>
      <c r="Q146" s="63">
        <f>IF($C$70="wdv",(Q144+Q145)*$C$71,Q134)</f>
        <v>11.50574982003087</v>
      </c>
      <c r="R146" s="63">
        <f>IF($C$70="wdv",(R144+R145)*$C$71,R134)</f>
        <v>10.963610398372456</v>
      </c>
      <c r="S146" s="63">
        <f>IF($C$70="wdv",(S144+S145)*$C$71,S134)</f>
        <v>10.638326745377407</v>
      </c>
      <c r="T146" s="63">
        <f>IF($C$70="wdv",(T144+T145)*$C$71,T134)</f>
        <v>10.44315655358038</v>
      </c>
      <c r="U146" s="63">
        <f>IF($C$70="wdv",(U144+U145)*$C$71,U134)</f>
        <v>10.326054438502162</v>
      </c>
      <c r="V146" s="63">
        <f>IF($C$70="wdv",(V144+V145)*$C$71,V134)</f>
        <v>10.255793169455231</v>
      </c>
      <c r="W146" s="63">
        <f>IF($C$70="wdv",(W144+W145)*$C$71,W134)</f>
        <v>10.213636408027075</v>
      </c>
      <c r="X146" s="63">
        <f>IF($C$70="wdv",(X144+X145)*$C$71,X134)</f>
        <v>10.188342351170178</v>
      </c>
      <c r="Y146" s="63">
        <f>IF($C$70="wdv",(Y144+Y145)*$C$71,Y134)</f>
        <v>10.173165917056043</v>
      </c>
      <c r="Z146" s="63">
        <f>IF($C$70="wdv",(Z144+Z145)*$C$71,Z134)</f>
        <v>10.164060056587559</v>
      </c>
      <c r="AA146" s="63">
        <f>IF($C$70="wdv",(AA144+AA145)*$C$71,AA134)</f>
        <v>10.15859654030647</v>
      </c>
      <c r="AB146" s="63">
        <f>IF($C$70="wdv",(AB144+AB145)*$C$71,AB134)</f>
        <v>10.155318430537818</v>
      </c>
      <c r="AC146" s="63">
        <f>IF($C$70="wdv",(AC144+AC145)*$C$71,AC134)</f>
        <v>10.153351564676624</v>
      </c>
    </row>
    <row r="147" spans="1:29" x14ac:dyDescent="0.25">
      <c r="A147" s="33" t="s">
        <v>212</v>
      </c>
      <c r="B147" s="26" t="s">
        <v>86</v>
      </c>
      <c r="E147" s="37">
        <f>E144+E145-IF($C$70="wdv",E146,0)</f>
        <v>949.1833971255567</v>
      </c>
      <c r="F147" s="37">
        <f>F144+F145-IF($C$70="wdv",F146,0)</f>
        <v>575.6002790348649</v>
      </c>
      <c r="G147" s="37">
        <f>G144+G145-IF($C$70="wdv",G146,0)</f>
        <v>351.4504081804498</v>
      </c>
      <c r="H147" s="37">
        <f>H144+H145-IF($C$70="wdv",H146,0)</f>
        <v>216.96048566780078</v>
      </c>
      <c r="I147" s="37">
        <f>I144+I145-IF($C$70="wdv",I146,0)</f>
        <v>136.26653216021134</v>
      </c>
      <c r="J147" s="37">
        <f>J144+J145-IF($C$70="wdv",J146,0)</f>
        <v>87.8501600556577</v>
      </c>
      <c r="K147" s="37">
        <f>K144+K145-IF($C$70="wdv",K146,0)</f>
        <v>58.80033679292552</v>
      </c>
      <c r="L147" s="37">
        <f>L144+L145-IF($C$70="wdv",L146,0)</f>
        <v>41.37044283528621</v>
      </c>
      <c r="M147" s="37">
        <f>M144+M145-IF($C$70="wdv",M146,0)</f>
        <v>30.91250646070263</v>
      </c>
      <c r="N147" s="37">
        <f>N144+N145-IF($C$70="wdv",N146,0)</f>
        <v>24.63774463595248</v>
      </c>
      <c r="O147" s="37">
        <f>O144+O145-IF($C$70="wdv",O146,0)</f>
        <v>20.87288754110239</v>
      </c>
      <c r="P147" s="37">
        <f>P144+P145-IF($C$70="wdv",P146,0)</f>
        <v>18.613973284192333</v>
      </c>
      <c r="Q147" s="37">
        <f>Q144+Q145-IF($C$70="wdv",Q146,0)</f>
        <v>17.2586247300463</v>
      </c>
      <c r="R147" s="37">
        <f>R144+R145-IF($C$70="wdv",R146,0)</f>
        <v>16.445415597558682</v>
      </c>
      <c r="S147" s="37">
        <f>S144+S145-IF($C$70="wdv",S146,0)</f>
        <v>15.95749011806611</v>
      </c>
      <c r="T147" s="37">
        <f>T144+T145-IF($C$70="wdv",T146,0)</f>
        <v>15.664734830370566</v>
      </c>
      <c r="U147" s="37">
        <f>U144+U145-IF($C$70="wdv",U146,0)</f>
        <v>15.489081657753239</v>
      </c>
      <c r="V147" s="37">
        <f>V144+V145-IF($C$70="wdv",V146,0)</f>
        <v>15.383689754182846</v>
      </c>
      <c r="W147" s="37">
        <f>W144+W145-IF($C$70="wdv",W146,0)</f>
        <v>15.32045461204061</v>
      </c>
      <c r="X147" s="37">
        <f>X144+X145-IF($C$70="wdv",X146,0)</f>
        <v>15.282513526755267</v>
      </c>
      <c r="Y147" s="37">
        <f>Y144+Y145-IF($C$70="wdv",Y146,0)</f>
        <v>15.259748875584062</v>
      </c>
      <c r="Z147" s="37">
        <f>Z144+Z145-IF($C$70="wdv",Z146,0)</f>
        <v>15.246090084881338</v>
      </c>
      <c r="AA147" s="37">
        <f>AA144+AA145-IF($C$70="wdv",AA146,0)</f>
        <v>15.237894810459705</v>
      </c>
      <c r="AB147" s="37">
        <f>AB144+AB145-IF($C$70="wdv",AB146,0)</f>
        <v>15.232977645806724</v>
      </c>
      <c r="AC147" s="37">
        <f>AC144+AC145-IF($C$70="wdv",AC146,0)</f>
        <v>15.230027347014934</v>
      </c>
    </row>
    <row r="149" ht="20" customHeight="1" spans="1:29" x14ac:dyDescent="0.25">
      <c r="A149" s="21" t="s">
        <v>213</v>
      </c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</row>
    <row r="150" spans="1:29" x14ac:dyDescent="0.25">
      <c r="A150" s="33" t="s">
        <v>198</v>
      </c>
      <c r="B150" s="26" t="s">
        <v>86</v>
      </c>
      <c r="C150" s="57">
        <f>SUM(E150:AC150)</f>
        <v>5158.466420326915</v>
      </c>
      <c r="E150" s="37">
        <f>E124</f>
        <v>227.35810243834987</v>
      </c>
      <c r="F150" s="37">
        <f>F124</f>
        <v>226.04170287733953</v>
      </c>
      <c r="G150" s="37">
        <f>G124</f>
        <v>224.68306033632965</v>
      </c>
      <c r="H150" s="37">
        <f>H124</f>
        <v>223.28006266632042</v>
      </c>
      <c r="I150" s="37">
        <f>I124</f>
        <v>221.8304921108619</v>
      </c>
      <c r="J150" s="37">
        <f>J124</f>
        <v>220.3320200256815</v>
      </c>
      <c r="K150" s="37">
        <f>K124</f>
        <v>218.78220133429318</v>
      </c>
      <c r="L150" s="37">
        <f>L124</f>
        <v>217.17846870638655</v>
      </c>
      <c r="M150" s="37">
        <f>M124</f>
        <v>215.51812644513572</v>
      </c>
      <c r="N150" s="37">
        <f>N124</f>
        <v>213.79834406887343</v>
      </c>
      <c r="O150" s="37">
        <f>O124</f>
        <v>212.0161495718491</v>
      </c>
      <c r="P150" s="37">
        <f>P124</f>
        <v>210.1684223480247</v>
      </c>
      <c r="Q150" s="37">
        <f>Q124</f>
        <v>208.25188576106018</v>
      </c>
      <c r="R150" s="37">
        <f>R124</f>
        <v>206.2630993427985</v>
      </c>
      <c r="S150" s="37">
        <f>S124</f>
        <v>204.1984506016749</v>
      </c>
      <c r="T150" s="37">
        <f>T124</f>
        <v>202.05414642154614</v>
      </c>
      <c r="U150" s="37">
        <f>U124</f>
        <v>199.82620403046218</v>
      </c>
      <c r="V150" s="37">
        <f>V124</f>
        <v>197.510441517875</v>
      </c>
      <c r="W150" s="37">
        <f>W124</f>
        <v>195.10246787770959</v>
      </c>
      <c r="X150" s="37">
        <f>X124</f>
        <v>192.59767255358705</v>
      </c>
      <c r="Y150" s="37">
        <f>Y124</f>
        <v>189.99121446130945</v>
      </c>
      <c r="Z150" s="37">
        <f>Z124</f>
        <v>187.27801046246907</v>
      </c>
      <c r="AA150" s="37">
        <f>AA124</f>
        <v>184.45272326173782</v>
      </c>
      <c r="AB150" s="37">
        <f>AB124</f>
        <v>181.5097486990211</v>
      </c>
      <c r="AC150" s="37">
        <f>AC124</f>
        <v>178.44320240621963</v>
      </c>
    </row>
    <row r="151" spans="1:29" x14ac:dyDescent="0.25">
      <c r="A151" s="33" t="s">
        <v>214</v>
      </c>
      <c r="B151" s="26" t="s">
        <v>86</v>
      </c>
      <c r="C151" s="57">
        <f>SUM(E151:AC151)</f>
        <v>1667.3847260695711</v>
      </c>
      <c r="E151" s="37">
        <f>E134</f>
        <v>56.951003827533405</v>
      </c>
      <c r="F151" s="37">
        <f>F134</f>
        <v>57.37393721361194</v>
      </c>
      <c r="G151" s="37">
        <f>G134</f>
        <v>57.815259007780845</v>
      </c>
      <c r="H151" s="37">
        <f>H134</f>
        <v>58.276640883502886</v>
      </c>
      <c r="I151" s="37">
        <f>I134</f>
        <v>58.7599933247355</v>
      </c>
      <c r="J151" s="37">
        <f>J134</f>
        <v>59.26751338802974</v>
      </c>
      <c r="K151" s="37">
        <f>K134</f>
        <v>59.80174503360262</v>
      </c>
      <c r="L151" s="37">
        <f>L134</f>
        <v>60.36565621504067</v>
      </c>
      <c r="M151" s="37">
        <f>M134</f>
        <v>60.96273864244566</v>
      </c>
      <c r="N151" s="37">
        <f>N134</f>
        <v>61.59713872156346</v>
      </c>
      <c r="O151" s="37">
        <f>O134</f>
        <v>62.27383213928912</v>
      </c>
      <c r="P151" s="37">
        <f>P134</f>
        <v>62.998860801138036</v>
      </c>
      <c r="Q151" s="37">
        <f>Q134</f>
        <v>63.77966089851379</v>
      </c>
      <c r="R151" s="37">
        <f>R134</f>
        <v>64.62552767067086</v>
      </c>
      <c r="S151" s="37">
        <f>S134</f>
        <v>65.54829142211494</v>
      </c>
      <c r="T151" s="37">
        <f>T134</f>
        <v>66.56333154870342</v>
      </c>
      <c r="U151" s="37">
        <f>U134</f>
        <v>67.6911539115795</v>
      </c>
      <c r="V151" s="37">
        <f>V134</f>
        <v>68.95995406981511</v>
      </c>
      <c r="W151" s="37">
        <f>W134</f>
        <v>70.41001139351295</v>
      </c>
      <c r="X151" s="37">
        <f>X134</f>
        <v>72.10174493782709</v>
      </c>
      <c r="Y151" s="37">
        <f>Y134</f>
        <v>74.13182519100405</v>
      </c>
      <c r="Z151" s="37">
        <f>Z134</f>
        <v>76.66942550747527</v>
      </c>
      <c r="AA151" s="37">
        <f>AA134</f>
        <v>80.05289259610355</v>
      </c>
      <c r="AB151" s="37">
        <f>AB134</f>
        <v>85.12809322904596</v>
      </c>
      <c r="AC151" s="37">
        <f>AC134</f>
        <v>95.27849449493081</v>
      </c>
    </row>
    <row r="152" spans="1:29" x14ac:dyDescent="0.25">
      <c r="A152" s="33" t="s">
        <v>215</v>
      </c>
      <c r="B152" s="26" t="s">
        <v>86</v>
      </c>
      <c r="C152" s="57">
        <f>SUM(E152:AC152)</f>
        <v>797.3140535854675</v>
      </c>
      <c r="E152" s="37">
        <f>E138</f>
        <v>99.66425669818345</v>
      </c>
      <c r="F152" s="37">
        <f>F138</f>
        <v>93.01997291830455</v>
      </c>
      <c r="G152" s="37">
        <f>G138</f>
        <v>86.37568913842566</v>
      </c>
      <c r="H152" s="37">
        <f>H138</f>
        <v>79.73140535854677</v>
      </c>
      <c r="I152" s="37">
        <f>I138</f>
        <v>73.08712157866786</v>
      </c>
      <c r="J152" s="37">
        <f>J138</f>
        <v>66.44283779878897</v>
      </c>
      <c r="K152" s="37">
        <f>K138</f>
        <v>59.79855401891007</v>
      </c>
      <c r="L152" s="37">
        <f>L138</f>
        <v>53.15427023903117</v>
      </c>
      <c r="M152" s="37">
        <f>M138</f>
        <v>46.50998645915227</v>
      </c>
      <c r="N152" s="37">
        <f>N138</f>
        <v>39.86570267927338</v>
      </c>
      <c r="O152" s="37">
        <f>O138</f>
        <v>33.221418899394486</v>
      </c>
      <c r="P152" s="37">
        <f>P138</f>
        <v>26.577135119515585</v>
      </c>
      <c r="Q152" s="37">
        <f>Q138</f>
        <v>19.93285133963669</v>
      </c>
      <c r="R152" s="37">
        <f>R138</f>
        <v>13.288567559757793</v>
      </c>
      <c r="S152" s="37">
        <f>S138</f>
        <v>6.644283779878896</v>
      </c>
      <c r="T152" s="37">
        <f>T138</f>
        <v>0</v>
      </c>
      <c r="U152" s="37">
        <f>U138</f>
        <v>0</v>
      </c>
      <c r="V152" s="37">
        <f>V138</f>
        <v>0</v>
      </c>
      <c r="W152" s="37">
        <f>W138</f>
        <v>0</v>
      </c>
      <c r="X152" s="37">
        <f>X138</f>
        <v>0</v>
      </c>
      <c r="Y152" s="37">
        <f>Y138</f>
        <v>0</v>
      </c>
      <c r="Z152" s="37">
        <f>Z138</f>
        <v>0</v>
      </c>
      <c r="AA152" s="37">
        <f>AA138</f>
        <v>0</v>
      </c>
      <c r="AB152" s="37">
        <f>AB138</f>
        <v>0</v>
      </c>
      <c r="AC152" s="37">
        <f>AC138</f>
        <v>0</v>
      </c>
    </row>
    <row r="153" spans="1:29" x14ac:dyDescent="0.25">
      <c r="A153" s="61" t="s">
        <v>216</v>
      </c>
      <c r="B153" s="62" t="s">
        <v>86</v>
      </c>
      <c r="C153" s="63">
        <f>SUM(E153:AC153)</f>
        <v>2693.7676406718774</v>
      </c>
      <c r="D153" s="64"/>
      <c r="E153" s="63">
        <f>E150-E151-E152</f>
        <v>70.74284191263301</v>
      </c>
      <c r="F153" s="63">
        <f>F150-F151-F152</f>
        <v>75.64779274542306</v>
      </c>
      <c r="G153" s="63">
        <f>G150-G151-G152</f>
        <v>80.49211219012315</v>
      </c>
      <c r="H153" s="63">
        <f>H150-H151-H152</f>
        <v>85.27201642427076</v>
      </c>
      <c r="I153" s="63">
        <f>I150-I151-I152</f>
        <v>89.98337720745856</v>
      </c>
      <c r="J153" s="63">
        <f>J150-J151-J152</f>
        <v>94.62166883886276</v>
      </c>
      <c r="K153" s="63">
        <f>K150-K151-K152</f>
        <v>99.18190228178048</v>
      </c>
      <c r="L153" s="63">
        <f>L150-L151-L152</f>
        <v>103.6585422523147</v>
      </c>
      <c r="M153" s="63">
        <f>M150-M151-M152</f>
        <v>108.04540134353779</v>
      </c>
      <c r="N153" s="63">
        <f>N150-N151-N152</f>
        <v>112.3355026680366</v>
      </c>
      <c r="O153" s="63">
        <f>O150-O151-O152</f>
        <v>116.52089853316551</v>
      </c>
      <c r="P153" s="63">
        <f>P150-P151-P152</f>
        <v>120.59242642737107</v>
      </c>
      <c r="Q153" s="63">
        <f>Q150-Q151-Q152</f>
        <v>124.5393735229097</v>
      </c>
      <c r="R153" s="63">
        <f>R150-R151-R152</f>
        <v>128.34900411236987</v>
      </c>
      <c r="S153" s="63">
        <f>S150-S151-S152</f>
        <v>132.00587539968106</v>
      </c>
      <c r="T153" s="63">
        <f>T150-T151-T152</f>
        <v>135.49081487284272</v>
      </c>
      <c r="U153" s="63">
        <f>U150-U151-U152</f>
        <v>132.13505011888267</v>
      </c>
      <c r="V153" s="63">
        <f>V150-V151-V152</f>
        <v>128.55048744805987</v>
      </c>
      <c r="W153" s="63">
        <f>W150-W151-W152</f>
        <v>124.69245648419664</v>
      </c>
      <c r="X153" s="63">
        <f>X150-X151-X152</f>
        <v>120.49592761575995</v>
      </c>
      <c r="Y153" s="63">
        <f>Y150-Y151-Y152</f>
        <v>115.8593892703054</v>
      </c>
      <c r="Z153" s="63">
        <f>Z150-Z151-Z152</f>
        <v>110.6085849549938</v>
      </c>
      <c r="AA153" s="63">
        <f>AA150-AA151-AA152</f>
        <v>104.39983066563427</v>
      </c>
      <c r="AB153" s="63">
        <f>AB150-AB151-AB152</f>
        <v>96.38165546997513</v>
      </c>
      <c r="AC153" s="63">
        <f>AC150-AC151-AC152</f>
        <v>83.16470791128882</v>
      </c>
    </row>
    <row r="154" spans="1:29" x14ac:dyDescent="0.25">
      <c r="A154" s="33" t="s">
        <v>217</v>
      </c>
      <c r="B154" s="26" t="s">
        <v>86</v>
      </c>
      <c r="E154" s="37">
        <f>E124-E138-E146</f>
        <v>-505.0950856768715</v>
      </c>
      <c r="F154" s="37">
        <f>F124-F138-F146</f>
        <v>-250.71178939754162</v>
      </c>
      <c r="G154" s="37">
        <f>G124-G138-G146</f>
        <v>-95.99290092239593</v>
      </c>
      <c r="H154" s="37">
        <f>H124-H138-H146</f>
        <v>-1.0916664707602308</v>
      </c>
      <c r="I154" s="37">
        <f>I124-I138-I146</f>
        <v>57.899015758719784</v>
      </c>
      <c r="J154" s="37">
        <f>J124-J138-J146</f>
        <v>95.32240885645403</v>
      </c>
      <c r="K154" s="37">
        <f>K124-K138-K146</f>
        <v>119.7834227867661</v>
      </c>
      <c r="L154" s="37">
        <f>L124-L138-L146</f>
        <v>136.44390324383124</v>
      </c>
      <c r="M154" s="37">
        <f>M124-M138-M146</f>
        <v>148.39980234551504</v>
      </c>
      <c r="N154" s="37">
        <f>N124-N138-N146</f>
        <v>157.50747829896508</v>
      </c>
      <c r="O154" s="37">
        <f>O124-O138-O146</f>
        <v>164.8794723117197</v>
      </c>
      <c r="P154" s="37">
        <f>P124-P138-P146</f>
        <v>171.18197170571423</v>
      </c>
      <c r="Q154" s="37">
        <f>Q124-Q138-Q146</f>
        <v>176.8132846013926</v>
      </c>
      <c r="R154" s="37">
        <f>R124-R138-R146</f>
        <v>182.01092138466828</v>
      </c>
      <c r="S154" s="37">
        <f>S124-S138-S146</f>
        <v>186.9158400764186</v>
      </c>
      <c r="T154" s="37">
        <f>T124-T138-T146</f>
        <v>191.61098986796577</v>
      </c>
      <c r="U154" s="37">
        <f>U124-U138-U146</f>
        <v>189.50014959196002</v>
      </c>
      <c r="V154" s="37">
        <f>V124-V138-V146</f>
        <v>187.25464834841978</v>
      </c>
      <c r="W154" s="37">
        <f>W124-W138-W146</f>
        <v>184.88883146968251</v>
      </c>
      <c r="X154" s="37">
        <f>X124-X138-X146</f>
        <v>182.40933020241687</v>
      </c>
      <c r="Y154" s="37">
        <f>Y124-Y138-Y146</f>
        <v>179.8180485442534</v>
      </c>
      <c r="Z154" s="37">
        <f>Z124-Z138-Z146</f>
        <v>177.1139504058815</v>
      </c>
      <c r="AA154" s="37">
        <f>AA124-AA138-AA146</f>
        <v>174.29412672143135</v>
      </c>
      <c r="AB154" s="37">
        <f>AB124-AB138-AB146</f>
        <v>171.35443026848327</v>
      </c>
      <c r="AC154" s="37">
        <f>AC124-AC138-AC146</f>
        <v>168.289850841543</v>
      </c>
    </row>
    <row r="155" spans="1:29" x14ac:dyDescent="0.25">
      <c r="A155" s="33" t="s">
        <v>218</v>
      </c>
      <c r="B155" s="26" t="s">
        <v>86</v>
      </c>
      <c r="E155" s="37">
        <f>0</f>
        <v>0</v>
      </c>
      <c r="F155" s="37">
        <f>E158</f>
        <v>505.0950856768715</v>
      </c>
      <c r="G155" s="37">
        <f>F158</f>
        <v>755.8068750744131</v>
      </c>
      <c r="H155" s="37">
        <f>G158</f>
        <v>851.7997759968091</v>
      </c>
      <c r="I155" s="37">
        <f>H158</f>
        <v>852.8914424675693</v>
      </c>
      <c r="J155" s="37">
        <f>I158</f>
        <v>794.9924267088495</v>
      </c>
      <c r="K155" s="37">
        <f>J158</f>
        <v>699.6700178523955</v>
      </c>
      <c r="L155" s="37">
        <f>K158</f>
        <v>579.8865950656294</v>
      </c>
      <c r="M155" s="37">
        <f>L158</f>
        <v>443.4426918217982</v>
      </c>
      <c r="N155" s="37">
        <f>M158</f>
        <v>295.0428894762831</v>
      </c>
      <c r="O155" s="37">
        <f>N158</f>
        <v>137.53541117731803</v>
      </c>
      <c r="P155" s="37">
        <f>O158</f>
        <v>0</v>
      </c>
      <c r="Q155" s="37">
        <f>P158</f>
        <v>0</v>
      </c>
      <c r="R155" s="37">
        <f>Q158</f>
        <v>0</v>
      </c>
      <c r="S155" s="37">
        <f>R158</f>
        <v>0</v>
      </c>
      <c r="T155" s="37">
        <f>S158</f>
        <v>0</v>
      </c>
      <c r="U155" s="37">
        <f>T158</f>
        <v>0</v>
      </c>
      <c r="V155" s="37">
        <f>U158</f>
        <v>0</v>
      </c>
      <c r="W155" s="37">
        <f>V158</f>
        <v>0</v>
      </c>
      <c r="X155" s="37">
        <f>W158</f>
        <v>0</v>
      </c>
      <c r="Y155" s="37">
        <f>X158</f>
        <v>0</v>
      </c>
      <c r="Z155" s="37">
        <f>Y158</f>
        <v>0</v>
      </c>
      <c r="AA155" s="37">
        <f>Z158</f>
        <v>0</v>
      </c>
      <c r="AB155" s="37">
        <f>AA158</f>
        <v>0</v>
      </c>
      <c r="AC155" s="37">
        <f>AB158</f>
        <v>0</v>
      </c>
    </row>
    <row r="156" spans="1:29" x14ac:dyDescent="0.25">
      <c r="A156" s="33" t="s">
        <v>219</v>
      </c>
      <c r="B156" s="26" t="s">
        <v>86</v>
      </c>
      <c r="C156" s="57">
        <f>SUM(E156:AC156)</f>
        <v>852.8914424675693</v>
      </c>
      <c r="E156" s="37">
        <f>IF(E154&gt;0,MIN(E155,E154),0)</f>
        <v>0</v>
      </c>
      <c r="F156" s="37">
        <f>IF(F154&gt;0,MIN(F155,F154),0)</f>
        <v>0</v>
      </c>
      <c r="G156" s="37">
        <f>IF(G154&gt;0,MIN(G155,G154),0)</f>
        <v>0</v>
      </c>
      <c r="H156" s="37">
        <f>IF(H154&gt;0,MIN(H155,H154),0)</f>
        <v>0</v>
      </c>
      <c r="I156" s="37">
        <f>IF(I154&gt;0,MIN(I155,I154),0)</f>
        <v>57.899015758719784</v>
      </c>
      <c r="J156" s="37">
        <f>IF(J154&gt;0,MIN(J155,J154),0)</f>
        <v>95.32240885645403</v>
      </c>
      <c r="K156" s="37">
        <f>IF(K154&gt;0,MIN(K155,K154),0)</f>
        <v>119.7834227867661</v>
      </c>
      <c r="L156" s="37">
        <f>IF(L154&gt;0,MIN(L155,L154),0)</f>
        <v>136.44390324383124</v>
      </c>
      <c r="M156" s="37">
        <f>IF(M154&gt;0,MIN(M155,M154),0)</f>
        <v>148.39980234551504</v>
      </c>
      <c r="N156" s="37">
        <f>IF(N154&gt;0,MIN(N155,N154),0)</f>
        <v>157.50747829896508</v>
      </c>
      <c r="O156" s="37">
        <f>IF(O154&gt;0,MIN(O155,O154),0)</f>
        <v>137.53541117731803</v>
      </c>
      <c r="P156" s="37">
        <f>IF(P154&gt;0,MIN(P155,P154),0)</f>
        <v>0</v>
      </c>
      <c r="Q156" s="37">
        <f>IF(Q154&gt;0,MIN(Q155,Q154),0)</f>
        <v>0</v>
      </c>
      <c r="R156" s="37">
        <f>IF(R154&gt;0,MIN(R155,R154),0)</f>
        <v>0</v>
      </c>
      <c r="S156" s="37">
        <f>IF(S154&gt;0,MIN(S155,S154),0)</f>
        <v>0</v>
      </c>
      <c r="T156" s="37">
        <f>IF(T154&gt;0,MIN(T155,T154),0)</f>
        <v>0</v>
      </c>
      <c r="U156" s="37">
        <f>IF(U154&gt;0,MIN(U155,U154),0)</f>
        <v>0</v>
      </c>
      <c r="V156" s="37">
        <f>IF(V154&gt;0,MIN(V155,V154),0)</f>
        <v>0</v>
      </c>
      <c r="W156" s="37">
        <f>IF(W154&gt;0,MIN(W155,W154),0)</f>
        <v>0</v>
      </c>
      <c r="X156" s="37">
        <f>IF(X154&gt;0,MIN(X155,X154),0)</f>
        <v>0</v>
      </c>
      <c r="Y156" s="37">
        <f>IF(Y154&gt;0,MIN(Y155,Y154),0)</f>
        <v>0</v>
      </c>
      <c r="Z156" s="37">
        <f>IF(Z154&gt;0,MIN(Z155,Z154),0)</f>
        <v>0</v>
      </c>
      <c r="AA156" s="37">
        <f>IF(AA154&gt;0,MIN(AA155,AA154),0)</f>
        <v>0</v>
      </c>
      <c r="AB156" s="37">
        <f>IF(AB154&gt;0,MIN(AB155,AB154),0)</f>
        <v>0</v>
      </c>
      <c r="AC156" s="37">
        <f>IF(AC154&gt;0,MIN(AC155,AC154),0)</f>
        <v>0</v>
      </c>
    </row>
    <row r="157" spans="1:29" x14ac:dyDescent="0.25">
      <c r="A157" s="33" t="s">
        <v>220</v>
      </c>
      <c r="B157" s="26" t="s">
        <v>86</v>
      </c>
      <c r="C157" s="57">
        <f>SUM(E157:AC157)</f>
        <v>2550.8004351646327</v>
      </c>
      <c r="E157" s="37">
        <f>MAX(0,E154-E156)</f>
        <v>0</v>
      </c>
      <c r="F157" s="37">
        <f>MAX(0,F154-F156)</f>
        <v>0</v>
      </c>
      <c r="G157" s="37">
        <f>MAX(0,G154-G156)</f>
        <v>0</v>
      </c>
      <c r="H157" s="37">
        <f>MAX(0,H154-H156)</f>
        <v>0</v>
      </c>
      <c r="I157" s="37">
        <f>MAX(0,I154-I156)</f>
        <v>0</v>
      </c>
      <c r="J157" s="37">
        <f>MAX(0,J154-J156)</f>
        <v>0</v>
      </c>
      <c r="K157" s="37">
        <f>MAX(0,K154-K156)</f>
        <v>0</v>
      </c>
      <c r="L157" s="37">
        <f>MAX(0,L154-L156)</f>
        <v>0</v>
      </c>
      <c r="M157" s="37">
        <f>MAX(0,M154-M156)</f>
        <v>0</v>
      </c>
      <c r="N157" s="37">
        <f>MAX(0,N154-N156)</f>
        <v>0</v>
      </c>
      <c r="O157" s="37">
        <f>MAX(0,O154-O156)</f>
        <v>27.34406113440167</v>
      </c>
      <c r="P157" s="37">
        <f>MAX(0,P154-P156)</f>
        <v>171.18197170571423</v>
      </c>
      <c r="Q157" s="37">
        <f>MAX(0,Q154-Q156)</f>
        <v>176.8132846013926</v>
      </c>
      <c r="R157" s="37">
        <f>MAX(0,R154-R156)</f>
        <v>182.01092138466828</v>
      </c>
      <c r="S157" s="37">
        <f>MAX(0,S154-S156)</f>
        <v>186.9158400764186</v>
      </c>
      <c r="T157" s="37">
        <f>MAX(0,T154-T156)</f>
        <v>191.61098986796577</v>
      </c>
      <c r="U157" s="37">
        <f>MAX(0,U154-U156)</f>
        <v>189.50014959196002</v>
      </c>
      <c r="V157" s="37">
        <f>MAX(0,V154-V156)</f>
        <v>187.25464834841978</v>
      </c>
      <c r="W157" s="37">
        <f>MAX(0,W154-W156)</f>
        <v>184.88883146968251</v>
      </c>
      <c r="X157" s="37">
        <f>MAX(0,X154-X156)</f>
        <v>182.40933020241687</v>
      </c>
      <c r="Y157" s="37">
        <f>MAX(0,Y154-Y156)</f>
        <v>179.8180485442534</v>
      </c>
      <c r="Z157" s="37">
        <f>MAX(0,Z154-Z156)</f>
        <v>177.1139504058815</v>
      </c>
      <c r="AA157" s="37">
        <f>MAX(0,AA154-AA156)</f>
        <v>174.29412672143135</v>
      </c>
      <c r="AB157" s="37">
        <f>MAX(0,AB154-AB156)</f>
        <v>171.35443026848327</v>
      </c>
      <c r="AC157" s="37">
        <f>MAX(0,AC154-AC156)</f>
        <v>168.289850841543</v>
      </c>
    </row>
    <row r="158" spans="1:29" x14ac:dyDescent="0.25">
      <c r="A158" s="33" t="s">
        <v>221</v>
      </c>
      <c r="B158" s="26" t="s">
        <v>86</v>
      </c>
      <c r="E158" s="37">
        <f>E155-E156+MAX(0,-E154)</f>
        <v>505.0950856768715</v>
      </c>
      <c r="F158" s="37">
        <f>F155-F156+MAX(0,-F154)</f>
        <v>755.8068750744131</v>
      </c>
      <c r="G158" s="37">
        <f>G155-G156+MAX(0,-G154)</f>
        <v>851.7997759968091</v>
      </c>
      <c r="H158" s="37">
        <f>H155-H156+MAX(0,-H154)</f>
        <v>852.8914424675693</v>
      </c>
      <c r="I158" s="37">
        <f>I155-I156+MAX(0,-I154)</f>
        <v>794.9924267088495</v>
      </c>
      <c r="J158" s="37">
        <f>J155-J156+MAX(0,-J154)</f>
        <v>699.6700178523955</v>
      </c>
      <c r="K158" s="37">
        <f>K155-K156+MAX(0,-K154)</f>
        <v>579.8865950656294</v>
      </c>
      <c r="L158" s="37">
        <f>L155-L156+MAX(0,-L154)</f>
        <v>443.4426918217982</v>
      </c>
      <c r="M158" s="37">
        <f>M155-M156+MAX(0,-M154)</f>
        <v>295.0428894762831</v>
      </c>
      <c r="N158" s="37">
        <f>N155-N156+MAX(0,-N154)</f>
        <v>137.53541117731803</v>
      </c>
      <c r="O158" s="37">
        <f>O155-O156+MAX(0,-O154)</f>
        <v>0</v>
      </c>
      <c r="P158" s="37">
        <f>P155-P156+MAX(0,-P154)</f>
        <v>0</v>
      </c>
      <c r="Q158" s="37">
        <f>Q155-Q156+MAX(0,-Q154)</f>
        <v>0</v>
      </c>
      <c r="R158" s="37">
        <f>R155-R156+MAX(0,-R154)</f>
        <v>0</v>
      </c>
      <c r="S158" s="37">
        <f>S155-S156+MAX(0,-S154)</f>
        <v>0</v>
      </c>
      <c r="T158" s="37">
        <f>T155-T156+MAX(0,-T154)</f>
        <v>0</v>
      </c>
      <c r="U158" s="37">
        <f>U155-U156+MAX(0,-U154)</f>
        <v>0</v>
      </c>
      <c r="V158" s="37">
        <f>V155-V156+MAX(0,-V154)</f>
        <v>0</v>
      </c>
      <c r="W158" s="37">
        <f>W155-W156+MAX(0,-W154)</f>
        <v>0</v>
      </c>
      <c r="X158" s="37">
        <f>X155-X156+MAX(0,-X154)</f>
        <v>0</v>
      </c>
      <c r="Y158" s="37">
        <f>Y155-Y156+MAX(0,-Y154)</f>
        <v>0</v>
      </c>
      <c r="Z158" s="37">
        <f>Z155-Z156+MAX(0,-Z154)</f>
        <v>0</v>
      </c>
      <c r="AA158" s="37">
        <f>AA155-AA156+MAX(0,-AA154)</f>
        <v>0</v>
      </c>
      <c r="AB158" s="37">
        <f>AB155-AB156+MAX(0,-AB154)</f>
        <v>0</v>
      </c>
      <c r="AC158" s="37">
        <f>AC155-AC156+MAX(0,-AC154)</f>
        <v>0</v>
      </c>
    </row>
    <row r="159" spans="1:29" x14ac:dyDescent="0.25">
      <c r="A159" s="33" t="s">
        <v>222</v>
      </c>
      <c r="B159" s="26" t="s">
        <v>86</v>
      </c>
      <c r="C159" s="57">
        <f>SUM(E159:AC159)</f>
        <v>642.036469530938</v>
      </c>
      <c r="E159" s="37">
        <f>E157*$C$69</f>
        <v>0</v>
      </c>
      <c r="F159" s="37">
        <f>F157*$C$69</f>
        <v>0</v>
      </c>
      <c r="G159" s="37">
        <f>G157*$C$69</f>
        <v>0</v>
      </c>
      <c r="H159" s="37">
        <f>H157*$C$69</f>
        <v>0</v>
      </c>
      <c r="I159" s="37">
        <f>I157*$C$69</f>
        <v>0</v>
      </c>
      <c r="J159" s="37">
        <f>J157*$C$69</f>
        <v>0</v>
      </c>
      <c r="K159" s="37">
        <f>K157*$C$69</f>
        <v>0</v>
      </c>
      <c r="L159" s="37">
        <f>L157*$C$69</f>
        <v>0</v>
      </c>
      <c r="M159" s="37">
        <f>M157*$C$69</f>
        <v>0</v>
      </c>
      <c r="N159" s="37">
        <f>N157*$C$69</f>
        <v>0</v>
      </c>
      <c r="O159" s="37">
        <f>O157*$C$69</f>
        <v>6.8825001875289</v>
      </c>
      <c r="P159" s="37">
        <f>P157*$C$69</f>
        <v>43.08650227832827</v>
      </c>
      <c r="Q159" s="37">
        <f>Q157*$C$69</f>
        <v>44.503903734170514</v>
      </c>
      <c r="R159" s="37">
        <f>R157*$C$69</f>
        <v>45.812148912521</v>
      </c>
      <c r="S159" s="37">
        <f>S157*$C$69</f>
        <v>47.04671694723456</v>
      </c>
      <c r="T159" s="37">
        <f>T157*$C$69</f>
        <v>48.22848614976698</v>
      </c>
      <c r="U159" s="37">
        <f>U157*$C$69</f>
        <v>47.697187652296336</v>
      </c>
      <c r="V159" s="37">
        <f>V157*$C$69</f>
        <v>47.131994989297255</v>
      </c>
      <c r="W159" s="37">
        <f>W157*$C$69</f>
        <v>46.53651888091908</v>
      </c>
      <c r="X159" s="37">
        <f>X157*$C$69</f>
        <v>45.91242841194832</v>
      </c>
      <c r="Y159" s="37">
        <f>Y157*$C$69</f>
        <v>45.260202818588574</v>
      </c>
      <c r="Z159" s="37">
        <f>Z157*$C$69</f>
        <v>44.57958131716037</v>
      </c>
      <c r="AA159" s="37">
        <f>AA157*$C$69</f>
        <v>43.86983169578427</v>
      </c>
      <c r="AB159" s="37">
        <f>AB157*$C$69</f>
        <v>43.129910098577234</v>
      </c>
      <c r="AC159" s="37">
        <f>AC157*$C$69</f>
        <v>42.35855545681637</v>
      </c>
    </row>
    <row r="160" spans="1:29" x14ac:dyDescent="0.25">
      <c r="A160" s="61" t="s">
        <v>223</v>
      </c>
      <c r="B160" s="62" t="s">
        <v>86</v>
      </c>
      <c r="C160" s="63">
        <f>SUM(E160:AC160)</f>
        <v>2051.7311711409393</v>
      </c>
      <c r="D160" s="64"/>
      <c r="E160" s="63">
        <f>E153-E159</f>
        <v>70.74284191263301</v>
      </c>
      <c r="F160" s="63">
        <f>F153-F159</f>
        <v>75.64779274542306</v>
      </c>
      <c r="G160" s="63">
        <f>G153-G159</f>
        <v>80.49211219012315</v>
      </c>
      <c r="H160" s="63">
        <f>H153-H159</f>
        <v>85.27201642427076</v>
      </c>
      <c r="I160" s="63">
        <f>I153-I159</f>
        <v>89.98337720745856</v>
      </c>
      <c r="J160" s="63">
        <f>J153-J159</f>
        <v>94.62166883886276</v>
      </c>
      <c r="K160" s="63">
        <f>K153-K159</f>
        <v>99.18190228178048</v>
      </c>
      <c r="L160" s="63">
        <f>L153-L159</f>
        <v>103.6585422523147</v>
      </c>
      <c r="M160" s="63">
        <f>M153-M159</f>
        <v>108.04540134353779</v>
      </c>
      <c r="N160" s="63">
        <f>N153-N159</f>
        <v>112.3355026680366</v>
      </c>
      <c r="O160" s="63">
        <f>O153-O159</f>
        <v>109.6383983456366</v>
      </c>
      <c r="P160" s="63">
        <f>P153-P159</f>
        <v>77.5059241490428</v>
      </c>
      <c r="Q160" s="63">
        <f>Q153-Q159</f>
        <v>80.03546978873919</v>
      </c>
      <c r="R160" s="63">
        <f>R153-R159</f>
        <v>82.53685519984887</v>
      </c>
      <c r="S160" s="63">
        <f>S153-S159</f>
        <v>84.9591584524465</v>
      </c>
      <c r="T160" s="63">
        <f>T153-T159</f>
        <v>87.26232872307574</v>
      </c>
      <c r="U160" s="63">
        <f>U153-U159</f>
        <v>84.43786246658634</v>
      </c>
      <c r="V160" s="63">
        <f>V153-V159</f>
        <v>81.41849245876261</v>
      </c>
      <c r="W160" s="63">
        <f>W153-W159</f>
        <v>78.15593760327755</v>
      </c>
      <c r="X160" s="63">
        <f>X153-X159</f>
        <v>74.58349920381164</v>
      </c>
      <c r="Y160" s="63">
        <f>Y153-Y159</f>
        <v>70.59918645171683</v>
      </c>
      <c r="Z160" s="63">
        <f>Z153-Z159</f>
        <v>66.02900363783343</v>
      </c>
      <c r="AA160" s="63">
        <f>AA153-AA159</f>
        <v>60.52999896985</v>
      </c>
      <c r="AB160" s="63">
        <f>AB153-AB159</f>
        <v>53.251745371397895</v>
      </c>
      <c r="AC160" s="63">
        <f>AC153-AC159</f>
        <v>40.806152454472446</v>
      </c>
    </row>
    <row r="162" ht="20" customHeight="1" spans="1:29" x14ac:dyDescent="0.25">
      <c r="A162" s="21" t="s">
        <v>224</v>
      </c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</row>
    <row r="163" spans="1:29" x14ac:dyDescent="0.25">
      <c r="A163" s="33" t="s">
        <v>225</v>
      </c>
      <c r="B163" s="26" t="s">
        <v>86</v>
      </c>
      <c r="E163" s="37">
        <f>E115*$C$74/365</f>
        <v>30.670916964264205</v>
      </c>
      <c r="F163" s="37">
        <f>F115*$C$74/365</f>
        <v>30.612781900576557</v>
      </c>
      <c r="G163" s="37">
        <f>G115*$C$74/365</f>
        <v>30.554646836888896</v>
      </c>
      <c r="H163" s="37">
        <f>H115*$C$74/365</f>
        <v>30.496511773201245</v>
      </c>
      <c r="I163" s="37">
        <f>I115*$C$74/365</f>
        <v>30.438376709513598</v>
      </c>
      <c r="J163" s="37">
        <f>J115*$C$74/365</f>
        <v>30.380241645825944</v>
      </c>
      <c r="K163" s="37">
        <f>K115*$C$74/365</f>
        <v>30.32210658213829</v>
      </c>
      <c r="L163" s="37">
        <f>L115*$C$74/365</f>
        <v>30.26397151845064</v>
      </c>
      <c r="M163" s="37">
        <f>M115*$C$74/365</f>
        <v>30.20583645476298</v>
      </c>
      <c r="N163" s="37">
        <f>N115*$C$74/365</f>
        <v>30.14770139107533</v>
      </c>
      <c r="O163" s="37">
        <f>O115*$C$74/365</f>
        <v>30.089566327387676</v>
      </c>
      <c r="P163" s="37">
        <f>P115*$C$74/365</f>
        <v>30.03143126370002</v>
      </c>
      <c r="Q163" s="37">
        <f>Q115*$C$74/365</f>
        <v>29.973296200012367</v>
      </c>
      <c r="R163" s="37">
        <f>R115*$C$74/365</f>
        <v>29.915161136324713</v>
      </c>
      <c r="S163" s="37">
        <f>S115*$C$74/365</f>
        <v>29.857026072637062</v>
      </c>
      <c r="T163" s="37">
        <f>T115*$C$74/365</f>
        <v>29.798891008949408</v>
      </c>
      <c r="U163" s="37">
        <f>U115*$C$74/365</f>
        <v>29.74075594526176</v>
      </c>
      <c r="V163" s="37">
        <f>V115*$C$74/365</f>
        <v>29.6826208815741</v>
      </c>
      <c r="W163" s="37">
        <f>W115*$C$74/365</f>
        <v>29.624485817886445</v>
      </c>
      <c r="X163" s="37">
        <f>X115*$C$74/365</f>
        <v>29.566350754198794</v>
      </c>
      <c r="Y163" s="37">
        <f>Y115*$C$74/365</f>
        <v>29.50821569051114</v>
      </c>
      <c r="Z163" s="37">
        <f>Z115*$C$74/365</f>
        <v>29.450080626823482</v>
      </c>
      <c r="AA163" s="37">
        <f>AA115*$C$74/365</f>
        <v>29.39194556313583</v>
      </c>
      <c r="AB163" s="37">
        <f>AB115*$C$74/365</f>
        <v>29.333810499448177</v>
      </c>
      <c r="AC163" s="37">
        <f>AC115*$C$74/365</f>
        <v>29.275675435760526</v>
      </c>
    </row>
    <row r="164" spans="1:29" x14ac:dyDescent="0.25">
      <c r="A164" s="33" t="s">
        <v>226</v>
      </c>
      <c r="B164" s="26" t="s">
        <v>86</v>
      </c>
      <c r="C164" s="57">
        <f>SUM(E164:AC164)</f>
        <v>29.275675435760526</v>
      </c>
      <c r="E164" s="37">
        <f>E163</f>
        <v>30.670916964264205</v>
      </c>
      <c r="F164" s="37">
        <f>F163-E163</f>
        <v>-0.058135063687647204</v>
      </c>
      <c r="G164" s="37">
        <f>G163-F163</f>
        <v>-0.058135063687661415</v>
      </c>
      <c r="H164" s="37">
        <f>H163-G163</f>
        <v>-0.058135063687650756</v>
      </c>
      <c r="I164" s="37">
        <f>I163-H163</f>
        <v>-0.058135063687647204</v>
      </c>
      <c r="J164" s="37">
        <f>J163-I163</f>
        <v>-0.05813506368765431</v>
      </c>
      <c r="K164" s="37">
        <f>K163-J163</f>
        <v>-0.05813506368765431</v>
      </c>
      <c r="L164" s="37">
        <f>L163-K163</f>
        <v>-0.058135063687650756</v>
      </c>
      <c r="M164" s="37">
        <f>M163-L163</f>
        <v>-0.05813506368765786</v>
      </c>
      <c r="N164" s="37">
        <f>N163-M163</f>
        <v>-0.058135063687650756</v>
      </c>
      <c r="O164" s="37">
        <f>O163-N163</f>
        <v>-0.05813506368765431</v>
      </c>
      <c r="P164" s="37">
        <f>P163-O163</f>
        <v>-0.05813506368765431</v>
      </c>
      <c r="Q164" s="37">
        <f>Q163-P163</f>
        <v>-0.05813506368765431</v>
      </c>
      <c r="R164" s="37">
        <f>R163-Q163</f>
        <v>-0.05813506368765431</v>
      </c>
      <c r="S164" s="37">
        <f>S163-R163</f>
        <v>-0.058135063687650756</v>
      </c>
      <c r="T164" s="37">
        <f>T163-S163</f>
        <v>-0.05813506368765431</v>
      </c>
      <c r="U164" s="37">
        <f>U163-T163</f>
        <v>-0.058135063687647204</v>
      </c>
      <c r="V164" s="37">
        <f>V163-U163</f>
        <v>-0.058135063687661415</v>
      </c>
      <c r="W164" s="37">
        <f>W163-V163</f>
        <v>-0.05813506368765431</v>
      </c>
      <c r="X164" s="37">
        <f>X163-W163</f>
        <v>-0.058135063687650756</v>
      </c>
      <c r="Y164" s="37">
        <f>Y163-X163</f>
        <v>-0.05813506368765431</v>
      </c>
      <c r="Z164" s="37">
        <f>Z163-Y163</f>
        <v>-0.05813506368765786</v>
      </c>
      <c r="AA164" s="37">
        <f>AA163-Z163</f>
        <v>-0.058135063687650756</v>
      </c>
      <c r="AB164" s="37">
        <f>AB163-AA163</f>
        <v>-0.05813506368765431</v>
      </c>
      <c r="AC164" s="37">
        <f>AC163-AB163</f>
        <v>-0.058135063687650756</v>
      </c>
    </row>
    <row r="165" spans="1:29" x14ac:dyDescent="0.25">
      <c r="A165" s="61" t="s">
        <v>227</v>
      </c>
      <c r="B165" s="62" t="s">
        <v>86</v>
      </c>
      <c r="C165" s="63">
        <f>SUM(E165:AC165)</f>
        <v>4243.5446449789815</v>
      </c>
      <c r="D165" s="64"/>
      <c r="E165" s="63">
        <f>E124-E159-E164-E128</f>
        <v>196.68718547408568</v>
      </c>
      <c r="F165" s="63">
        <f>F124-F159-F164-F128</f>
        <v>215.94943667514235</v>
      </c>
      <c r="G165" s="63">
        <f>G124-G159-G164-G128</f>
        <v>214.5907941341325</v>
      </c>
      <c r="H165" s="63">
        <f>H124-H159-H164-H128</f>
        <v>213.18779646412324</v>
      </c>
      <c r="I165" s="63">
        <f>I124-I159-I164-I128</f>
        <v>211.73822590866473</v>
      </c>
      <c r="J165" s="63">
        <f>J124-J159-J164-J128</f>
        <v>210.2397538234843</v>
      </c>
      <c r="K165" s="63">
        <f>K124-K159-K164-K128</f>
        <v>208.689935132096</v>
      </c>
      <c r="L165" s="63">
        <f>L124-L159-L164-L128</f>
        <v>207.08620250418937</v>
      </c>
      <c r="M165" s="63">
        <f>M124-M159-M164-M128</f>
        <v>205.42586024293857</v>
      </c>
      <c r="N165" s="63">
        <f>N124-N159-N164-N128</f>
        <v>203.70607786667625</v>
      </c>
      <c r="O165" s="63">
        <f>O124-O159-O164-O128</f>
        <v>195.041383182123</v>
      </c>
      <c r="P165" s="63">
        <f>P124-P159-P164-P128</f>
        <v>156.98965386749924</v>
      </c>
      <c r="Q165" s="63">
        <f>Q124-Q159-Q164-Q128</f>
        <v>153.6557158246925</v>
      </c>
      <c r="R165" s="63">
        <f>R124-R159-R164-R128</f>
        <v>150.35868422808034</v>
      </c>
      <c r="S165" s="63">
        <f>S124-S159-S164-S128</f>
        <v>147.05946745224315</v>
      </c>
      <c r="T165" s="63">
        <f>T124-T159-T164-T128</f>
        <v>143.73339406958198</v>
      </c>
      <c r="U165" s="63">
        <f>U124-U159-U164-U128</f>
        <v>142.03675017596865</v>
      </c>
      <c r="V165" s="63">
        <f>V124-V159-V164-V128</f>
        <v>140.2861803263806</v>
      </c>
      <c r="W165" s="63">
        <f>W124-W159-W164-W128</f>
        <v>138.47368279459332</v>
      </c>
      <c r="X165" s="63">
        <f>X124-X159-X164-X128</f>
        <v>136.59297793944154</v>
      </c>
      <c r="Y165" s="63">
        <f>Y124-Y159-Y164-Y128</f>
        <v>134.6387454405237</v>
      </c>
      <c r="Z165" s="63">
        <f>Z124-Z159-Z164-Z128</f>
        <v>132.6061629431115</v>
      </c>
      <c r="AA165" s="63">
        <f>AA124-AA159-AA164-AA128</f>
        <v>130.49062536375638</v>
      </c>
      <c r="AB165" s="63">
        <f>AB124-AB159-AB164-AB128</f>
        <v>128.28757239824668</v>
      </c>
      <c r="AC165" s="63">
        <f>AC124-AC159-AC164-AC128</f>
        <v>125.99238074720607</v>
      </c>
    </row>
    <row r="166" spans="1:29" x14ac:dyDescent="0.25">
      <c r="A166" s="33" t="s">
        <v>228</v>
      </c>
      <c r="B166" s="26" t="s">
        <v>86</v>
      </c>
      <c r="C166" s="57">
        <f>SUM(E166:AC166)</f>
        <v>1904.6946835652839</v>
      </c>
      <c r="E166" s="37">
        <f>E141</f>
        <v>173.4896320301712</v>
      </c>
      <c r="F166" s="37">
        <f>F141</f>
        <v>166.8453482502923</v>
      </c>
      <c r="G166" s="37">
        <f>G141</f>
        <v>160.2010644704134</v>
      </c>
      <c r="H166" s="37">
        <f>H141</f>
        <v>153.5567806905345</v>
      </c>
      <c r="I166" s="37">
        <f>I141</f>
        <v>146.9124969106556</v>
      </c>
      <c r="J166" s="37">
        <f>J141</f>
        <v>140.2682131307767</v>
      </c>
      <c r="K166" s="37">
        <f>K141</f>
        <v>133.6239293508978</v>
      </c>
      <c r="L166" s="37">
        <f>L141</f>
        <v>126.97964557101892</v>
      </c>
      <c r="M166" s="37">
        <f>M141</f>
        <v>120.33536179114002</v>
      </c>
      <c r="N166" s="37">
        <f>N141</f>
        <v>113.69107801126113</v>
      </c>
      <c r="O166" s="37">
        <f>O141</f>
        <v>107.04679423138222</v>
      </c>
      <c r="P166" s="37">
        <f>P141</f>
        <v>100.40251045150333</v>
      </c>
      <c r="Q166" s="37">
        <f>Q141</f>
        <v>93.75822667162444</v>
      </c>
      <c r="R166" s="37">
        <f>R141</f>
        <v>87.11394289174554</v>
      </c>
      <c r="S166" s="37">
        <f>S141</f>
        <v>80.46965911186663</v>
      </c>
      <c r="T166" s="37">
        <f>T141</f>
        <v>0</v>
      </c>
      <c r="U166" s="37">
        <f>U141</f>
        <v>0</v>
      </c>
      <c r="V166" s="37">
        <f>V141</f>
        <v>0</v>
      </c>
      <c r="W166" s="37">
        <f>W141</f>
        <v>0</v>
      </c>
      <c r="X166" s="37">
        <f>X141</f>
        <v>0</v>
      </c>
      <c r="Y166" s="37">
        <f>Y141</f>
        <v>0</v>
      </c>
      <c r="Z166" s="37">
        <f>Z141</f>
        <v>0</v>
      </c>
      <c r="AA166" s="37">
        <f>AA141</f>
        <v>0</v>
      </c>
      <c r="AB166" s="37">
        <f>AB141</f>
        <v>0</v>
      </c>
      <c r="AC166" s="37">
        <f>AC141</f>
        <v>0</v>
      </c>
    </row>
    <row r="167" spans="1:29" x14ac:dyDescent="0.25">
      <c r="A167" s="33" t="s">
        <v>229</v>
      </c>
      <c r="B167" s="26" t="s">
        <v>88</v>
      </c>
      <c r="E167" s="40">
        <f>IF(E141&gt;1E-9,E165/E141,"")</f>
        <v>1.133711468359563</v>
      </c>
      <c r="F167" s="40">
        <f>IF(F141&gt;1E-9,F165/F141,"")</f>
        <v>1.2943090049546169</v>
      </c>
      <c r="G167" s="40">
        <f>IF(G141&gt;1E-9,G165/G141,"")</f>
        <v>1.3395091652076008</v>
      </c>
      <c r="H167" s="40">
        <f>IF(H141&gt;1E-9,H165/H141,"")</f>
        <v>1.388332026143242</v>
      </c>
      <c r="I167" s="40">
        <f>IF(I141&gt;1E-9,I165/I141,"")</f>
        <v>1.4412540142002537</v>
      </c>
      <c r="J167" s="40">
        <f>IF(J141&gt;1E-9,J165/J141,"")</f>
        <v>1.4988410355485944</v>
      </c>
      <c r="K167" s="40">
        <f>IF(K141&gt;1E-9,K165/K141,"")</f>
        <v>1.5617706809389962</v>
      </c>
      <c r="L167" s="40">
        <f>IF(L141&gt;1E-9,L165/L141,"")</f>
        <v>1.6308613996592656</v>
      </c>
      <c r="M167" s="40">
        <f>IF(M141&gt;1E-9,M165/M141,"")</f>
        <v>1.7071113360633412</v>
      </c>
      <c r="N167" s="40">
        <f>IF(N141&gt;1E-9,N165/N141,"")</f>
        <v>1.7917507814157512</v>
      </c>
      <c r="O167" s="40">
        <f>IF(O141&gt;1E-9,O165/O141,"")</f>
        <v>1.8220198426544192</v>
      </c>
      <c r="P167" s="40">
        <f>IF(P141&gt;1E-9,P165/P141,"")</f>
        <v>1.5636028736883902</v>
      </c>
      <c r="Q167" s="40">
        <f>IF(Q141&gt;1E-9,Q165/Q141,"")</f>
        <v>1.6388504910918478</v>
      </c>
      <c r="R167" s="40">
        <f>IF(R141&gt;1E-9,R165/R141,"")</f>
        <v>1.7260002157740415</v>
      </c>
      <c r="S167" s="40">
        <f>IF(S141&gt;1E-9,S165/S141,"")</f>
        <v>1.8275144827916479</v>
      </c>
      <c r="T167" s="40" t="str">
        <f>IF(T141&gt;1E-9,T165/T141,"")</f>
        <v/>
      </c>
      <c r="U167" s="40" t="str">
        <f>IF(U141&gt;1E-9,U165/U141,"")</f>
        <v/>
      </c>
      <c r="V167" s="40" t="str">
        <f>IF(V141&gt;1E-9,V165/V141,"")</f>
        <v/>
      </c>
      <c r="W167" s="40" t="str">
        <f>IF(W141&gt;1E-9,W165/W141,"")</f>
        <v/>
      </c>
      <c r="X167" s="40" t="str">
        <f>IF(X141&gt;1E-9,X165/X141,"")</f>
        <v/>
      </c>
      <c r="Y167" s="40" t="str">
        <f>IF(Y141&gt;1E-9,Y165/Y141,"")</f>
        <v/>
      </c>
      <c r="Z167" s="40" t="str">
        <f>IF(Z141&gt;1E-9,Z165/Z141,"")</f>
        <v/>
      </c>
      <c r="AA167" s="40" t="str">
        <f>IF(AA141&gt;1E-9,AA165/AA141,"")</f>
        <v/>
      </c>
      <c r="AB167" s="40" t="str">
        <f>IF(AB141&gt;1E-9,AB165/AB141,"")</f>
        <v/>
      </c>
      <c r="AC167" s="40" t="str">
        <f>IF(AC141&gt;1E-9,AC165/AC141,"")</f>
        <v/>
      </c>
    </row>
    <row r="168" spans="1:29" x14ac:dyDescent="0.25">
      <c r="A168" s="33" t="s">
        <v>230</v>
      </c>
      <c r="B168" s="26" t="s">
        <v>86</v>
      </c>
      <c r="C168" s="57">
        <f>SUM(E168:AC168)</f>
        <v>187.47290829002</v>
      </c>
      <c r="E168" s="37">
        <f>IF(E$5=$C$87,$C$84*$C$73+E163,0)</f>
        <v>0</v>
      </c>
      <c r="F168" s="37">
        <f>IF(F$5=$C$87,$C$84*$C$73+F163,0)</f>
        <v>0</v>
      </c>
      <c r="G168" s="37">
        <f>IF(G$5=$C$87,$C$84*$C$73+G163,0)</f>
        <v>0</v>
      </c>
      <c r="H168" s="37">
        <f>IF(H$5=$C$87,$C$84*$C$73+H163,0)</f>
        <v>0</v>
      </c>
      <c r="I168" s="37">
        <f>IF(I$5=$C$87,$C$84*$C$73+I163,0)</f>
        <v>0</v>
      </c>
      <c r="J168" s="37">
        <f>IF(J$5=$C$87,$C$84*$C$73+J163,0)</f>
        <v>0</v>
      </c>
      <c r="K168" s="37">
        <f>IF(K$5=$C$87,$C$84*$C$73+K163,0)</f>
        <v>0</v>
      </c>
      <c r="L168" s="37">
        <f>IF(L$5=$C$87,$C$84*$C$73+L163,0)</f>
        <v>0</v>
      </c>
      <c r="M168" s="37">
        <f>IF(M$5=$C$87,$C$84*$C$73+M163,0)</f>
        <v>0</v>
      </c>
      <c r="N168" s="37">
        <f>IF(N$5=$C$87,$C$84*$C$73+N163,0)</f>
        <v>0</v>
      </c>
      <c r="O168" s="37">
        <f>IF(O$5=$C$87,$C$84*$C$73+O163,0)</f>
        <v>0</v>
      </c>
      <c r="P168" s="37">
        <f>IF(P$5=$C$87,$C$84*$C$73+P163,0)</f>
        <v>0</v>
      </c>
      <c r="Q168" s="37">
        <f>IF(Q$5=$C$87,$C$84*$C$73+Q163,0)</f>
        <v>0</v>
      </c>
      <c r="R168" s="37">
        <f>IF(R$5=$C$87,$C$84*$C$73+R163,0)</f>
        <v>0</v>
      </c>
      <c r="S168" s="37">
        <f>IF(S$5=$C$87,$C$84*$C$73+S163,0)</f>
        <v>0</v>
      </c>
      <c r="T168" s="37">
        <f>IF(T$5=$C$87,$C$84*$C$73+T163,0)</f>
        <v>0</v>
      </c>
      <c r="U168" s="37">
        <f>IF(U$5=$C$87,$C$84*$C$73+U163,0)</f>
        <v>0</v>
      </c>
      <c r="V168" s="37">
        <f>IF(V$5=$C$87,$C$84*$C$73+V163,0)</f>
        <v>0</v>
      </c>
      <c r="W168" s="37">
        <f>IF(W$5=$C$87,$C$84*$C$73+W163,0)</f>
        <v>0</v>
      </c>
      <c r="X168" s="37">
        <f>IF(X$5=$C$87,$C$84*$C$73+X163,0)</f>
        <v>0</v>
      </c>
      <c r="Y168" s="37">
        <f>IF(Y$5=$C$87,$C$84*$C$73+Y163,0)</f>
        <v>0</v>
      </c>
      <c r="Z168" s="37">
        <f>IF(Z$5=$C$87,$C$84*$C$73+Z163,0)</f>
        <v>0</v>
      </c>
      <c r="AA168" s="37">
        <f>IF(AA$5=$C$87,$C$84*$C$73+AA163,0)</f>
        <v>0</v>
      </c>
      <c r="AB168" s="37">
        <f>IF(AB$5=$C$87,$C$84*$C$73+AB163,0)</f>
        <v>0</v>
      </c>
      <c r="AC168" s="37">
        <f>IF(AC$5=$C$87,$C$84*$C$73+AC163,0)</f>
        <v>187.47290829002</v>
      </c>
    </row>
    <row r="169" spans="1:29" x14ac:dyDescent="0.25">
      <c r="A169" s="33" t="s">
        <v>231</v>
      </c>
      <c r="B169" s="26" t="s">
        <v>86</v>
      </c>
      <c r="C169" s="57">
        <f>SUM(E169:AC169)</f>
        <v>0</v>
      </c>
      <c r="E169" s="37">
        <f>IF(E$5=$C$87,E140,0)</f>
        <v>0</v>
      </c>
      <c r="F169" s="37">
        <f>IF(F$5=$C$87,F140,0)</f>
        <v>0</v>
      </c>
      <c r="G169" s="37">
        <f>IF(G$5=$C$87,G140,0)</f>
        <v>0</v>
      </c>
      <c r="H169" s="37">
        <f>IF(H$5=$C$87,H140,0)</f>
        <v>0</v>
      </c>
      <c r="I169" s="37">
        <f>IF(I$5=$C$87,I140,0)</f>
        <v>0</v>
      </c>
      <c r="J169" s="37">
        <f>IF(J$5=$C$87,J140,0)</f>
        <v>0</v>
      </c>
      <c r="K169" s="37">
        <f>IF(K$5=$C$87,K140,0)</f>
        <v>0</v>
      </c>
      <c r="L169" s="37">
        <f>IF(L$5=$C$87,L140,0)</f>
        <v>0</v>
      </c>
      <c r="M169" s="37">
        <f>IF(M$5=$C$87,M140,0)</f>
        <v>0</v>
      </c>
      <c r="N169" s="37">
        <f>IF(N$5=$C$87,N140,0)</f>
        <v>0</v>
      </c>
      <c r="O169" s="37">
        <f>IF(O$5=$C$87,O140,0)</f>
        <v>0</v>
      </c>
      <c r="P169" s="37">
        <f>IF(P$5=$C$87,P140,0)</f>
        <v>0</v>
      </c>
      <c r="Q169" s="37">
        <f>IF(Q$5=$C$87,Q140,0)</f>
        <v>0</v>
      </c>
      <c r="R169" s="37">
        <f>IF(R$5=$C$87,R140,0)</f>
        <v>0</v>
      </c>
      <c r="S169" s="37">
        <f>IF(S$5=$C$87,S140,0)</f>
        <v>0</v>
      </c>
      <c r="T169" s="37">
        <f>IF(T$5=$C$87,T140,0)</f>
        <v>0</v>
      </c>
      <c r="U169" s="37">
        <f>IF(U$5=$C$87,U140,0)</f>
        <v>0</v>
      </c>
      <c r="V169" s="37">
        <f>IF(V$5=$C$87,V140,0)</f>
        <v>0</v>
      </c>
      <c r="W169" s="37">
        <f>IF(W$5=$C$87,W140,0)</f>
        <v>0</v>
      </c>
      <c r="X169" s="37">
        <f>IF(X$5=$C$87,X140,0)</f>
        <v>0</v>
      </c>
      <c r="Y169" s="37">
        <f>IF(Y$5=$C$87,Y140,0)</f>
        <v>0</v>
      </c>
      <c r="Z169" s="37">
        <f>IF(Z$5=$C$87,Z140,0)</f>
        <v>0</v>
      </c>
      <c r="AA169" s="37">
        <f>IF(AA$5=$C$87,AA140,0)</f>
        <v>0</v>
      </c>
      <c r="AB169" s="37">
        <f>IF(AB$5=$C$87,AB140,0)</f>
        <v>0</v>
      </c>
      <c r="AC169" s="37">
        <f>IF(AC$5=$C$87,AC140,0)</f>
        <v>0</v>
      </c>
    </row>
    <row r="170" spans="1:29" x14ac:dyDescent="0.25">
      <c r="A170" s="61" t="s">
        <v>232</v>
      </c>
      <c r="B170" s="62" t="s">
        <v>86</v>
      </c>
      <c r="C170" s="63">
        <f>SUM(E170:AC170)</f>
        <v>2526.3228697037175</v>
      </c>
      <c r="D170" s="63">
        <f>-$C$86</f>
        <v>-474.59169856277845</v>
      </c>
      <c r="E170" s="63">
        <f>E165-E141+E168-E169</f>
        <v>23.197553443914472</v>
      </c>
      <c r="F170" s="63">
        <f>F165-F141+F168-F169</f>
        <v>49.10408842485006</v>
      </c>
      <c r="G170" s="63">
        <f>G165-G141+G168-G169</f>
        <v>54.389729663719095</v>
      </c>
      <c r="H170" s="63">
        <f>H165-H141+H168-H169</f>
        <v>59.63101577358873</v>
      </c>
      <c r="I170" s="63">
        <f>I165-I141+I168-I169</f>
        <v>64.82572899800914</v>
      </c>
      <c r="J170" s="63">
        <f>J165-J141+J168-J169</f>
        <v>69.9715406927076</v>
      </c>
      <c r="K170" s="63">
        <f>K165-K141+K168-K169</f>
        <v>75.06600578119819</v>
      </c>
      <c r="L170" s="63">
        <f>L165-L141+L168-L169</f>
        <v>80.10655693317045</v>
      </c>
      <c r="M170" s="63">
        <f>M165-M141+M168-M169</f>
        <v>85.09049845179855</v>
      </c>
      <c r="N170" s="63">
        <f>N165-N141+N168-N169</f>
        <v>90.01499985541513</v>
      </c>
      <c r="O170" s="63">
        <f>O165-O141+O168-O169</f>
        <v>87.99458895074079</v>
      </c>
      <c r="P170" s="63">
        <f>P165-P141+P168-P169</f>
        <v>56.58714341599591</v>
      </c>
      <c r="Q170" s="63">
        <f>Q165-Q141+Q168-Q169</f>
        <v>59.89748915306805</v>
      </c>
      <c r="R170" s="63">
        <f>R165-R141+R168-R169</f>
        <v>63.2447413363348</v>
      </c>
      <c r="S170" s="63">
        <f>S165-S141+S168-S169</f>
        <v>66.58980834037652</v>
      </c>
      <c r="T170" s="63">
        <f>T165-T141+T168-T169</f>
        <v>143.73339406958198</v>
      </c>
      <c r="U170" s="63">
        <f>U165-U141+U168-U169</f>
        <v>142.03675017596865</v>
      </c>
      <c r="V170" s="63">
        <f>V165-V141+V168-V169</f>
        <v>140.2861803263806</v>
      </c>
      <c r="W170" s="63">
        <f>W165-W141+W168-W169</f>
        <v>138.47368279459332</v>
      </c>
      <c r="X170" s="63">
        <f>X165-X141+X168-X169</f>
        <v>136.59297793944154</v>
      </c>
      <c r="Y170" s="63">
        <f>Y165-Y141+Y168-Y169</f>
        <v>134.6387454405237</v>
      </c>
      <c r="Z170" s="63">
        <f>Z165-Z141+Z168-Z169</f>
        <v>132.6061629431115</v>
      </c>
      <c r="AA170" s="63">
        <f>AA165-AA141+AA168-AA169</f>
        <v>130.49062536375638</v>
      </c>
      <c r="AB170" s="63">
        <f>AB165-AB141+AB168-AB169</f>
        <v>128.28757239824668</v>
      </c>
      <c r="AC170" s="63">
        <f>AC165-AC141+AC168-AC169</f>
        <v>313.46528903722606</v>
      </c>
    </row>
    <row r="171" spans="1:29" x14ac:dyDescent="0.25">
      <c r="A171" s="33" t="s">
        <v>233</v>
      </c>
      <c r="B171" s="26" t="s">
        <v>86</v>
      </c>
      <c r="D171" s="37">
        <f>D170</f>
        <v>-474.59169856277845</v>
      </c>
      <c r="E171" s="37">
        <f>D171+E170</f>
        <v>-451.394145118864</v>
      </c>
      <c r="F171" s="37">
        <f>E171+F170</f>
        <v>-402.29005669401397</v>
      </c>
      <c r="G171" s="37">
        <f>F171+G170</f>
        <v>-347.9003270302949</v>
      </c>
      <c r="H171" s="37">
        <f>G171+H170</f>
        <v>-288.26931125670615</v>
      </c>
      <c r="I171" s="37">
        <f>H171+I170</f>
        <v>-223.443582258697</v>
      </c>
      <c r="J171" s="37">
        <f>I171+J170</f>
        <v>-153.4720415659894</v>
      </c>
      <c r="K171" s="37">
        <f>J171+K170</f>
        <v>-78.40603578479121</v>
      </c>
      <c r="L171" s="37">
        <f>K171+L170</f>
        <v>1.700521148379238</v>
      </c>
      <c r="M171" s="37">
        <f>L171+M170</f>
        <v>86.79101960017779</v>
      </c>
      <c r="N171" s="37">
        <f>M171+N170</f>
        <v>176.80601945559292</v>
      </c>
      <c r="O171" s="37">
        <f>N171+O170</f>
        <v>264.8006084063337</v>
      </c>
      <c r="P171" s="37">
        <f>O171+P170</f>
        <v>321.3877518223296</v>
      </c>
      <c r="Q171" s="37">
        <f>P171+Q170</f>
        <v>381.28524097539764</v>
      </c>
      <c r="R171" s="37">
        <f>Q171+R170</f>
        <v>444.52998231173245</v>
      </c>
      <c r="S171" s="37">
        <f>R171+S170</f>
        <v>511.119790652109</v>
      </c>
      <c r="T171" s="37">
        <f>S171+T170</f>
        <v>654.8531847216909</v>
      </c>
      <c r="U171" s="37">
        <f>T171+U170</f>
        <v>796.8899348976596</v>
      </c>
      <c r="V171" s="37">
        <f>U171+V170</f>
        <v>937.1761152240401</v>
      </c>
      <c r="W171" s="37">
        <f>V171+W170</f>
        <v>1075.6497980186334</v>
      </c>
      <c r="X171" s="37">
        <f>W171+X170</f>
        <v>1212.242775958075</v>
      </c>
      <c r="Y171" s="37">
        <f>X171+Y170</f>
        <v>1346.8815213985988</v>
      </c>
      <c r="Z171" s="37">
        <f>Y171+Z170</f>
        <v>1479.4876843417103</v>
      </c>
      <c r="AA171" s="37">
        <f>Z171+AA170</f>
        <v>1609.9783097054667</v>
      </c>
      <c r="AB171" s="37">
        <f>AA171+AB170</f>
        <v>1738.2658821037135</v>
      </c>
      <c r="AC171" s="37">
        <f>AB171+AC170</f>
        <v>2051.7311711409393</v>
      </c>
    </row>
    <row r="172" spans="1:29" x14ac:dyDescent="0.25">
      <c r="A172" s="33" t="s">
        <v>234</v>
      </c>
      <c r="B172" s="26" t="s">
        <v>92</v>
      </c>
      <c r="E172" s="44" t="str">
        <f>IF(E171&gt;=0,E$5,"")</f>
        <v/>
      </c>
      <c r="F172" s="44" t="str">
        <f>IF(F171&gt;=0,F$5,"")</f>
        <v/>
      </c>
      <c r="G172" s="44" t="str">
        <f>IF(G171&gt;=0,G$5,"")</f>
        <v/>
      </c>
      <c r="H172" s="44" t="str">
        <f>IF(H171&gt;=0,H$5,"")</f>
        <v/>
      </c>
      <c r="I172" s="44" t="str">
        <f>IF(I171&gt;=0,I$5,"")</f>
        <v/>
      </c>
      <c r="J172" s="44" t="str">
        <f>IF(J171&gt;=0,J$5,"")</f>
        <v/>
      </c>
      <c r="K172" s="44" t="str">
        <f>IF(K171&gt;=0,K$5,"")</f>
        <v/>
      </c>
      <c r="L172" s="44">
        <f>IF(L171&gt;=0,L$5,"")</f>
        <v>8</v>
      </c>
      <c r="M172" s="44">
        <f>IF(M171&gt;=0,M$5,"")</f>
        <v>9</v>
      </c>
      <c r="N172" s="44">
        <f>IF(N171&gt;=0,N$5,"")</f>
        <v>10</v>
      </c>
      <c r="O172" s="44">
        <f>IF(O171&gt;=0,O$5,"")</f>
        <v>11</v>
      </c>
      <c r="P172" s="44">
        <f>IF(P171&gt;=0,P$5,"")</f>
        <v>12</v>
      </c>
      <c r="Q172" s="44">
        <f>IF(Q171&gt;=0,Q$5,"")</f>
        <v>13</v>
      </c>
      <c r="R172" s="44">
        <f>IF(R171&gt;=0,R$5,"")</f>
        <v>14</v>
      </c>
      <c r="S172" s="44">
        <f>IF(S171&gt;=0,S$5,"")</f>
        <v>15</v>
      </c>
      <c r="T172" s="44">
        <f>IF(T171&gt;=0,T$5,"")</f>
        <v>16</v>
      </c>
      <c r="U172" s="44">
        <f>IF(U171&gt;=0,U$5,"")</f>
        <v>17</v>
      </c>
      <c r="V172" s="44">
        <f>IF(V171&gt;=0,V$5,"")</f>
        <v>18</v>
      </c>
      <c r="W172" s="44">
        <f>IF(W171&gt;=0,W$5,"")</f>
        <v>19</v>
      </c>
      <c r="X172" s="44">
        <f>IF(X171&gt;=0,X$5,"")</f>
        <v>20</v>
      </c>
      <c r="Y172" s="44">
        <f>IF(Y171&gt;=0,Y$5,"")</f>
        <v>21</v>
      </c>
      <c r="Z172" s="44">
        <f>IF(Z171&gt;=0,Z$5,"")</f>
        <v>22</v>
      </c>
      <c r="AA172" s="44">
        <f>IF(AA171&gt;=0,AA$5,"")</f>
        <v>23</v>
      </c>
      <c r="AB172" s="44">
        <f>IF(AB171&gt;=0,AB$5,"")</f>
        <v>24</v>
      </c>
      <c r="AC172" s="44">
        <f>IF(AC171&gt;=0,AC$5,"")</f>
        <v>25</v>
      </c>
    </row>
    <row r="173" spans="1:29" x14ac:dyDescent="0.25">
      <c r="A173" s="33" t="s">
        <v>235</v>
      </c>
      <c r="B173" s="26" t="s">
        <v>86</v>
      </c>
      <c r="C173" s="57">
        <f>SUM(E173:AC173)</f>
        <v>986.8790388861852</v>
      </c>
      <c r="E173" s="37">
        <f>MAX(0,(E124-E146)*$C$69)</f>
        <v>0</v>
      </c>
      <c r="F173" s="37">
        <f>MAX(0,(F124-F146)*$C$69)</f>
        <v>0</v>
      </c>
      <c r="G173" s="37">
        <f>MAX(0,(G124-G146)*$C$69)</f>
        <v>0</v>
      </c>
      <c r="H173" s="37">
        <f>MAX(0,(H124-H146)*$C$69)</f>
        <v>19.79362227805587</v>
      </c>
      <c r="I173" s="37">
        <f>MAX(0,(I124-I146)*$C$69)</f>
        <v>32.96921076782048</v>
      </c>
      <c r="J173" s="37">
        <f>MAX(0,(J124-J146)*$C$69)</f>
        <v>40.71631258312466</v>
      </c>
      <c r="K173" s="37">
        <f>MAX(0,(K124-K146)*$C$69)</f>
        <v>45.200783561988686</v>
      </c>
      <c r="L173" s="37">
        <f>MAX(0,(L124-L146)*$C$69)</f>
        <v>47.721860265636465</v>
      </c>
      <c r="M173" s="37">
        <f>MAX(0,(M124-M146)*$C$69)</f>
        <v>49.058793842134754</v>
      </c>
      <c r="N173" s="37">
        <f>MAX(0,(N124-N146)*$C$69)</f>
        <v>49.67882965222262</v>
      </c>
      <c r="O173" s="37">
        <f>MAX(0,(O124-O146)*$C$69)</f>
        <v>49.861994317837436</v>
      </c>
      <c r="P173" s="37">
        <f>MAX(0,(P124-P146)*$C$69)</f>
        <v>49.77596718791034</v>
      </c>
      <c r="Q173" s="37">
        <f>MAX(0,(Q124-Q146)*$C$69)</f>
        <v>49.52100241635707</v>
      </c>
      <c r="R173" s="37">
        <f>MAX(0,(R124-R146)*$C$69)</f>
        <v>49.15688136731203</v>
      </c>
      <c r="S173" s="37">
        <f>MAX(0,(S124-S146)*$C$69)</f>
        <v>48.71908317463007</v>
      </c>
      <c r="T173" s="37">
        <f>MAX(0,(T124-T146)*$C$69)</f>
        <v>48.22848614976698</v>
      </c>
      <c r="U173" s="37">
        <f>MAX(0,(U124-U146)*$C$69)</f>
        <v>47.697187652296336</v>
      </c>
      <c r="V173" s="37">
        <f>MAX(0,(V124-V146)*$C$69)</f>
        <v>47.131994989297255</v>
      </c>
      <c r="W173" s="37">
        <f>MAX(0,(W124-W146)*$C$69)</f>
        <v>46.53651888091908</v>
      </c>
      <c r="X173" s="37">
        <f>MAX(0,(X124-X146)*$C$69)</f>
        <v>45.91242841194832</v>
      </c>
      <c r="Y173" s="37">
        <f>MAX(0,(Y124-Y146)*$C$69)</f>
        <v>45.260202818588574</v>
      </c>
      <c r="Z173" s="37">
        <f>MAX(0,(Z124-Z146)*$C$69)</f>
        <v>44.57958131716037</v>
      </c>
      <c r="AA173" s="37">
        <f>MAX(0,(AA124-AA146)*$C$69)</f>
        <v>43.86983169578427</v>
      </c>
      <c r="AB173" s="37">
        <f>MAX(0,(AB124-AB146)*$C$69)</f>
        <v>43.129910098577234</v>
      </c>
      <c r="AC173" s="37">
        <f>MAX(0,(AC124-AC146)*$C$69)</f>
        <v>42.35855545681637</v>
      </c>
    </row>
    <row r="174" spans="1:29" x14ac:dyDescent="0.25">
      <c r="A174" s="61" t="s">
        <v>236</v>
      </c>
      <c r="B174" s="62" t="s">
        <v>86</v>
      </c>
      <c r="C174" s="63">
        <f>SUM(E174:AC174)</f>
        <v>4086.1749839137547</v>
      </c>
      <c r="D174" s="63">
        <f>-$C$84</f>
        <v>-1581.9723285425946</v>
      </c>
      <c r="E174" s="63">
        <f>E124-E173-E164-E128+E168</f>
        <v>196.68718547408568</v>
      </c>
      <c r="F174" s="63">
        <f>F124-F173-F164-F128+F168</f>
        <v>215.94943667514235</v>
      </c>
      <c r="G174" s="63">
        <f>G124-G173-G164-G128+G168</f>
        <v>214.5907941341325</v>
      </c>
      <c r="H174" s="63">
        <f>H124-H173-H164-H128+H168</f>
        <v>193.39417418606737</v>
      </c>
      <c r="I174" s="63">
        <f>I124-I173-I164-I128+I168</f>
        <v>178.76901514084426</v>
      </c>
      <c r="J174" s="63">
        <f>J124-J173-J164-J128+J168</f>
        <v>169.52344124035963</v>
      </c>
      <c r="K174" s="63">
        <f>K124-K173-K164-K128+K168</f>
        <v>163.4891515701073</v>
      </c>
      <c r="L174" s="63">
        <f>L124-L173-L164-L128+L168</f>
        <v>159.3643422385529</v>
      </c>
      <c r="M174" s="63">
        <f>M124-M173-M164-M128+M168</f>
        <v>156.3670664008038</v>
      </c>
      <c r="N174" s="63">
        <f>N124-N173-N164-N128+N168</f>
        <v>154.02724821445364</v>
      </c>
      <c r="O174" s="63">
        <f>O124-O173-O164-O128+O168</f>
        <v>152.0618890518145</v>
      </c>
      <c r="P174" s="63">
        <f>P124-P173-P164-P128+P168</f>
        <v>150.3001889579172</v>
      </c>
      <c r="Q174" s="63">
        <f>Q124-Q173-Q164-Q128+Q168</f>
        <v>148.63861714250592</v>
      </c>
      <c r="R174" s="63">
        <f>R124-R173-R164-R128+R168</f>
        <v>147.0139517732893</v>
      </c>
      <c r="S174" s="63">
        <f>S124-S173-S164-S128+S168</f>
        <v>145.38710122484764</v>
      </c>
      <c r="T174" s="63">
        <f>T124-T173-T164-T128+T168</f>
        <v>143.73339406958198</v>
      </c>
      <c r="U174" s="63">
        <f>U124-U173-U164-U128+U168</f>
        <v>142.03675017596865</v>
      </c>
      <c r="V174" s="63">
        <f>V124-V173-V164-V128+V168</f>
        <v>140.2861803263806</v>
      </c>
      <c r="W174" s="63">
        <f>W124-W173-W164-W128+W168</f>
        <v>138.47368279459332</v>
      </c>
      <c r="X174" s="63">
        <f>X124-X173-X164-X128+X168</f>
        <v>136.59297793944154</v>
      </c>
      <c r="Y174" s="63">
        <f>Y124-Y173-Y164-Y128+Y168</f>
        <v>134.6387454405237</v>
      </c>
      <c r="Z174" s="63">
        <f>Z124-Z173-Z164-Z128+Z168</f>
        <v>132.6061629431115</v>
      </c>
      <c r="AA174" s="63">
        <f>AA124-AA173-AA164-AA128+AA168</f>
        <v>130.49062536375638</v>
      </c>
      <c r="AB174" s="63">
        <f>AB124-AB173-AB164-AB128+AB168</f>
        <v>128.28757239824668</v>
      </c>
      <c r="AC174" s="63">
        <f>AC124-AC173-AC164-AC128+AC168</f>
        <v>313.46528903722606</v>
      </c>
    </row>
    <row r="176" ht="20" customHeight="1" spans="1:29" x14ac:dyDescent="0.25">
      <c r="A176" s="21" t="s">
        <v>237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</row>
    <row r="177" spans="1:29" x14ac:dyDescent="0.25">
      <c r="A177" s="33" t="s">
        <v>238</v>
      </c>
      <c r="B177" s="26" t="s">
        <v>86</v>
      </c>
      <c r="C177" s="57">
        <f>SUM(E177:AC177)</f>
        <v>1163.061606167939</v>
      </c>
      <c r="E177" s="37">
        <f>E123+E128</f>
        <v>21.41711293845978</v>
      </c>
      <c r="F177" s="37">
        <f>F123+F128</f>
        <v>32.41237380433295</v>
      </c>
      <c r="G177" s="37">
        <f>G123+G128</f>
        <v>33.2994763843207</v>
      </c>
      <c r="H177" s="37">
        <f>H123+H128</f>
        <v>34.23093409330784</v>
      </c>
      <c r="I177" s="37">
        <f>I123+I128</f>
        <v>35.208964687744334</v>
      </c>
      <c r="J177" s="37">
        <f>J123+J128</f>
        <v>36.235896811902656</v>
      </c>
      <c r="K177" s="37">
        <f>K123+K128</f>
        <v>37.314175542268885</v>
      </c>
      <c r="L177" s="37">
        <f>L123+L128</f>
        <v>38.446368209153434</v>
      </c>
      <c r="M177" s="37">
        <f>M123+M128</f>
        <v>39.635170509382206</v>
      </c>
      <c r="N177" s="37">
        <f>N123+N128</f>
        <v>40.88341292462242</v>
      </c>
      <c r="O177" s="37">
        <f>O123+O128</f>
        <v>42.19406746062465</v>
      </c>
      <c r="P177" s="37">
        <f>P123+P128</f>
        <v>43.570254723426984</v>
      </c>
      <c r="Q177" s="37">
        <f>Q123+Q128</f>
        <v>45.015251349369436</v>
      </c>
      <c r="R177" s="37">
        <f>R123+R128</f>
        <v>46.532497806609015</v>
      </c>
      <c r="S177" s="37">
        <f>S123+S128</f>
        <v>48.12560658671057</v>
      </c>
      <c r="T177" s="37">
        <f>T123+T128</f>
        <v>49.7983708058172</v>
      </c>
      <c r="U177" s="37">
        <f>U123+U128</f>
        <v>51.55477323587915</v>
      </c>
      <c r="V177" s="37">
        <f>V123+V128</f>
        <v>53.39899578744422</v>
      </c>
      <c r="W177" s="37">
        <f>W123+W128</f>
        <v>55.335429466587534</v>
      </c>
      <c r="X177" s="37">
        <f>X123+X128</f>
        <v>57.368684829688014</v>
      </c>
      <c r="Y177" s="37">
        <f>Y123+Y128</f>
        <v>59.50360296094352</v>
      </c>
      <c r="Z177" s="37">
        <f>Z123+Z128</f>
        <v>61.7452669987618</v>
      </c>
      <c r="AA177" s="37">
        <f>AA123+AA128</f>
        <v>64.09901423847099</v>
      </c>
      <c r="AB177" s="37">
        <f>AB123+AB128</f>
        <v>66.57044884016564</v>
      </c>
      <c r="AC177" s="37">
        <f>AC123+AC128</f>
        <v>69.16545517194503</v>
      </c>
    </row>
    <row r="178" spans="1:29" x14ac:dyDescent="0.25">
      <c r="A178" s="33" t="s">
        <v>239</v>
      </c>
      <c r="B178" s="26" t="s">
        <v>86</v>
      </c>
      <c r="C178" s="57">
        <f>SUM(E178:AC178)</f>
        <v>356.25596765885047</v>
      </c>
      <c r="E178" s="37">
        <f>E177*E107</f>
        <v>19.470102671327073</v>
      </c>
      <c r="F178" s="37">
        <f>F177*F107</f>
        <v>26.787085788704914</v>
      </c>
      <c r="G178" s="37">
        <f>G177*G107</f>
        <v>25.01838946981269</v>
      </c>
      <c r="H178" s="37">
        <f>H177*H107</f>
        <v>23.38018857544418</v>
      </c>
      <c r="I178" s="37">
        <f>I177*I107</f>
        <v>21.861996937457278</v>
      </c>
      <c r="J178" s="37">
        <f>J177*J107</f>
        <v>20.454219082437827</v>
      </c>
      <c r="K178" s="37">
        <f>K177*K107</f>
        <v>19.148072104600953</v>
      </c>
      <c r="L178" s="37">
        <f>L177*L107</f>
        <v>17.935514511830934</v>
      </c>
      <c r="M178" s="37">
        <f>M177*M107</f>
        <v>16.80918141681633</v>
      </c>
      <c r="N178" s="37">
        <f>N177*N107</f>
        <v>15.762325502064748</v>
      </c>
      <c r="O178" s="37">
        <f>O177*O107</f>
        <v>14.788763239255259</v>
      </c>
      <c r="P178" s="37">
        <f>P177*P107</f>
        <v>13.882825890374063</v>
      </c>
      <c r="Q178" s="37">
        <f>Q177*Q107</f>
        <v>13.039314860806192</v>
      </c>
      <c r="R178" s="37">
        <f>R177*R107</f>
        <v>12.253461013409256</v>
      </c>
      <c r="S178" s="37">
        <f>S177*S107</f>
        <v>11.52088758792675</v>
      </c>
      <c r="T178" s="37">
        <f>T177*T107</f>
        <v>10.837576402227358</v>
      </c>
      <c r="U178" s="37">
        <f>U177*U107</f>
        <v>10.199837041074051</v>
      </c>
      <c r="V178" s="37">
        <f>V177*V107</f>
        <v>9.604278764696911</v>
      </c>
      <c r="W178" s="37">
        <f>W177*W107</f>
        <v>9.047784893606432</v>
      </c>
      <c r="X178" s="37">
        <f>X177*X107</f>
        <v>8.527489448058466</v>
      </c>
      <c r="Y178" s="37">
        <f>Y177*Y107</f>
        <v>8.040755840566188</v>
      </c>
      <c r="Z178" s="37">
        <f>Z177*Z107</f>
        <v>7.585157438029229</v>
      </c>
      <c r="AA178" s="37">
        <f>AA177*AA107</f>
        <v>7.158459826579679</v>
      </c>
      <c r="AB178" s="37">
        <f>AB177*AB107</f>
        <v>6.758604627278089</v>
      </c>
      <c r="AC178" s="37">
        <f>AC177*AC107</f>
        <v>6.383694724465642</v>
      </c>
    </row>
    <row r="179" spans="1:29" x14ac:dyDescent="0.25">
      <c r="A179" s="33" t="s">
        <v>240</v>
      </c>
      <c r="B179" s="26" t="s">
        <v>182</v>
      </c>
      <c r="C179" s="58">
        <f>SUM(E179:AC179)</f>
        <v>3502.6996084368725</v>
      </c>
      <c r="E179" s="59">
        <f>E96*E107</f>
        <v>353.9109021773507</v>
      </c>
      <c r="F179" s="59">
        <f>F96*F107</f>
        <v>321.358607867147</v>
      </c>
      <c r="G179" s="59">
        <f>G96*G107</f>
        <v>291.8000290333657</v>
      </c>
      <c r="H179" s="59">
        <f>H96*H107</f>
        <v>264.95988099690715</v>
      </c>
      <c r="I179" s="59">
        <f>I96*I107</f>
        <v>240.58818938828938</v>
      </c>
      <c r="J179" s="59">
        <f>J96*J107</f>
        <v>218.45796335316479</v>
      </c>
      <c r="K179" s="59">
        <f>K96*K107</f>
        <v>198.36308263526703</v>
      </c>
      <c r="L179" s="59">
        <f>L96*L107</f>
        <v>180.1163788796882</v>
      </c>
      <c r="M179" s="59">
        <f>M96*M107</f>
        <v>163.54789330582398</v>
      </c>
      <c r="N179" s="59">
        <f>N96*N107</f>
        <v>148.50329453977233</v>
      </c>
      <c r="O179" s="59">
        <f>O96*O107</f>
        <v>134.842441885682</v>
      </c>
      <c r="P179" s="59">
        <f>P96*P107</f>
        <v>122.43808066837026</v>
      </c>
      <c r="Q179" s="59">
        <f>Q96*Q107</f>
        <v>111.17465750804342</v>
      </c>
      <c r="R179" s="59">
        <f>R96*R107</f>
        <v>100.94724450357467</v>
      </c>
      <c r="S179" s="59">
        <f>S96*S107</f>
        <v>91.66056231390148</v>
      </c>
      <c r="T179" s="59">
        <f>T96*T107</f>
        <v>83.22809304711456</v>
      </c>
      <c r="U179" s="59">
        <f>U96*U107</f>
        <v>75.57127470227317</v>
      </c>
      <c r="V179" s="59">
        <f>V96*V107</f>
        <v>68.61876966767471</v>
      </c>
      <c r="W179" s="59">
        <f>W96*W107</f>
        <v>62.30580046827374</v>
      </c>
      <c r="X179" s="59">
        <f>X96*X107</f>
        <v>56.573546580601246</v>
      </c>
      <c r="Y179" s="59">
        <f>Y96*Y107</f>
        <v>51.368596701693384</v>
      </c>
      <c r="Z179" s="59">
        <f>Z96*Z107</f>
        <v>46.6424513744828</v>
      </c>
      <c r="AA179" s="59">
        <f>AA96*AA107</f>
        <v>42.35107134063537</v>
      </c>
      <c r="AB179" s="59">
        <f>AB96*AB107</f>
        <v>38.45446741728513</v>
      </c>
      <c r="AC179" s="59">
        <f>AC96*AC107</f>
        <v>34.91632808048919</v>
      </c>
    </row>
    <row r="180" spans="1:29" x14ac:dyDescent="0.25">
      <c r="A180" s="33" t="s">
        <v>241</v>
      </c>
      <c r="B180" s="26" t="s">
        <v>86</v>
      </c>
      <c r="C180" s="57">
        <f>SUM(E180:AC180)</f>
        <v>2467.0801804390403</v>
      </c>
      <c r="E180" s="37">
        <f>E111*E107</f>
        <v>249.27246695661887</v>
      </c>
      <c r="F180" s="37">
        <f>F111*F107</f>
        <v>226.34468864326212</v>
      </c>
      <c r="G180" s="37">
        <f>G111*G107</f>
        <v>205.5254942632708</v>
      </c>
      <c r="H180" s="37">
        <f>H111*H107</f>
        <v>186.62099069085428</v>
      </c>
      <c r="I180" s="37">
        <f>I111*I107</f>
        <v>169.45511178232127</v>
      </c>
      <c r="J180" s="37">
        <f>J111*J107</f>
        <v>153.86797952913423</v>
      </c>
      <c r="K180" s="37">
        <f>K111*K107</f>
        <v>139.71441585270583</v>
      </c>
      <c r="L180" s="37">
        <f>L111*L107</f>
        <v>126.86259119571783</v>
      </c>
      <c r="M180" s="37">
        <f>M111*M107</f>
        <v>115.19279733708545</v>
      </c>
      <c r="N180" s="37">
        <f>N111*N107</f>
        <v>104.59633301311585</v>
      </c>
      <c r="O180" s="37">
        <f>O111*O107</f>
        <v>94.97449197666896</v>
      </c>
      <c r="P180" s="37">
        <f>P111*P107</f>
        <v>86.23764407897175</v>
      </c>
      <c r="Q180" s="37">
        <f>Q111*Q107</f>
        <v>78.30440082402389</v>
      </c>
      <c r="R180" s="37">
        <f>R111*R107</f>
        <v>71.10085763130647</v>
      </c>
      <c r="S180" s="37">
        <f>S111*S107</f>
        <v>64.55990575607463</v>
      </c>
      <c r="T180" s="37">
        <f>T111*T107</f>
        <v>58.62060746451054</v>
      </c>
      <c r="U180" s="37">
        <f>U111*U107</f>
        <v>53.227628649461614</v>
      </c>
      <c r="V180" s="37">
        <f>V111*V107</f>
        <v>48.33072360686363</v>
      </c>
      <c r="W180" s="37">
        <f>W111*W107</f>
        <v>43.88426717821354</v>
      </c>
      <c r="X180" s="37">
        <f>X111*X107</f>
        <v>39.84682990512905</v>
      </c>
      <c r="Y180" s="37">
        <f>Y111*Y107</f>
        <v>36.18079224220692</v>
      </c>
      <c r="Z180" s="37">
        <f>Z111*Z107</f>
        <v>32.85199423779023</v>
      </c>
      <c r="AA180" s="37">
        <f>AA111*AA107</f>
        <v>29.829417422257507</v>
      </c>
      <c r="AB180" s="37">
        <f>AB111*AB107</f>
        <v>27.0848959431209</v>
      </c>
      <c r="AC180" s="37">
        <f>AC111*AC107</f>
        <v>24.59285425835411</v>
      </c>
    </row>
    <row r="182" ht="20" customHeight="1" spans="1:29" x14ac:dyDescent="0.25">
      <c r="A182" s="21" t="s">
        <v>242</v>
      </c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</row>
    <row r="183" spans="1:3" x14ac:dyDescent="0.25">
      <c r="A183" s="25" t="s">
        <v>7</v>
      </c>
      <c r="B183" s="26" t="s">
        <v>83</v>
      </c>
      <c r="C183" s="65">
        <f>IFERROR(IRR(D170:AC170),"n/a")</f>
        <v>0.1400000000002308</v>
      </c>
    </row>
    <row r="184" spans="1:3" x14ac:dyDescent="0.25">
      <c r="A184" s="33" t="s">
        <v>9</v>
      </c>
      <c r="B184" s="26" t="s">
        <v>83</v>
      </c>
      <c r="C184" s="32">
        <f>IFERROR(IRR(D174:AC174),"n/a")</f>
        <v>0.09960342138751571</v>
      </c>
    </row>
    <row r="185" spans="1:3" x14ac:dyDescent="0.25">
      <c r="A185" s="33" t="s">
        <v>85</v>
      </c>
      <c r="B185" s="26" t="s">
        <v>86</v>
      </c>
      <c r="C185" s="37">
        <f>D170+NPV($C$66,E170:AC170)</f>
        <v>5.3290705182007514e-14</v>
      </c>
    </row>
    <row r="186" spans="1:3" x14ac:dyDescent="0.25">
      <c r="A186" s="33" t="s">
        <v>87</v>
      </c>
      <c r="B186" s="26" t="s">
        <v>86</v>
      </c>
      <c r="C186" s="37">
        <f>D174+NPV($C$67,E174:AC174)</f>
        <v>-4.414653759394039</v>
      </c>
    </row>
    <row r="187" spans="1:3" x14ac:dyDescent="0.25">
      <c r="A187" s="33" t="s">
        <v>11</v>
      </c>
      <c r="B187" s="26" t="s">
        <v>88</v>
      </c>
      <c r="C187" s="40">
        <f>IF(COUNT(E167:AC167)=0,"",MIN(E167:AC167))</f>
        <v>1.133711468359563</v>
      </c>
    </row>
    <row r="188" spans="1:3" x14ac:dyDescent="0.25">
      <c r="A188" s="33" t="s">
        <v>12</v>
      </c>
      <c r="B188" s="26" t="s">
        <v>88</v>
      </c>
      <c r="C188" s="40">
        <f>IF(COUNT(E167:AC167)=0,"",AVERAGE(E167:AC167))</f>
        <v>1.5576959212327717</v>
      </c>
    </row>
    <row r="189" spans="1:3" x14ac:dyDescent="0.25">
      <c r="A189" s="33" t="s">
        <v>243</v>
      </c>
      <c r="B189" s="26" t="s">
        <v>82</v>
      </c>
      <c r="C189" s="29">
        <f>IF(C179&gt;0,($C$84+C178)*10/C179,"")</f>
        <v>5.533527030216576</v>
      </c>
    </row>
    <row r="190" spans="1:3" x14ac:dyDescent="0.25">
      <c r="A190" s="33" t="s">
        <v>90</v>
      </c>
      <c r="B190" s="26" t="s">
        <v>82</v>
      </c>
      <c r="C190" s="29">
        <f>IF(C179&gt;0,C180*10/C179,"")</f>
        <v>7.043367848320879</v>
      </c>
    </row>
    <row r="191" spans="1:3" x14ac:dyDescent="0.25">
      <c r="A191" s="33" t="s">
        <v>91</v>
      </c>
      <c r="B191" s="26" t="s">
        <v>92</v>
      </c>
      <c r="C191" s="44">
        <f>IF(COUNT(E172:AC172)=0,"beyond the term",MIN(E172:AC172))</f>
        <v>8</v>
      </c>
    </row>
    <row r="193" ht="20" customHeight="1" spans="1:29" x14ac:dyDescent="0.25">
      <c r="A193" s="21" t="s">
        <v>244</v>
      </c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</row>
    <row r="194" spans="1:3" x14ac:dyDescent="0.25">
      <c r="A194" s="33" t="s">
        <v>245</v>
      </c>
      <c r="C194" s="66" t="str">
        <f>IF(ABS($C$85+$C$86-$C$84)&lt;0.001,"OK","CHECK")</f>
        <v>OK</v>
      </c>
    </row>
    <row r="195" spans="1:3" x14ac:dyDescent="0.25">
      <c r="A195" s="33" t="s">
        <v>246</v>
      </c>
      <c r="C195" s="66" t="str">
        <f>IF(ABS(INDEX(E140:AC140,1,$C$88))&lt;0.01,"OK","CHECK")</f>
        <v>OK</v>
      </c>
    </row>
    <row r="196" spans="1:3" x14ac:dyDescent="0.25">
      <c r="A196" s="33" t="s">
        <v>247</v>
      </c>
      <c r="C196" s="66" t="str">
        <f>IF(ABS(C115-C123-C124)&lt;0.01,"OK","CHECK")</f>
        <v>OK</v>
      </c>
    </row>
    <row r="197" spans="1:3" x14ac:dyDescent="0.25">
      <c r="A197" s="33" t="s">
        <v>248</v>
      </c>
      <c r="C197" s="66" t="str">
        <f>IF(MIN(E158:AC158)&gt;=-1E-9,"OK","CHECK")</f>
        <v>OK</v>
      </c>
    </row>
    <row r="198" spans="1:3" x14ac:dyDescent="0.25">
      <c r="A198" s="33" t="s">
        <v>249</v>
      </c>
      <c r="C198" s="66" t="str">
        <f>IF(ISNUMBER($C$10),IF($C$10&gt;=$C$66-1E-5,"OK","Below target"),"No IRR")</f>
        <v>OK</v>
      </c>
    </row>
    <row r="199" spans="1:3" x14ac:dyDescent="0.25">
      <c r="A199" s="33" t="s">
        <v>250</v>
      </c>
      <c r="C199" s="66" t="str">
        <f>IF(ISNUMBER($C$15),IF($C$15&gt;=1,"OK","Below 1.0"),"OK")</f>
        <v>OK</v>
      </c>
    </row>
  </sheetData>
  <conditionalFormatting sqref="F9:F24">
    <cfRule type="expression" dxfId="0" priority="1">
      <formula>OR(F9="Yes",F9="OK")</formula>
    </cfRule>
    <cfRule type="expression" dxfId="1" priority="2">
      <formula>OR(F9="Changed",F9="CHECK")</formula>
    </cfRule>
  </conditionalFormatting>
  <conditionalFormatting sqref="C194:C199">
    <cfRule type="expression" dxfId="2" priority="3">
      <formula>C194="OK"</formula>
    </cfRule>
    <cfRule type="expression" dxfId="3" priority="4">
      <formula>C194&lt;&gt;"OK"</formula>
    </cfRule>
  </conditionalFormatting>
  <dataValidations count="4">
    <dataValidation type="list" showErrorMessage="1" errorTitle="Choose from the list" error="One of: Yes, No" sqref="C51">
      <formula1>"Yes,No"</formula1>
    </dataValidation>
    <dataValidation type="list" showErrorMessage="1" errorTitle="Choose from the list" error="One of: annual, oneTime, none" sqref="C57">
      <formula1>"annual,oneTime,none"</formula1>
    </dataValidation>
    <dataValidation type="list" showErrorMessage="1" errorTitle="Choose from the list" error="One of: annuity, equal" sqref="C65">
      <formula1>"annuity,equal"</formula1>
    </dataValidation>
    <dataValidation type="list" showErrorMessage="1" errorTitle="Choose from the list" error="One of: wdv, slm" sqref="C70">
      <formula1>"wdv,slm"</formula1>
    </dataValidation>
  </dataValidations>
  <pageSetup orientation="landscape" fitToWidth="1" fitToHeight="0"/>
  <headerFooter>
    <oddFooter>&amp;L&amp;A&amp;R&amp;P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7" customWidth="1"/>
    <col min="4" max="4" width="60" customWidth="1"/>
    <col min="5" max="5" width="44" customWidth="1"/>
    <col min="6" max="6" width="12" customWidth="1"/>
  </cols>
  <sheetData>
    <row r="1" spans="1:6" s="67" customFormat="1" x14ac:dyDescent="0.25">
      <c r="A1" s="67" t="s">
        <v>251</v>
      </c>
      <c r="B1" s="67" t="s">
        <v>252</v>
      </c>
      <c r="C1" s="67" t="s">
        <v>253</v>
      </c>
      <c r="D1" s="67" t="s">
        <v>254</v>
      </c>
      <c r="E1" s="67" t="s">
        <v>255</v>
      </c>
      <c r="F1" s="67" t="s">
        <v>256</v>
      </c>
    </row>
    <row r="2" spans="1:6" s="68" customFormat="1" x14ac:dyDescent="0.25">
      <c r="A2" s="68" t="s">
        <v>257</v>
      </c>
      <c r="B2" s="68" t="s">
        <v>258</v>
      </c>
      <c r="C2" s="68">
        <v>1</v>
      </c>
      <c r="D2" s="68" t="s">
        <v>259</v>
      </c>
      <c r="E2" s="68" t="s">
        <v>260</v>
      </c>
      <c r="F2" s="69" t="s">
        <v>261</v>
      </c>
    </row>
    <row r="3" spans="1:6" s="68" customFormat="1" x14ac:dyDescent="0.25">
      <c r="A3" s="68" t="s">
        <v>262</v>
      </c>
      <c r="B3" s="68" t="s">
        <v>263</v>
      </c>
      <c r="C3" s="68">
        <v>2</v>
      </c>
      <c r="D3" s="68" t="s">
        <v>264</v>
      </c>
      <c r="E3" s="68" t="s">
        <v>265</v>
      </c>
      <c r="F3" s="70" t="s">
        <v>266</v>
      </c>
    </row>
    <row r="4" spans="1:6" s="68" customFormat="1" x14ac:dyDescent="0.25">
      <c r="A4" s="68" t="s">
        <v>267</v>
      </c>
      <c r="B4" s="68" t="s">
        <v>268</v>
      </c>
      <c r="C4" s="68">
        <v>2</v>
      </c>
      <c r="D4" s="68" t="s">
        <v>269</v>
      </c>
      <c r="E4" s="68" t="s">
        <v>270</v>
      </c>
      <c r="F4" s="70" t="s">
        <v>266</v>
      </c>
    </row>
    <row r="5" spans="1:6" s="68" customFormat="1" x14ac:dyDescent="0.25">
      <c r="A5" s="68" t="s">
        <v>271</v>
      </c>
      <c r="B5" s="68" t="s">
        <v>272</v>
      </c>
      <c r="C5" s="68">
        <v>2</v>
      </c>
      <c r="D5" s="68" t="s">
        <v>273</v>
      </c>
      <c r="E5" s="68" t="s">
        <v>274</v>
      </c>
      <c r="F5" s="69" t="s">
        <v>261</v>
      </c>
    </row>
    <row r="6" spans="1:6" s="68" customFormat="1" x14ac:dyDescent="0.25">
      <c r="A6" s="68" t="s">
        <v>275</v>
      </c>
      <c r="B6" s="68" t="s">
        <v>276</v>
      </c>
      <c r="C6" s="68">
        <v>2</v>
      </c>
      <c r="D6" s="68" t="s">
        <v>277</v>
      </c>
      <c r="E6" s="68" t="s">
        <v>278</v>
      </c>
      <c r="F6" s="69" t="s">
        <v>261</v>
      </c>
    </row>
    <row r="7" spans="1:6" s="68" customFormat="1" x14ac:dyDescent="0.25">
      <c r="A7" s="68" t="s">
        <v>279</v>
      </c>
      <c r="B7" s="68" t="s">
        <v>280</v>
      </c>
      <c r="C7" s="68">
        <v>19</v>
      </c>
      <c r="D7" s="68" t="s">
        <v>281</v>
      </c>
      <c r="E7" s="68" t="s">
        <v>282</v>
      </c>
      <c r="F7" s="69" t="s">
        <v>261</v>
      </c>
    </row>
    <row r="8" spans="1:6" s="68" customFormat="1" x14ac:dyDescent="0.25">
      <c r="A8" s="68" t="s">
        <v>60</v>
      </c>
      <c r="B8" s="68" t="s">
        <v>61</v>
      </c>
      <c r="C8" s="68">
        <v>34</v>
      </c>
      <c r="D8" s="68" t="s">
        <v>283</v>
      </c>
      <c r="E8" s="68" t="s">
        <v>284</v>
      </c>
      <c r="F8" s="69" t="s">
        <v>261</v>
      </c>
    </row>
    <row r="9" spans="1:6" s="68" customFormat="1" x14ac:dyDescent="0.25">
      <c r="A9" s="68" t="s">
        <v>64</v>
      </c>
      <c r="B9" s="68" t="s">
        <v>58</v>
      </c>
      <c r="C9" s="68">
        <v>60</v>
      </c>
      <c r="D9" s="68" t="s">
        <v>285</v>
      </c>
      <c r="E9" s="68" t="s">
        <v>286</v>
      </c>
      <c r="F9" s="70" t="s">
        <v>287</v>
      </c>
    </row>
    <row r="10" spans="1:6" s="68" customFormat="1" x14ac:dyDescent="0.25">
      <c r="A10" s="68" t="s">
        <v>62</v>
      </c>
      <c r="B10" s="68" t="s">
        <v>63</v>
      </c>
      <c r="C10" s="68">
        <v>2</v>
      </c>
      <c r="D10" s="68" t="s">
        <v>288</v>
      </c>
      <c r="E10" s="68" t="s">
        <v>289</v>
      </c>
      <c r="F10" s="70" t="s">
        <v>266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4" width="16" customWidth="1"/>
    <col min="5" max="5" width="46" customWidth="1"/>
  </cols>
  <sheetData>
    <row r="1" spans="1:5" s="67" customFormat="1" x14ac:dyDescent="0.25">
      <c r="A1" s="67" t="s">
        <v>290</v>
      </c>
      <c r="B1" s="67" t="s">
        <v>69</v>
      </c>
      <c r="C1" s="67" t="s">
        <v>291</v>
      </c>
      <c r="D1" s="67" t="s">
        <v>74</v>
      </c>
      <c r="E1" s="67" t="s">
        <v>292</v>
      </c>
    </row>
    <row r="2" spans="1:5" x14ac:dyDescent="0.25">
      <c r="A2" t="s">
        <v>293</v>
      </c>
      <c r="B2" t="s">
        <v>257</v>
      </c>
      <c r="C2" s="71">
        <v>50</v>
      </c>
      <c r="D2" t="s">
        <v>106</v>
      </c>
      <c r="E2" t="s">
        <v>294</v>
      </c>
    </row>
    <row r="3" spans="1:5" x14ac:dyDescent="0.25">
      <c r="A3" t="s">
        <v>293</v>
      </c>
      <c r="B3" t="s">
        <v>295</v>
      </c>
      <c r="C3" t="s">
        <v>134</v>
      </c>
      <c r="D3" t="s">
        <v>8</v>
      </c>
      <c r="E3" t="s">
        <v>294</v>
      </c>
    </row>
    <row r="4" spans="1:5" x14ac:dyDescent="0.25">
      <c r="A4" t="s">
        <v>38</v>
      </c>
      <c r="B4" t="s">
        <v>53</v>
      </c>
      <c r="C4" t="s">
        <v>296</v>
      </c>
      <c r="D4" t="s">
        <v>106</v>
      </c>
      <c r="E4" t="s">
        <v>297</v>
      </c>
    </row>
    <row r="5" spans="1:5" x14ac:dyDescent="0.25">
      <c r="A5" t="s">
        <v>38</v>
      </c>
      <c r="B5" t="s">
        <v>298</v>
      </c>
      <c r="C5" s="72">
        <v>0.25</v>
      </c>
      <c r="D5" t="s">
        <v>83</v>
      </c>
      <c r="E5" s="73" t="s">
        <v>104</v>
      </c>
    </row>
    <row r="6" spans="1:5" x14ac:dyDescent="0.25">
      <c r="A6" t="s">
        <v>38</v>
      </c>
      <c r="B6" t="s">
        <v>299</v>
      </c>
      <c r="C6" s="71">
        <v>1.4</v>
      </c>
      <c r="D6" t="s">
        <v>300</v>
      </c>
      <c r="E6" s="73" t="s">
        <v>104</v>
      </c>
    </row>
    <row r="7" spans="1:5" x14ac:dyDescent="0.25">
      <c r="A7" t="s">
        <v>38</v>
      </c>
      <c r="B7" t="s">
        <v>301</v>
      </c>
      <c r="C7" s="72">
        <v>0.005</v>
      </c>
      <c r="D7" t="s">
        <v>83</v>
      </c>
      <c r="E7" s="73" t="s">
        <v>104</v>
      </c>
    </row>
    <row r="8" spans="1:5" x14ac:dyDescent="0.25">
      <c r="A8" t="s">
        <v>38</v>
      </c>
      <c r="B8" t="s">
        <v>302</v>
      </c>
      <c r="C8" s="71">
        <v>4</v>
      </c>
      <c r="D8" t="s">
        <v>303</v>
      </c>
      <c r="E8" s="73" t="s">
        <v>104</v>
      </c>
    </row>
    <row r="9" spans="1:5" x14ac:dyDescent="0.25">
      <c r="A9" t="s">
        <v>38</v>
      </c>
      <c r="B9" t="s">
        <v>304</v>
      </c>
      <c r="C9" s="71">
        <v>4</v>
      </c>
      <c r="D9" t="s">
        <v>305</v>
      </c>
      <c r="E9" s="73" t="s">
        <v>104</v>
      </c>
    </row>
    <row r="10" spans="1:5" x14ac:dyDescent="0.25">
      <c r="A10" t="s">
        <v>40</v>
      </c>
      <c r="B10" t="s">
        <v>53</v>
      </c>
      <c r="C10" t="s">
        <v>296</v>
      </c>
      <c r="D10" t="s">
        <v>106</v>
      </c>
      <c r="E10" t="s">
        <v>297</v>
      </c>
    </row>
    <row r="11" spans="1:5" x14ac:dyDescent="0.25">
      <c r="A11" t="s">
        <v>40</v>
      </c>
      <c r="B11" t="s">
        <v>306</v>
      </c>
      <c r="C11" s="72">
        <v>0.33</v>
      </c>
      <c r="D11" t="s">
        <v>83</v>
      </c>
      <c r="E11" s="73" t="s">
        <v>104</v>
      </c>
    </row>
    <row r="12" spans="1:5" x14ac:dyDescent="0.25">
      <c r="A12" t="s">
        <v>40</v>
      </c>
      <c r="B12" t="s">
        <v>307</v>
      </c>
      <c r="C12" s="71">
        <v>6.5</v>
      </c>
      <c r="D12" t="s">
        <v>112</v>
      </c>
      <c r="E12" s="73" t="s">
        <v>104</v>
      </c>
    </row>
    <row r="13" spans="1:5" x14ac:dyDescent="0.25">
      <c r="A13" t="s">
        <v>40</v>
      </c>
      <c r="B13" t="s">
        <v>308</v>
      </c>
      <c r="C13" s="71">
        <v>9</v>
      </c>
      <c r="D13" t="s">
        <v>121</v>
      </c>
      <c r="E13" s="73" t="s">
        <v>104</v>
      </c>
    </row>
    <row r="14" spans="1:5" x14ac:dyDescent="0.25">
      <c r="A14" t="s">
        <v>42</v>
      </c>
      <c r="B14" t="s">
        <v>53</v>
      </c>
      <c r="C14" t="s">
        <v>296</v>
      </c>
      <c r="D14" t="s">
        <v>106</v>
      </c>
      <c r="E14" t="s">
        <v>297</v>
      </c>
    </row>
    <row r="15" spans="1:5" x14ac:dyDescent="0.25">
      <c r="A15" t="s">
        <v>42</v>
      </c>
      <c r="B15" t="s">
        <v>309</v>
      </c>
      <c r="C15" t="s">
        <v>310</v>
      </c>
      <c r="D15" t="s">
        <v>8</v>
      </c>
      <c r="E15" s="73" t="s">
        <v>104</v>
      </c>
    </row>
    <row r="16" spans="1:5" x14ac:dyDescent="0.25">
      <c r="A16" t="s">
        <v>42</v>
      </c>
      <c r="B16" t="s">
        <v>311</v>
      </c>
      <c r="C16" s="72">
        <v>0.87</v>
      </c>
      <c r="D16" t="s">
        <v>83</v>
      </c>
      <c r="E16" s="73" t="s">
        <v>104</v>
      </c>
    </row>
    <row r="17" spans="1:5" x14ac:dyDescent="0.25">
      <c r="A17" t="s">
        <v>42</v>
      </c>
      <c r="B17" t="s">
        <v>312</v>
      </c>
      <c r="C17" s="72">
        <v>0.05</v>
      </c>
      <c r="D17" t="s">
        <v>83</v>
      </c>
      <c r="E17" s="73" t="s">
        <v>104</v>
      </c>
    </row>
    <row r="18" spans="1:5" x14ac:dyDescent="0.25">
      <c r="A18" t="s">
        <v>42</v>
      </c>
      <c r="B18" t="s">
        <v>313</v>
      </c>
      <c r="C18" s="72">
        <v>0.95</v>
      </c>
      <c r="D18" t="s">
        <v>83</v>
      </c>
      <c r="E18" s="73" t="s">
        <v>104</v>
      </c>
    </row>
    <row r="19" spans="1:5" x14ac:dyDescent="0.25">
      <c r="A19" t="s">
        <v>42</v>
      </c>
      <c r="B19" t="s">
        <v>314</v>
      </c>
      <c r="C19" s="72">
        <v>0.02</v>
      </c>
      <c r="D19" t="s">
        <v>83</v>
      </c>
      <c r="E19" s="73" t="s">
        <v>104</v>
      </c>
    </row>
    <row r="20" spans="1:5" x14ac:dyDescent="0.25">
      <c r="A20" t="s">
        <v>42</v>
      </c>
      <c r="B20" t="s">
        <v>144</v>
      </c>
      <c r="C20" t="s">
        <v>315</v>
      </c>
      <c r="D20" t="s">
        <v>8</v>
      </c>
      <c r="E20" s="73" t="s">
        <v>104</v>
      </c>
    </row>
    <row r="21" spans="1:5" x14ac:dyDescent="0.25">
      <c r="A21" t="s">
        <v>42</v>
      </c>
      <c r="B21" t="s">
        <v>307</v>
      </c>
      <c r="C21" s="71">
        <v>1.2</v>
      </c>
      <c r="D21" t="s">
        <v>113</v>
      </c>
      <c r="E21" s="73" t="s">
        <v>104</v>
      </c>
    </row>
    <row r="22" spans="1:5" x14ac:dyDescent="0.25">
      <c r="A22" t="s">
        <v>42</v>
      </c>
      <c r="B22" t="s">
        <v>308</v>
      </c>
      <c r="C22" s="71">
        <v>1.2</v>
      </c>
      <c r="D22" t="s">
        <v>124</v>
      </c>
      <c r="E22" s="73" t="s">
        <v>104</v>
      </c>
    </row>
    <row r="23" spans="1:5" x14ac:dyDescent="0.25">
      <c r="A23" t="s">
        <v>44</v>
      </c>
      <c r="B23" t="s">
        <v>159</v>
      </c>
      <c r="C23" s="72">
        <v>0.14</v>
      </c>
      <c r="D23" t="s">
        <v>83</v>
      </c>
      <c r="E23" s="73" t="s">
        <v>104</v>
      </c>
    </row>
    <row r="24" spans="1:5" x14ac:dyDescent="0.25">
      <c r="A24" t="s">
        <v>44</v>
      </c>
      <c r="B24" t="s">
        <v>151</v>
      </c>
      <c r="C24" s="72">
        <v>0.7</v>
      </c>
      <c r="D24" t="s">
        <v>83</v>
      </c>
      <c r="E24" s="73" t="s">
        <v>104</v>
      </c>
    </row>
    <row r="25" spans="1:5" x14ac:dyDescent="0.25">
      <c r="A25" t="s">
        <v>44</v>
      </c>
      <c r="B25" t="s">
        <v>153</v>
      </c>
      <c r="C25" s="72">
        <v>0.09</v>
      </c>
      <c r="D25" t="s">
        <v>83</v>
      </c>
      <c r="E25" s="73" t="s">
        <v>104</v>
      </c>
    </row>
    <row r="26" spans="1:5" x14ac:dyDescent="0.25">
      <c r="A26" t="s">
        <v>44</v>
      </c>
      <c r="B26" t="s">
        <v>154</v>
      </c>
      <c r="C26" s="71">
        <v>15</v>
      </c>
      <c r="D26" t="s">
        <v>155</v>
      </c>
      <c r="E26" s="73" t="s">
        <v>104</v>
      </c>
    </row>
    <row r="27" spans="1:5" x14ac:dyDescent="0.25">
      <c r="A27" t="s">
        <v>44</v>
      </c>
      <c r="B27" t="s">
        <v>162</v>
      </c>
      <c r="C27" s="72">
        <v>0.2517</v>
      </c>
      <c r="D27" t="s">
        <v>83</v>
      </c>
      <c r="E27" s="73" t="s">
        <v>104</v>
      </c>
    </row>
    <row r="28" spans="1:5" x14ac:dyDescent="0.25">
      <c r="A28" t="s">
        <v>44</v>
      </c>
      <c r="B28" t="s">
        <v>125</v>
      </c>
      <c r="C28" s="72">
        <v>0.05</v>
      </c>
      <c r="D28" t="s">
        <v>83</v>
      </c>
      <c r="E28" s="73" t="s">
        <v>104</v>
      </c>
    </row>
    <row r="29" spans="1:5" x14ac:dyDescent="0.25">
      <c r="A29" t="s">
        <v>44</v>
      </c>
      <c r="B29" t="s">
        <v>126</v>
      </c>
      <c r="C29" s="72">
        <v>0.003</v>
      </c>
      <c r="D29" t="s">
        <v>83</v>
      </c>
      <c r="E29" s="73" t="s">
        <v>104</v>
      </c>
    </row>
    <row r="30" spans="1:5" x14ac:dyDescent="0.25">
      <c r="A30" t="s">
        <v>44</v>
      </c>
      <c r="B30" t="s">
        <v>102</v>
      </c>
      <c r="C30" s="72">
        <v>0</v>
      </c>
      <c r="D30" t="s">
        <v>83</v>
      </c>
      <c r="E30" s="73" t="s">
        <v>104</v>
      </c>
    </row>
    <row r="31" spans="1:5" x14ac:dyDescent="0.25">
      <c r="A31" t="s">
        <v>44</v>
      </c>
      <c r="B31" t="s">
        <v>316</v>
      </c>
      <c r="C31" s="72">
        <v>0.05</v>
      </c>
      <c r="D31" t="s">
        <v>83</v>
      </c>
      <c r="E31" s="73" t="s">
        <v>104</v>
      </c>
    </row>
    <row r="32" spans="1:5" x14ac:dyDescent="0.25">
      <c r="A32" t="s">
        <v>44</v>
      </c>
      <c r="B32" t="s">
        <v>116</v>
      </c>
      <c r="C32" s="71">
        <v>0</v>
      </c>
      <c r="D32" t="s">
        <v>86</v>
      </c>
      <c r="E32" s="73" t="s">
        <v>104</v>
      </c>
    </row>
    <row r="33" spans="1:5" x14ac:dyDescent="0.25">
      <c r="A33" t="s">
        <v>44</v>
      </c>
      <c r="B33" t="s">
        <v>156</v>
      </c>
      <c r="C33" t="s">
        <v>158</v>
      </c>
      <c r="D33" t="s">
        <v>8</v>
      </c>
      <c r="E33" t="s">
        <v>317</v>
      </c>
    </row>
    <row r="34" spans="1:5" x14ac:dyDescent="0.25">
      <c r="A34" t="s">
        <v>44</v>
      </c>
      <c r="B34" t="s">
        <v>163</v>
      </c>
      <c r="C34" t="s">
        <v>165</v>
      </c>
      <c r="D34" t="s">
        <v>8</v>
      </c>
      <c r="E34" t="s">
        <v>317</v>
      </c>
    </row>
    <row r="35" spans="1:5" x14ac:dyDescent="0.25">
      <c r="A35" t="s">
        <v>44</v>
      </c>
      <c r="B35" t="s">
        <v>166</v>
      </c>
      <c r="C35" s="72">
        <v>0.4</v>
      </c>
      <c r="D35" t="s">
        <v>83</v>
      </c>
      <c r="E35" t="s">
        <v>317</v>
      </c>
    </row>
    <row r="36" spans="1:5" x14ac:dyDescent="0.25">
      <c r="A36" t="s">
        <v>44</v>
      </c>
      <c r="B36" t="s">
        <v>167</v>
      </c>
      <c r="C36" s="71">
        <v>25</v>
      </c>
      <c r="D36" t="s">
        <v>155</v>
      </c>
      <c r="E36" t="s">
        <v>317</v>
      </c>
    </row>
    <row r="37" spans="1:5" x14ac:dyDescent="0.25">
      <c r="A37" t="s">
        <v>44</v>
      </c>
      <c r="B37" t="s">
        <v>168</v>
      </c>
      <c r="C37" s="72">
        <v>0.1</v>
      </c>
      <c r="D37" t="s">
        <v>83</v>
      </c>
      <c r="E37" t="s">
        <v>317</v>
      </c>
    </row>
    <row r="38" spans="1:5" x14ac:dyDescent="0.25">
      <c r="A38" t="s">
        <v>44</v>
      </c>
      <c r="B38" t="s">
        <v>169</v>
      </c>
      <c r="C38" s="71">
        <v>45</v>
      </c>
      <c r="D38" t="s">
        <v>170</v>
      </c>
      <c r="E38" t="s">
        <v>317</v>
      </c>
    </row>
    <row r="39" spans="1:5" x14ac:dyDescent="0.25">
      <c r="A39" t="s">
        <v>44</v>
      </c>
      <c r="B39" t="s">
        <v>318</v>
      </c>
      <c r="C39" s="72">
        <v>0.1</v>
      </c>
      <c r="D39" t="s">
        <v>83</v>
      </c>
      <c r="E39" t="s">
        <v>317</v>
      </c>
    </row>
    <row r="40" spans="1:5" x14ac:dyDescent="0.25">
      <c r="A40" t="s">
        <v>319</v>
      </c>
      <c r="B40" t="s">
        <v>320</v>
      </c>
      <c r="C40" t="s">
        <v>134</v>
      </c>
      <c r="D40" t="s">
        <v>8</v>
      </c>
      <c r="E40" s="73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40" customWidth="1"/>
    <col min="2" max="2" width="18" customWidth="1"/>
    <col min="3" max="3" width="50" customWidth="1"/>
  </cols>
  <sheetData>
    <row r="1" spans="1:3" s="67" customFormat="1" x14ac:dyDescent="0.25">
      <c r="A1" s="67" t="s">
        <v>321</v>
      </c>
      <c r="B1" s="67" t="s">
        <v>291</v>
      </c>
      <c r="C1" s="67" t="s">
        <v>322</v>
      </c>
    </row>
    <row r="2" spans="1:3" x14ac:dyDescent="0.25">
      <c r="A2" t="s">
        <v>29</v>
      </c>
      <c r="B2" s="11">
        <v>50</v>
      </c>
      <c r="C2" t="s">
        <v>30</v>
      </c>
    </row>
    <row r="3" spans="1:3" x14ac:dyDescent="0.25">
      <c r="A3" t="s">
        <v>31</v>
      </c>
      <c r="B3" s="11">
        <v>130.77878579954532</v>
      </c>
      <c r="C3" t="s">
        <v>32</v>
      </c>
    </row>
    <row r="4" spans="1:3" x14ac:dyDescent="0.25">
      <c r="A4" t="s">
        <v>33</v>
      </c>
      <c r="B4" s="11">
        <v>73.23155483158249</v>
      </c>
      <c r="C4" t="s">
        <v>32</v>
      </c>
    </row>
    <row r="5" spans="1:3" x14ac:dyDescent="0.25">
      <c r="A5" t="s">
        <v>34</v>
      </c>
      <c r="B5" s="11">
        <v>105.7333465196337</v>
      </c>
      <c r="C5" t="s">
        <v>8</v>
      </c>
    </row>
    <row r="6" spans="1:3" x14ac:dyDescent="0.25">
      <c r="A6" t="s">
        <v>35</v>
      </c>
      <c r="B6" s="11">
        <v>422.9333860785348</v>
      </c>
      <c r="C6" t="s">
        <v>8</v>
      </c>
    </row>
    <row r="8" spans="1:3" s="67" customFormat="1" x14ac:dyDescent="0.25">
      <c r="A8" s="67" t="s">
        <v>307</v>
      </c>
      <c r="B8" s="67" t="s">
        <v>323</v>
      </c>
      <c r="C8" s="67" t="s">
        <v>322</v>
      </c>
    </row>
    <row r="9" spans="1:3" x14ac:dyDescent="0.25">
      <c r="A9" t="s">
        <v>38</v>
      </c>
      <c r="B9" s="8">
        <v>549.2709003580903</v>
      </c>
      <c r="C9" t="s">
        <v>8</v>
      </c>
    </row>
    <row r="10" spans="1:3" x14ac:dyDescent="0.25">
      <c r="A10" t="s">
        <v>40</v>
      </c>
      <c r="B10" s="8">
        <v>499.8053617255505</v>
      </c>
      <c r="C10" t="s">
        <v>8</v>
      </c>
    </row>
    <row r="11" spans="1:3" x14ac:dyDescent="0.25">
      <c r="A11" t="s">
        <v>42</v>
      </c>
      <c r="B11" s="8">
        <v>532.8960664589538</v>
      </c>
      <c r="C11" t="s">
        <v>8</v>
      </c>
    </row>
    <row r="12" spans="1:3" x14ac:dyDescent="0.25">
      <c r="A12" t="s">
        <v>116</v>
      </c>
      <c r="B12" s="8">
        <v>0</v>
      </c>
      <c r="C12" t="s">
        <v>8</v>
      </c>
    </row>
    <row r="13" spans="1:3" x14ac:dyDescent="0.25">
      <c r="A13" t="s">
        <v>324</v>
      </c>
      <c r="B13" s="8">
        <v>1581.9723285425946</v>
      </c>
      <c r="C13" t="s">
        <v>325</v>
      </c>
    </row>
    <row r="14" spans="1:3" x14ac:dyDescent="0.25">
      <c r="A14" t="s">
        <v>94</v>
      </c>
      <c r="B14" s="8">
        <v>1107.3806299798161</v>
      </c>
      <c r="C14" t="s">
        <v>326</v>
      </c>
    </row>
    <row r="15" spans="1:3" x14ac:dyDescent="0.25">
      <c r="A15" t="s">
        <v>95</v>
      </c>
      <c r="B15" s="8">
        <v>474.59169856277845</v>
      </c>
      <c r="C15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9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327</v>
      </c>
      <c r="D1" s="67" t="s">
        <v>328</v>
      </c>
      <c r="E1" s="67" t="s">
        <v>329</v>
      </c>
      <c r="F1" s="67" t="s">
        <v>330</v>
      </c>
      <c r="G1" s="67" t="s">
        <v>331</v>
      </c>
      <c r="H1" s="67" t="s">
        <v>332</v>
      </c>
      <c r="I1" s="67" t="s">
        <v>333</v>
      </c>
      <c r="J1" s="67" t="s">
        <v>334</v>
      </c>
      <c r="K1" s="67" t="s">
        <v>335</v>
      </c>
      <c r="L1" s="67" t="s">
        <v>336</v>
      </c>
      <c r="M1" s="67" t="s">
        <v>337</v>
      </c>
      <c r="N1" s="67" t="s">
        <v>338</v>
      </c>
      <c r="O1" s="67" t="s">
        <v>339</v>
      </c>
      <c r="P1" s="67" t="s">
        <v>340</v>
      </c>
      <c r="Q1" s="67" t="s">
        <v>341</v>
      </c>
      <c r="R1" s="67" t="s">
        <v>342</v>
      </c>
      <c r="S1" s="67" t="s">
        <v>343</v>
      </c>
      <c r="T1" s="67" t="s">
        <v>344</v>
      </c>
      <c r="U1" s="67" t="s">
        <v>345</v>
      </c>
      <c r="V1" s="67" t="s">
        <v>346</v>
      </c>
      <c r="W1" s="67" t="s">
        <v>347</v>
      </c>
      <c r="X1" s="67" t="s">
        <v>348</v>
      </c>
      <c r="Y1" s="67" t="s">
        <v>349</v>
      </c>
      <c r="Z1" s="67" t="s">
        <v>350</v>
      </c>
      <c r="AA1" s="67" t="s">
        <v>351</v>
      </c>
      <c r="AB1" s="67" t="s">
        <v>352</v>
      </c>
    </row>
    <row r="2" spans="1:1" s="5" customFormat="1" x14ac:dyDescent="0.25">
      <c r="A2" s="5" t="s">
        <v>353</v>
      </c>
    </row>
    <row r="3" spans="1:28" x14ac:dyDescent="0.25">
      <c r="A3" t="s">
        <v>181</v>
      </c>
      <c r="B3" t="s">
        <v>182</v>
      </c>
      <c r="C3" s="74">
        <v>10950</v>
      </c>
      <c r="D3" s="74">
        <v>438</v>
      </c>
      <c r="E3" s="74">
        <v>438</v>
      </c>
      <c r="F3" s="74">
        <v>438</v>
      </c>
      <c r="G3" s="74">
        <v>438</v>
      </c>
      <c r="H3" s="74">
        <v>438</v>
      </c>
      <c r="I3" s="74">
        <v>438</v>
      </c>
      <c r="J3" s="74">
        <v>438</v>
      </c>
      <c r="K3" s="74">
        <v>438</v>
      </c>
      <c r="L3" s="74">
        <v>438</v>
      </c>
      <c r="M3" s="74">
        <v>438</v>
      </c>
      <c r="N3" s="74">
        <v>438</v>
      </c>
      <c r="O3" s="74">
        <v>438</v>
      </c>
      <c r="P3" s="74">
        <v>438</v>
      </c>
      <c r="Q3" s="74">
        <v>438</v>
      </c>
      <c r="R3" s="74">
        <v>438</v>
      </c>
      <c r="S3" s="74">
        <v>438</v>
      </c>
      <c r="T3" s="74">
        <v>438</v>
      </c>
      <c r="U3" s="74">
        <v>438</v>
      </c>
      <c r="V3" s="74">
        <v>438</v>
      </c>
      <c r="W3" s="74">
        <v>438</v>
      </c>
      <c r="X3" s="74">
        <v>438</v>
      </c>
      <c r="Y3" s="74">
        <v>438</v>
      </c>
      <c r="Z3" s="74">
        <v>438</v>
      </c>
      <c r="AA3" s="74">
        <v>438</v>
      </c>
      <c r="AB3" s="74">
        <v>438</v>
      </c>
    </row>
    <row r="4" spans="1:28" x14ac:dyDescent="0.25">
      <c r="A4" t="s">
        <v>183</v>
      </c>
      <c r="B4" t="s">
        <v>182</v>
      </c>
      <c r="C4" s="74">
        <v>9595.126747125765</v>
      </c>
      <c r="D4" s="74">
        <v>389.3019923950858</v>
      </c>
      <c r="E4" s="74">
        <v>388.8439155192479</v>
      </c>
      <c r="F4" s="74">
        <v>388.3858386434099</v>
      </c>
      <c r="G4" s="74">
        <v>387.92776176757195</v>
      </c>
      <c r="H4" s="74">
        <v>387.46968489173406</v>
      </c>
      <c r="I4" s="74">
        <v>387.0116080158961</v>
      </c>
      <c r="J4" s="74">
        <v>386.55353114005817</v>
      </c>
      <c r="K4" s="74">
        <v>386.0954542642202</v>
      </c>
      <c r="L4" s="74">
        <v>385.63737738838233</v>
      </c>
      <c r="M4" s="74">
        <v>385.17930051254433</v>
      </c>
      <c r="N4" s="74">
        <v>384.72122363670644</v>
      </c>
      <c r="O4" s="74">
        <v>384.2631467608685</v>
      </c>
      <c r="P4" s="74">
        <v>383.8050698850305</v>
      </c>
      <c r="Q4" s="74">
        <v>383.3469930091926</v>
      </c>
      <c r="R4" s="74">
        <v>382.88891613335466</v>
      </c>
      <c r="S4" s="74">
        <v>382.4308392575167</v>
      </c>
      <c r="T4" s="74">
        <v>381.9727623816788</v>
      </c>
      <c r="U4" s="74">
        <v>381.5146855058408</v>
      </c>
      <c r="V4" s="74">
        <v>381.05660863000287</v>
      </c>
      <c r="W4" s="74">
        <v>380.598531754165</v>
      </c>
      <c r="X4" s="74">
        <v>380.14045487832703</v>
      </c>
      <c r="Y4" s="74">
        <v>379.68237800248903</v>
      </c>
      <c r="Z4" s="74">
        <v>379.22430112665114</v>
      </c>
      <c r="AA4" s="74">
        <v>378.7662242508132</v>
      </c>
      <c r="AB4" s="74">
        <v>378.30814737497525</v>
      </c>
    </row>
    <row r="5" spans="1:28" x14ac:dyDescent="0.25">
      <c r="A5" t="s">
        <v>184</v>
      </c>
      <c r="B5" t="s">
        <v>8</v>
      </c>
      <c r="D5" s="72">
        <v>0.8888173342353557</v>
      </c>
      <c r="E5" s="72">
        <v>0.8877714966192874</v>
      </c>
      <c r="F5" s="72">
        <v>0.886725659003219</v>
      </c>
      <c r="G5" s="72">
        <v>0.8856798213871506</v>
      </c>
      <c r="H5" s="72">
        <v>0.8846339837710823</v>
      </c>
      <c r="I5" s="72">
        <v>0.8835881461550139</v>
      </c>
      <c r="J5" s="72">
        <v>0.8825423085389457</v>
      </c>
      <c r="K5" s="72">
        <v>0.8814964709228772</v>
      </c>
      <c r="L5" s="72">
        <v>0.880450633306809</v>
      </c>
      <c r="M5" s="72">
        <v>0.8794047956907405</v>
      </c>
      <c r="N5" s="72">
        <v>0.8783589580746722</v>
      </c>
      <c r="O5" s="72">
        <v>0.8773131204586039</v>
      </c>
      <c r="P5" s="72">
        <v>0.8762672828425354</v>
      </c>
      <c r="Q5" s="72">
        <v>0.875221445226467</v>
      </c>
      <c r="R5" s="72">
        <v>0.8741756076103987</v>
      </c>
      <c r="S5" s="72">
        <v>0.8731297699943305</v>
      </c>
      <c r="T5" s="72">
        <v>0.8720839323782621</v>
      </c>
      <c r="U5" s="72">
        <v>0.8710380947621936</v>
      </c>
      <c r="V5" s="72">
        <v>0.8699922571461253</v>
      </c>
      <c r="W5" s="72">
        <v>0.868946419530057</v>
      </c>
      <c r="X5" s="72">
        <v>0.8679005819139887</v>
      </c>
      <c r="Y5" s="72">
        <v>0.8668547442979202</v>
      </c>
      <c r="Z5" s="72">
        <v>0.8658089066818518</v>
      </c>
      <c r="AA5" s="72">
        <v>0.8647630690657835</v>
      </c>
      <c r="AB5" s="72">
        <v>0.8637172314497152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7.043367848320882</v>
      </c>
      <c r="E7" s="75">
        <v>7.043367848320882</v>
      </c>
      <c r="F7" s="75">
        <v>7.043367848320882</v>
      </c>
      <c r="G7" s="75">
        <v>7.043367848320882</v>
      </c>
      <c r="H7" s="75">
        <v>7.043367848320882</v>
      </c>
      <c r="I7" s="75">
        <v>7.043367848320882</v>
      </c>
      <c r="J7" s="75">
        <v>7.043367848320882</v>
      </c>
      <c r="K7" s="75">
        <v>7.043367848320882</v>
      </c>
      <c r="L7" s="75">
        <v>7.043367848320882</v>
      </c>
      <c r="M7" s="75">
        <v>7.043367848320882</v>
      </c>
      <c r="N7" s="75">
        <v>7.043367848320882</v>
      </c>
      <c r="O7" s="75">
        <v>7.043367848320882</v>
      </c>
      <c r="P7" s="75">
        <v>7.043367848320882</v>
      </c>
      <c r="Q7" s="75">
        <v>7.043367848320882</v>
      </c>
      <c r="R7" s="75">
        <v>7.043367848320882</v>
      </c>
      <c r="S7" s="75">
        <v>7.043367848320882</v>
      </c>
      <c r="T7" s="75">
        <v>7.043367848320882</v>
      </c>
      <c r="U7" s="75">
        <v>7.043367848320882</v>
      </c>
      <c r="V7" s="75">
        <v>7.043367848320882</v>
      </c>
      <c r="W7" s="75">
        <v>7.043367848320882</v>
      </c>
      <c r="X7" s="75">
        <v>7.043367848320882</v>
      </c>
      <c r="Y7" s="75">
        <v>7.043367848320882</v>
      </c>
      <c r="Z7" s="75">
        <v>7.043367848320882</v>
      </c>
      <c r="AA7" s="75">
        <v>7.043367848320882</v>
      </c>
      <c r="AB7" s="75">
        <v>7.043367848320882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6758.200723126933</v>
      </c>
      <c r="D9" s="76">
        <v>274.19971365228076</v>
      </c>
      <c r="E9" s="76">
        <v>273.8770732583472</v>
      </c>
      <c r="F9" s="76">
        <v>273.5544328644135</v>
      </c>
      <c r="G9" s="76">
        <v>273.2317924704799</v>
      </c>
      <c r="H9" s="76">
        <v>272.9091520765463</v>
      </c>
      <c r="I9" s="76">
        <v>272.5865116826127</v>
      </c>
      <c r="J9" s="76">
        <v>272.26387128867907</v>
      </c>
      <c r="K9" s="76">
        <v>271.94123089474544</v>
      </c>
      <c r="L9" s="76">
        <v>271.6185905008119</v>
      </c>
      <c r="M9" s="76">
        <v>271.2959501068782</v>
      </c>
      <c r="N9" s="76">
        <v>270.97330971294457</v>
      </c>
      <c r="O9" s="76">
        <v>270.65066931901094</v>
      </c>
      <c r="P9" s="76">
        <v>270.3280289250773</v>
      </c>
      <c r="Q9" s="76">
        <v>270.0053885311437</v>
      </c>
      <c r="R9" s="76">
        <v>269.68274813721007</v>
      </c>
      <c r="S9" s="76">
        <v>269.3601077432765</v>
      </c>
      <c r="T9" s="76">
        <v>269.0374673493429</v>
      </c>
      <c r="U9" s="76">
        <v>268.7148269554092</v>
      </c>
      <c r="V9" s="76">
        <v>268.3921865614756</v>
      </c>
      <c r="W9" s="76">
        <v>268.06954616754194</v>
      </c>
      <c r="X9" s="76">
        <v>267.7469057736084</v>
      </c>
      <c r="Y9" s="76">
        <v>267.4242653796747</v>
      </c>
      <c r="Z9" s="76">
        <v>267.10162498574107</v>
      </c>
      <c r="AA9" s="76">
        <v>266.7789845918075</v>
      </c>
      <c r="AB9" s="76">
        <v>266.4563441978739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680.282327013314</v>
      </c>
      <c r="D11" s="76">
        <v>25.424498275471105</v>
      </c>
      <c r="E11" s="76">
        <v>25.573397842559558</v>
      </c>
      <c r="F11" s="76">
        <v>25.722297409648014</v>
      </c>
      <c r="G11" s="76">
        <v>25.871196976736467</v>
      </c>
      <c r="H11" s="76">
        <v>26.02009654382492</v>
      </c>
      <c r="I11" s="76">
        <v>26.16899611091338</v>
      </c>
      <c r="J11" s="76">
        <v>26.317895678001836</v>
      </c>
      <c r="K11" s="76">
        <v>26.466795245090278</v>
      </c>
      <c r="L11" s="76">
        <v>26.61569481217874</v>
      </c>
      <c r="M11" s="76">
        <v>26.764594379267198</v>
      </c>
      <c r="N11" s="76">
        <v>26.913493946355647</v>
      </c>
      <c r="O11" s="76">
        <v>27.062393513444103</v>
      </c>
      <c r="P11" s="76">
        <v>27.21129308053256</v>
      </c>
      <c r="Q11" s="76">
        <v>27.360192647621012</v>
      </c>
      <c r="R11" s="76">
        <v>27.509092214709465</v>
      </c>
      <c r="S11" s="76">
        <v>27.657991781797918</v>
      </c>
      <c r="T11" s="76">
        <v>27.80689134888638</v>
      </c>
      <c r="U11" s="76">
        <v>27.95579091597483</v>
      </c>
      <c r="V11" s="76">
        <v>28.10469048306328</v>
      </c>
      <c r="W11" s="76">
        <v>28.253590050151743</v>
      </c>
      <c r="X11" s="76">
        <v>28.402489617240192</v>
      </c>
      <c r="Y11" s="76">
        <v>28.55138918432865</v>
      </c>
      <c r="Z11" s="76">
        <v>28.70028875141711</v>
      </c>
      <c r="AA11" s="76">
        <v>28.849188318505558</v>
      </c>
      <c r="AB11" s="76">
        <v>28.998087885594014</v>
      </c>
    </row>
    <row r="12" spans="1:28" s="14" customFormat="1" x14ac:dyDescent="0.25">
      <c r="A12" s="14" t="s">
        <v>195</v>
      </c>
      <c r="B12" s="14" t="s">
        <v>8</v>
      </c>
      <c r="C12" s="77">
        <v>6077.918396113618</v>
      </c>
      <c r="D12" s="77">
        <v>248.77521537680965</v>
      </c>
      <c r="E12" s="77">
        <v>248.30367541578764</v>
      </c>
      <c r="F12" s="77">
        <v>247.8321354547655</v>
      </c>
      <c r="G12" s="77">
        <v>247.36059549374343</v>
      </c>
      <c r="H12" s="77">
        <v>246.8890555327214</v>
      </c>
      <c r="I12" s="77">
        <v>246.4175155716993</v>
      </c>
      <c r="J12" s="77">
        <v>245.94597561067724</v>
      </c>
      <c r="K12" s="77">
        <v>245.47443564965516</v>
      </c>
      <c r="L12" s="77">
        <v>245.00289568863315</v>
      </c>
      <c r="M12" s="77">
        <v>244.531355727611</v>
      </c>
      <c r="N12" s="77">
        <v>244.0598157665889</v>
      </c>
      <c r="O12" s="77">
        <v>243.58827580556684</v>
      </c>
      <c r="P12" s="77">
        <v>243.11673584454476</v>
      </c>
      <c r="Q12" s="77">
        <v>242.6451958835227</v>
      </c>
      <c r="R12" s="77">
        <v>242.17365592250061</v>
      </c>
      <c r="S12" s="77">
        <v>241.70211596147857</v>
      </c>
      <c r="T12" s="77">
        <v>241.2305760004565</v>
      </c>
      <c r="U12" s="77">
        <v>240.75903603943436</v>
      </c>
      <c r="V12" s="77">
        <v>240.28749607841235</v>
      </c>
      <c r="W12" s="77">
        <v>239.81595611739021</v>
      </c>
      <c r="X12" s="77">
        <v>239.3444161563682</v>
      </c>
      <c r="Y12" s="77">
        <v>238.87287619534604</v>
      </c>
      <c r="Z12" s="77">
        <v>238.40133623432396</v>
      </c>
      <c r="AA12" s="77">
        <v>237.92979627330195</v>
      </c>
      <c r="AB12" s="77">
        <v>237.45825631227987</v>
      </c>
    </row>
    <row r="13" spans="1:1" s="5" customFormat="1" x14ac:dyDescent="0.25">
      <c r="A13" s="5" t="s">
        <v>196</v>
      </c>
    </row>
    <row r="14" spans="1:28" x14ac:dyDescent="0.25">
      <c r="A14" t="s">
        <v>308</v>
      </c>
      <c r="B14" t="s">
        <v>8</v>
      </c>
      <c r="C14" s="76">
        <v>806.4539523193747</v>
      </c>
      <c r="D14" s="76">
        <v>16.897191999766655</v>
      </c>
      <c r="E14" s="76">
        <v>17.742051599754987</v>
      </c>
      <c r="F14" s="76">
        <v>18.629154179742738</v>
      </c>
      <c r="G14" s="76">
        <v>19.560611888729877</v>
      </c>
      <c r="H14" s="76">
        <v>20.53864248316637</v>
      </c>
      <c r="I14" s="76">
        <v>21.56557460732469</v>
      </c>
      <c r="J14" s="76">
        <v>22.643853337690928</v>
      </c>
      <c r="K14" s="76">
        <v>23.776046004575473</v>
      </c>
      <c r="L14" s="76">
        <v>24.96484830480425</v>
      </c>
      <c r="M14" s="76">
        <v>26.213090720044463</v>
      </c>
      <c r="N14" s="76">
        <v>27.523745256046684</v>
      </c>
      <c r="O14" s="76">
        <v>28.89993251884902</v>
      </c>
      <c r="P14" s="76">
        <v>30.34492914479147</v>
      </c>
      <c r="Q14" s="76">
        <v>31.862175602031048</v>
      </c>
      <c r="R14" s="76">
        <v>33.455284382132604</v>
      </c>
      <c r="S14" s="76">
        <v>35.128048601239236</v>
      </c>
      <c r="T14" s="76">
        <v>36.8844510313012</v>
      </c>
      <c r="U14" s="76">
        <v>38.72867358286626</v>
      </c>
      <c r="V14" s="76">
        <v>40.66510726200957</v>
      </c>
      <c r="W14" s="76">
        <v>42.69836262511006</v>
      </c>
      <c r="X14" s="76">
        <v>44.83328075636555</v>
      </c>
      <c r="Y14" s="76">
        <v>47.074944794183835</v>
      </c>
      <c r="Z14" s="76">
        <v>49.428692033893036</v>
      </c>
      <c r="AA14" s="76">
        <v>51.90012663558768</v>
      </c>
      <c r="AB14" s="76">
        <v>54.49513296736707</v>
      </c>
    </row>
    <row r="15" spans="1:28" x14ac:dyDescent="0.25">
      <c r="A15" t="s">
        <v>126</v>
      </c>
      <c r="B15" t="s">
        <v>8</v>
      </c>
      <c r="C15" s="76">
        <v>112.99802346732822</v>
      </c>
      <c r="D15" s="76">
        <v>4.519920938693127</v>
      </c>
      <c r="E15" s="76">
        <v>4.519920938693127</v>
      </c>
      <c r="F15" s="76">
        <v>4.519920938693127</v>
      </c>
      <c r="G15" s="76">
        <v>4.519920938693127</v>
      </c>
      <c r="H15" s="76">
        <v>4.519920938693127</v>
      </c>
      <c r="I15" s="76">
        <v>4.519920938693127</v>
      </c>
      <c r="J15" s="76">
        <v>4.519920938693127</v>
      </c>
      <c r="K15" s="76">
        <v>4.519920938693127</v>
      </c>
      <c r="L15" s="76">
        <v>4.519920938693127</v>
      </c>
      <c r="M15" s="76">
        <v>4.519920938693127</v>
      </c>
      <c r="N15" s="76">
        <v>4.519920938693127</v>
      </c>
      <c r="O15" s="76">
        <v>4.519920938693127</v>
      </c>
      <c r="P15" s="76">
        <v>4.519920938693127</v>
      </c>
      <c r="Q15" s="76">
        <v>4.519920938693127</v>
      </c>
      <c r="R15" s="76">
        <v>4.519920938693127</v>
      </c>
      <c r="S15" s="76">
        <v>4.519920938693127</v>
      </c>
      <c r="T15" s="76">
        <v>4.519920938693127</v>
      </c>
      <c r="U15" s="76">
        <v>4.519920938693127</v>
      </c>
      <c r="V15" s="76">
        <v>4.519920938693127</v>
      </c>
      <c r="W15" s="76">
        <v>4.519920938693127</v>
      </c>
      <c r="X15" s="76">
        <v>4.519920938693127</v>
      </c>
      <c r="Y15" s="76">
        <v>4.519920938693127</v>
      </c>
      <c r="Z15" s="76">
        <v>4.519920938693127</v>
      </c>
      <c r="AA15" s="76">
        <v>4.519920938693127</v>
      </c>
      <c r="AB15" s="76">
        <v>4.519920938693127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919.4519757867032</v>
      </c>
      <c r="D17" s="77">
        <v>21.41711293845978</v>
      </c>
      <c r="E17" s="77">
        <v>22.261972538448113</v>
      </c>
      <c r="F17" s="77">
        <v>23.149075118435864</v>
      </c>
      <c r="G17" s="77">
        <v>24.080532827423003</v>
      </c>
      <c r="H17" s="77">
        <v>25.058563421859496</v>
      </c>
      <c r="I17" s="77">
        <v>26.085495546017818</v>
      </c>
      <c r="J17" s="77">
        <v>27.163774276384054</v>
      </c>
      <c r="K17" s="77">
        <v>28.2959669432686</v>
      </c>
      <c r="L17" s="77">
        <v>29.484769243497375</v>
      </c>
      <c r="M17" s="77">
        <v>30.73301165873759</v>
      </c>
      <c r="N17" s="77">
        <v>32.043666194739814</v>
      </c>
      <c r="O17" s="77">
        <v>33.419853457542146</v>
      </c>
      <c r="P17" s="77">
        <v>34.8648500834846</v>
      </c>
      <c r="Q17" s="77">
        <v>36.38209654072418</v>
      </c>
      <c r="R17" s="77">
        <v>37.97520532082573</v>
      </c>
      <c r="S17" s="77">
        <v>39.64796953993236</v>
      </c>
      <c r="T17" s="77">
        <v>41.40437196999432</v>
      </c>
      <c r="U17" s="77">
        <v>43.24859452155938</v>
      </c>
      <c r="V17" s="77">
        <v>45.185028200702696</v>
      </c>
      <c r="W17" s="77">
        <v>47.21828356380318</v>
      </c>
      <c r="X17" s="77">
        <v>49.35320169505868</v>
      </c>
      <c r="Y17" s="77">
        <v>51.59486573287696</v>
      </c>
      <c r="Z17" s="77">
        <v>53.94861297258616</v>
      </c>
      <c r="AA17" s="77">
        <v>56.42004757428081</v>
      </c>
      <c r="AB17" s="77">
        <v>59.015053906060196</v>
      </c>
    </row>
    <row r="18" spans="1:1" s="5" customFormat="1" x14ac:dyDescent="0.25">
      <c r="A18" s="5" t="s">
        <v>354</v>
      </c>
    </row>
    <row r="19" spans="1:28" x14ac:dyDescent="0.25">
      <c r="A19" t="s">
        <v>143</v>
      </c>
      <c r="B19" t="s">
        <v>8</v>
      </c>
      <c r="C19" s="76">
        <v>243.60963038123595</v>
      </c>
      <c r="D19" s="76">
        <v>0</v>
      </c>
      <c r="E19" s="76">
        <v>10.150401265884836</v>
      </c>
      <c r="F19" s="76">
        <v>10.150401265884836</v>
      </c>
      <c r="G19" s="76">
        <v>10.150401265884836</v>
      </c>
      <c r="H19" s="76">
        <v>10.150401265884836</v>
      </c>
      <c r="I19" s="76">
        <v>10.150401265884836</v>
      </c>
      <c r="J19" s="76">
        <v>10.150401265884836</v>
      </c>
      <c r="K19" s="76">
        <v>10.150401265884836</v>
      </c>
      <c r="L19" s="76">
        <v>10.150401265884836</v>
      </c>
      <c r="M19" s="76">
        <v>10.150401265884836</v>
      </c>
      <c r="N19" s="76">
        <v>10.150401265884836</v>
      </c>
      <c r="O19" s="76">
        <v>10.150401265884836</v>
      </c>
      <c r="P19" s="76">
        <v>10.150401265884836</v>
      </c>
      <c r="Q19" s="76">
        <v>10.150401265884836</v>
      </c>
      <c r="R19" s="76">
        <v>10.150401265884836</v>
      </c>
      <c r="S19" s="76">
        <v>10.150401265884836</v>
      </c>
      <c r="T19" s="76">
        <v>10.150401265884836</v>
      </c>
      <c r="U19" s="76">
        <v>10.150401265884836</v>
      </c>
      <c r="V19" s="76">
        <v>10.150401265884836</v>
      </c>
      <c r="W19" s="76">
        <v>10.150401265884836</v>
      </c>
      <c r="X19" s="76">
        <v>10.150401265884836</v>
      </c>
      <c r="Y19" s="76">
        <v>10.150401265884836</v>
      </c>
      <c r="Z19" s="76">
        <v>10.150401265884836</v>
      </c>
      <c r="AA19" s="76">
        <v>10.150401265884836</v>
      </c>
      <c r="AB19" s="76">
        <v>10.150401265884836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1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327</v>
      </c>
      <c r="D1" s="67" t="s">
        <v>328</v>
      </c>
      <c r="E1" s="67" t="s">
        <v>329</v>
      </c>
      <c r="F1" s="67" t="s">
        <v>330</v>
      </c>
      <c r="G1" s="67" t="s">
        <v>331</v>
      </c>
      <c r="H1" s="67" t="s">
        <v>332</v>
      </c>
      <c r="I1" s="67" t="s">
        <v>333</v>
      </c>
      <c r="J1" s="67" t="s">
        <v>334</v>
      </c>
      <c r="K1" s="67" t="s">
        <v>335</v>
      </c>
      <c r="L1" s="67" t="s">
        <v>336</v>
      </c>
      <c r="M1" s="67" t="s">
        <v>337</v>
      </c>
      <c r="N1" s="67" t="s">
        <v>338</v>
      </c>
      <c r="O1" s="67" t="s">
        <v>339</v>
      </c>
      <c r="P1" s="67" t="s">
        <v>340</v>
      </c>
      <c r="Q1" s="67" t="s">
        <v>341</v>
      </c>
      <c r="R1" s="67" t="s">
        <v>342</v>
      </c>
      <c r="S1" s="67" t="s">
        <v>343</v>
      </c>
      <c r="T1" s="67" t="s">
        <v>344</v>
      </c>
      <c r="U1" s="67" t="s">
        <v>345</v>
      </c>
      <c r="V1" s="67" t="s">
        <v>346</v>
      </c>
      <c r="W1" s="67" t="s">
        <v>347</v>
      </c>
      <c r="X1" s="67" t="s">
        <v>348</v>
      </c>
      <c r="Y1" s="67" t="s">
        <v>349</v>
      </c>
      <c r="Z1" s="67" t="s">
        <v>350</v>
      </c>
      <c r="AA1" s="67" t="s">
        <v>351</v>
      </c>
      <c r="AB1" s="67" t="s">
        <v>352</v>
      </c>
    </row>
    <row r="2" spans="1:1" s="5" customFormat="1" x14ac:dyDescent="0.25">
      <c r="A2" s="5" t="s">
        <v>353</v>
      </c>
    </row>
    <row r="3" spans="1:28" x14ac:dyDescent="0.25">
      <c r="A3" t="s">
        <v>181</v>
      </c>
      <c r="B3" t="s">
        <v>182</v>
      </c>
      <c r="C3" s="74">
        <v>10950</v>
      </c>
      <c r="D3" s="74">
        <v>438</v>
      </c>
      <c r="E3" s="74">
        <v>438</v>
      </c>
      <c r="F3" s="74">
        <v>438</v>
      </c>
      <c r="G3" s="74">
        <v>438</v>
      </c>
      <c r="H3" s="74">
        <v>438</v>
      </c>
      <c r="I3" s="74">
        <v>438</v>
      </c>
      <c r="J3" s="74">
        <v>438</v>
      </c>
      <c r="K3" s="74">
        <v>438</v>
      </c>
      <c r="L3" s="74">
        <v>438</v>
      </c>
      <c r="M3" s="74">
        <v>438</v>
      </c>
      <c r="N3" s="74">
        <v>438</v>
      </c>
      <c r="O3" s="74">
        <v>438</v>
      </c>
      <c r="P3" s="74">
        <v>438</v>
      </c>
      <c r="Q3" s="74">
        <v>438</v>
      </c>
      <c r="R3" s="74">
        <v>438</v>
      </c>
      <c r="S3" s="74">
        <v>438</v>
      </c>
      <c r="T3" s="74">
        <v>438</v>
      </c>
      <c r="U3" s="74">
        <v>438</v>
      </c>
      <c r="V3" s="74">
        <v>438</v>
      </c>
      <c r="W3" s="74">
        <v>438</v>
      </c>
      <c r="X3" s="74">
        <v>438</v>
      </c>
      <c r="Y3" s="74">
        <v>438</v>
      </c>
      <c r="Z3" s="74">
        <v>438</v>
      </c>
      <c r="AA3" s="74">
        <v>438</v>
      </c>
      <c r="AB3" s="74">
        <v>438</v>
      </c>
    </row>
    <row r="4" spans="1:28" x14ac:dyDescent="0.25">
      <c r="A4" t="s">
        <v>183</v>
      </c>
      <c r="B4" t="s">
        <v>182</v>
      </c>
      <c r="C4" s="74">
        <v>9595.126747125765</v>
      </c>
      <c r="D4" s="74">
        <v>389.3019923950858</v>
      </c>
      <c r="E4" s="74">
        <v>388.8439155192479</v>
      </c>
      <c r="F4" s="74">
        <v>388.3858386434099</v>
      </c>
      <c r="G4" s="74">
        <v>387.92776176757195</v>
      </c>
      <c r="H4" s="74">
        <v>387.46968489173406</v>
      </c>
      <c r="I4" s="74">
        <v>387.0116080158961</v>
      </c>
      <c r="J4" s="74">
        <v>386.55353114005817</v>
      </c>
      <c r="K4" s="74">
        <v>386.0954542642202</v>
      </c>
      <c r="L4" s="74">
        <v>385.63737738838233</v>
      </c>
      <c r="M4" s="74">
        <v>385.17930051254433</v>
      </c>
      <c r="N4" s="74">
        <v>384.72122363670644</v>
      </c>
      <c r="O4" s="74">
        <v>384.2631467608685</v>
      </c>
      <c r="P4" s="74">
        <v>383.8050698850305</v>
      </c>
      <c r="Q4" s="74">
        <v>383.3469930091926</v>
      </c>
      <c r="R4" s="74">
        <v>382.88891613335466</v>
      </c>
      <c r="S4" s="74">
        <v>382.4308392575167</v>
      </c>
      <c r="T4" s="74">
        <v>381.9727623816788</v>
      </c>
      <c r="U4" s="74">
        <v>381.5146855058408</v>
      </c>
      <c r="V4" s="74">
        <v>381.05660863000287</v>
      </c>
      <c r="W4" s="74">
        <v>380.598531754165</v>
      </c>
      <c r="X4" s="74">
        <v>380.14045487832703</v>
      </c>
      <c r="Y4" s="74">
        <v>379.68237800248903</v>
      </c>
      <c r="Z4" s="74">
        <v>379.22430112665114</v>
      </c>
      <c r="AA4" s="74">
        <v>378.7662242508132</v>
      </c>
      <c r="AB4" s="74">
        <v>378.30814737497525</v>
      </c>
    </row>
    <row r="5" spans="1:28" x14ac:dyDescent="0.25">
      <c r="A5" t="s">
        <v>184</v>
      </c>
      <c r="B5" t="s">
        <v>8</v>
      </c>
      <c r="D5" s="72">
        <v>0.8888173342353557</v>
      </c>
      <c r="E5" s="72">
        <v>0.8877714966192874</v>
      </c>
      <c r="F5" s="72">
        <v>0.886725659003219</v>
      </c>
      <c r="G5" s="72">
        <v>0.8856798213871506</v>
      </c>
      <c r="H5" s="72">
        <v>0.8846339837710823</v>
      </c>
      <c r="I5" s="72">
        <v>0.8835881461550139</v>
      </c>
      <c r="J5" s="72">
        <v>0.8825423085389457</v>
      </c>
      <c r="K5" s="72">
        <v>0.8814964709228772</v>
      </c>
      <c r="L5" s="72">
        <v>0.880450633306809</v>
      </c>
      <c r="M5" s="72">
        <v>0.8794047956907405</v>
      </c>
      <c r="N5" s="72">
        <v>0.8783589580746722</v>
      </c>
      <c r="O5" s="72">
        <v>0.8773131204586039</v>
      </c>
      <c r="P5" s="72">
        <v>0.8762672828425354</v>
      </c>
      <c r="Q5" s="72">
        <v>0.875221445226467</v>
      </c>
      <c r="R5" s="72">
        <v>0.8741756076103987</v>
      </c>
      <c r="S5" s="72">
        <v>0.8731297699943305</v>
      </c>
      <c r="T5" s="72">
        <v>0.8720839323782621</v>
      </c>
      <c r="U5" s="72">
        <v>0.8710380947621936</v>
      </c>
      <c r="V5" s="72">
        <v>0.8699922571461253</v>
      </c>
      <c r="W5" s="72">
        <v>0.868946419530057</v>
      </c>
      <c r="X5" s="72">
        <v>0.8679005819139887</v>
      </c>
      <c r="Y5" s="72">
        <v>0.8668547442979202</v>
      </c>
      <c r="Z5" s="72">
        <v>0.8658089066818518</v>
      </c>
      <c r="AA5" s="72">
        <v>0.8647630690657835</v>
      </c>
      <c r="AB5" s="72">
        <v>0.8637172314497152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7.043367848320882</v>
      </c>
      <c r="E7" s="75">
        <v>7.043367848320882</v>
      </c>
      <c r="F7" s="75">
        <v>7.043367848320882</v>
      </c>
      <c r="G7" s="75">
        <v>7.043367848320882</v>
      </c>
      <c r="H7" s="75">
        <v>7.043367848320882</v>
      </c>
      <c r="I7" s="75">
        <v>7.043367848320882</v>
      </c>
      <c r="J7" s="75">
        <v>7.043367848320882</v>
      </c>
      <c r="K7" s="75">
        <v>7.043367848320882</v>
      </c>
      <c r="L7" s="75">
        <v>7.043367848320882</v>
      </c>
      <c r="M7" s="75">
        <v>7.043367848320882</v>
      </c>
      <c r="N7" s="75">
        <v>7.043367848320882</v>
      </c>
      <c r="O7" s="75">
        <v>7.043367848320882</v>
      </c>
      <c r="P7" s="75">
        <v>7.043367848320882</v>
      </c>
      <c r="Q7" s="75">
        <v>7.043367848320882</v>
      </c>
      <c r="R7" s="75">
        <v>7.043367848320882</v>
      </c>
      <c r="S7" s="75">
        <v>7.043367848320882</v>
      </c>
      <c r="T7" s="75">
        <v>7.043367848320882</v>
      </c>
      <c r="U7" s="75">
        <v>7.043367848320882</v>
      </c>
      <c r="V7" s="75">
        <v>7.043367848320882</v>
      </c>
      <c r="W7" s="75">
        <v>7.043367848320882</v>
      </c>
      <c r="X7" s="75">
        <v>7.043367848320882</v>
      </c>
      <c r="Y7" s="75">
        <v>7.043367848320882</v>
      </c>
      <c r="Z7" s="75">
        <v>7.043367848320882</v>
      </c>
      <c r="AA7" s="75">
        <v>7.043367848320882</v>
      </c>
      <c r="AB7" s="75">
        <v>7.043367848320882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6758.200723126933</v>
      </c>
      <c r="D9" s="76">
        <v>274.19971365228076</v>
      </c>
      <c r="E9" s="76">
        <v>273.8770732583472</v>
      </c>
      <c r="F9" s="76">
        <v>273.5544328644135</v>
      </c>
      <c r="G9" s="76">
        <v>273.2317924704799</v>
      </c>
      <c r="H9" s="76">
        <v>272.9091520765463</v>
      </c>
      <c r="I9" s="76">
        <v>272.5865116826127</v>
      </c>
      <c r="J9" s="76">
        <v>272.26387128867907</v>
      </c>
      <c r="K9" s="76">
        <v>271.94123089474544</v>
      </c>
      <c r="L9" s="76">
        <v>271.6185905008119</v>
      </c>
      <c r="M9" s="76">
        <v>271.2959501068782</v>
      </c>
      <c r="N9" s="76">
        <v>270.97330971294457</v>
      </c>
      <c r="O9" s="76">
        <v>270.65066931901094</v>
      </c>
      <c r="P9" s="76">
        <v>270.3280289250773</v>
      </c>
      <c r="Q9" s="76">
        <v>270.0053885311437</v>
      </c>
      <c r="R9" s="76">
        <v>269.68274813721007</v>
      </c>
      <c r="S9" s="76">
        <v>269.3601077432765</v>
      </c>
      <c r="T9" s="76">
        <v>269.0374673493429</v>
      </c>
      <c r="U9" s="76">
        <v>268.7148269554092</v>
      </c>
      <c r="V9" s="76">
        <v>268.3921865614756</v>
      </c>
      <c r="W9" s="76">
        <v>268.06954616754194</v>
      </c>
      <c r="X9" s="76">
        <v>267.7469057736084</v>
      </c>
      <c r="Y9" s="76">
        <v>267.4242653796747</v>
      </c>
      <c r="Z9" s="76">
        <v>267.10162498574107</v>
      </c>
      <c r="AA9" s="76">
        <v>266.7789845918075</v>
      </c>
      <c r="AB9" s="76">
        <v>266.4563441978739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680.282327013314</v>
      </c>
      <c r="D11" s="76">
        <v>25.424498275471105</v>
      </c>
      <c r="E11" s="76">
        <v>25.573397842559558</v>
      </c>
      <c r="F11" s="76">
        <v>25.722297409648014</v>
      </c>
      <c r="G11" s="76">
        <v>25.871196976736467</v>
      </c>
      <c r="H11" s="76">
        <v>26.02009654382492</v>
      </c>
      <c r="I11" s="76">
        <v>26.16899611091338</v>
      </c>
      <c r="J11" s="76">
        <v>26.317895678001836</v>
      </c>
      <c r="K11" s="76">
        <v>26.466795245090278</v>
      </c>
      <c r="L11" s="76">
        <v>26.61569481217874</v>
      </c>
      <c r="M11" s="76">
        <v>26.764594379267198</v>
      </c>
      <c r="N11" s="76">
        <v>26.913493946355647</v>
      </c>
      <c r="O11" s="76">
        <v>27.062393513444103</v>
      </c>
      <c r="P11" s="76">
        <v>27.21129308053256</v>
      </c>
      <c r="Q11" s="76">
        <v>27.360192647621012</v>
      </c>
      <c r="R11" s="76">
        <v>27.509092214709465</v>
      </c>
      <c r="S11" s="76">
        <v>27.657991781797918</v>
      </c>
      <c r="T11" s="76">
        <v>27.80689134888638</v>
      </c>
      <c r="U11" s="76">
        <v>27.95579091597483</v>
      </c>
      <c r="V11" s="76">
        <v>28.10469048306328</v>
      </c>
      <c r="W11" s="76">
        <v>28.253590050151743</v>
      </c>
      <c r="X11" s="76">
        <v>28.402489617240192</v>
      </c>
      <c r="Y11" s="76">
        <v>28.55138918432865</v>
      </c>
      <c r="Z11" s="76">
        <v>28.70028875141711</v>
      </c>
      <c r="AA11" s="76">
        <v>28.849188318505558</v>
      </c>
      <c r="AB11" s="76">
        <v>28.998087885594014</v>
      </c>
    </row>
    <row r="12" spans="1:28" s="14" customFormat="1" x14ac:dyDescent="0.25">
      <c r="A12" s="14" t="s">
        <v>195</v>
      </c>
      <c r="B12" s="14" t="s">
        <v>8</v>
      </c>
      <c r="C12" s="77">
        <v>6077.918396113618</v>
      </c>
      <c r="D12" s="77">
        <v>248.77521537680965</v>
      </c>
      <c r="E12" s="77">
        <v>248.30367541578764</v>
      </c>
      <c r="F12" s="77">
        <v>247.8321354547655</v>
      </c>
      <c r="G12" s="77">
        <v>247.36059549374343</v>
      </c>
      <c r="H12" s="77">
        <v>246.8890555327214</v>
      </c>
      <c r="I12" s="77">
        <v>246.4175155716993</v>
      </c>
      <c r="J12" s="77">
        <v>245.94597561067724</v>
      </c>
      <c r="K12" s="77">
        <v>245.47443564965516</v>
      </c>
      <c r="L12" s="77">
        <v>245.00289568863315</v>
      </c>
      <c r="M12" s="77">
        <v>244.531355727611</v>
      </c>
      <c r="N12" s="77">
        <v>244.0598157665889</v>
      </c>
      <c r="O12" s="77">
        <v>243.58827580556684</v>
      </c>
      <c r="P12" s="77">
        <v>243.11673584454476</v>
      </c>
      <c r="Q12" s="77">
        <v>242.6451958835227</v>
      </c>
      <c r="R12" s="77">
        <v>242.17365592250061</v>
      </c>
      <c r="S12" s="77">
        <v>241.70211596147857</v>
      </c>
      <c r="T12" s="77">
        <v>241.2305760004565</v>
      </c>
      <c r="U12" s="77">
        <v>240.75903603943436</v>
      </c>
      <c r="V12" s="77">
        <v>240.28749607841235</v>
      </c>
      <c r="W12" s="77">
        <v>239.81595611739021</v>
      </c>
      <c r="X12" s="77">
        <v>239.3444161563682</v>
      </c>
      <c r="Y12" s="77">
        <v>238.87287619534604</v>
      </c>
      <c r="Z12" s="77">
        <v>238.40133623432396</v>
      </c>
      <c r="AA12" s="77">
        <v>237.92979627330195</v>
      </c>
      <c r="AB12" s="77">
        <v>237.45825631227987</v>
      </c>
    </row>
    <row r="13" spans="1:1" s="5" customFormat="1" x14ac:dyDescent="0.25">
      <c r="A13" s="5" t="s">
        <v>196</v>
      </c>
    </row>
    <row r="14" spans="1:28" x14ac:dyDescent="0.25">
      <c r="A14" t="s">
        <v>308</v>
      </c>
      <c r="B14" t="s">
        <v>8</v>
      </c>
      <c r="C14" s="76">
        <v>806.4539523193747</v>
      </c>
      <c r="D14" s="76">
        <v>16.897191999766655</v>
      </c>
      <c r="E14" s="76">
        <v>17.742051599754987</v>
      </c>
      <c r="F14" s="76">
        <v>18.629154179742738</v>
      </c>
      <c r="G14" s="76">
        <v>19.560611888729877</v>
      </c>
      <c r="H14" s="76">
        <v>20.53864248316637</v>
      </c>
      <c r="I14" s="76">
        <v>21.56557460732469</v>
      </c>
      <c r="J14" s="76">
        <v>22.643853337690928</v>
      </c>
      <c r="K14" s="76">
        <v>23.776046004575473</v>
      </c>
      <c r="L14" s="76">
        <v>24.96484830480425</v>
      </c>
      <c r="M14" s="76">
        <v>26.213090720044463</v>
      </c>
      <c r="N14" s="76">
        <v>27.523745256046684</v>
      </c>
      <c r="O14" s="76">
        <v>28.89993251884902</v>
      </c>
      <c r="P14" s="76">
        <v>30.34492914479147</v>
      </c>
      <c r="Q14" s="76">
        <v>31.862175602031048</v>
      </c>
      <c r="R14" s="76">
        <v>33.455284382132604</v>
      </c>
      <c r="S14" s="76">
        <v>35.128048601239236</v>
      </c>
      <c r="T14" s="76">
        <v>36.8844510313012</v>
      </c>
      <c r="U14" s="76">
        <v>38.72867358286626</v>
      </c>
      <c r="V14" s="76">
        <v>40.66510726200957</v>
      </c>
      <c r="W14" s="76">
        <v>42.69836262511006</v>
      </c>
      <c r="X14" s="76">
        <v>44.83328075636555</v>
      </c>
      <c r="Y14" s="76">
        <v>47.074944794183835</v>
      </c>
      <c r="Z14" s="76">
        <v>49.428692033893036</v>
      </c>
      <c r="AA14" s="76">
        <v>51.90012663558768</v>
      </c>
      <c r="AB14" s="76">
        <v>54.49513296736707</v>
      </c>
    </row>
    <row r="15" spans="1:28" x14ac:dyDescent="0.25">
      <c r="A15" t="s">
        <v>126</v>
      </c>
      <c r="B15" t="s">
        <v>8</v>
      </c>
      <c r="C15" s="76">
        <v>112.99802346732822</v>
      </c>
      <c r="D15" s="76">
        <v>4.519920938693127</v>
      </c>
      <c r="E15" s="76">
        <v>4.519920938693127</v>
      </c>
      <c r="F15" s="76">
        <v>4.519920938693127</v>
      </c>
      <c r="G15" s="76">
        <v>4.519920938693127</v>
      </c>
      <c r="H15" s="76">
        <v>4.519920938693127</v>
      </c>
      <c r="I15" s="76">
        <v>4.519920938693127</v>
      </c>
      <c r="J15" s="76">
        <v>4.519920938693127</v>
      </c>
      <c r="K15" s="76">
        <v>4.519920938693127</v>
      </c>
      <c r="L15" s="76">
        <v>4.519920938693127</v>
      </c>
      <c r="M15" s="76">
        <v>4.519920938693127</v>
      </c>
      <c r="N15" s="76">
        <v>4.519920938693127</v>
      </c>
      <c r="O15" s="76">
        <v>4.519920938693127</v>
      </c>
      <c r="P15" s="76">
        <v>4.519920938693127</v>
      </c>
      <c r="Q15" s="76">
        <v>4.519920938693127</v>
      </c>
      <c r="R15" s="76">
        <v>4.519920938693127</v>
      </c>
      <c r="S15" s="76">
        <v>4.519920938693127</v>
      </c>
      <c r="T15" s="76">
        <v>4.519920938693127</v>
      </c>
      <c r="U15" s="76">
        <v>4.519920938693127</v>
      </c>
      <c r="V15" s="76">
        <v>4.519920938693127</v>
      </c>
      <c r="W15" s="76">
        <v>4.519920938693127</v>
      </c>
      <c r="X15" s="76">
        <v>4.519920938693127</v>
      </c>
      <c r="Y15" s="76">
        <v>4.519920938693127</v>
      </c>
      <c r="Z15" s="76">
        <v>4.519920938693127</v>
      </c>
      <c r="AA15" s="76">
        <v>4.519920938693127</v>
      </c>
      <c r="AB15" s="76">
        <v>4.519920938693127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919.4519757867032</v>
      </c>
      <c r="D17" s="77">
        <v>21.41711293845978</v>
      </c>
      <c r="E17" s="77">
        <v>22.261972538448113</v>
      </c>
      <c r="F17" s="77">
        <v>23.149075118435864</v>
      </c>
      <c r="G17" s="77">
        <v>24.080532827423003</v>
      </c>
      <c r="H17" s="77">
        <v>25.058563421859496</v>
      </c>
      <c r="I17" s="77">
        <v>26.085495546017818</v>
      </c>
      <c r="J17" s="77">
        <v>27.163774276384054</v>
      </c>
      <c r="K17" s="77">
        <v>28.2959669432686</v>
      </c>
      <c r="L17" s="77">
        <v>29.484769243497375</v>
      </c>
      <c r="M17" s="77">
        <v>30.73301165873759</v>
      </c>
      <c r="N17" s="77">
        <v>32.043666194739814</v>
      </c>
      <c r="O17" s="77">
        <v>33.419853457542146</v>
      </c>
      <c r="P17" s="77">
        <v>34.8648500834846</v>
      </c>
      <c r="Q17" s="77">
        <v>36.38209654072418</v>
      </c>
      <c r="R17" s="77">
        <v>37.97520532082573</v>
      </c>
      <c r="S17" s="77">
        <v>39.64796953993236</v>
      </c>
      <c r="T17" s="77">
        <v>41.40437196999432</v>
      </c>
      <c r="U17" s="77">
        <v>43.24859452155938</v>
      </c>
      <c r="V17" s="77">
        <v>45.185028200702696</v>
      </c>
      <c r="W17" s="77">
        <v>47.21828356380318</v>
      </c>
      <c r="X17" s="77">
        <v>49.35320169505868</v>
      </c>
      <c r="Y17" s="77">
        <v>51.59486573287696</v>
      </c>
      <c r="Z17" s="77">
        <v>53.94861297258616</v>
      </c>
      <c r="AA17" s="77">
        <v>56.42004757428081</v>
      </c>
      <c r="AB17" s="77">
        <v>59.015053906060196</v>
      </c>
    </row>
    <row r="18" spans="1:1" s="5" customFormat="1" x14ac:dyDescent="0.25">
      <c r="A18" s="5" t="s">
        <v>213</v>
      </c>
    </row>
    <row r="19" spans="1:28" s="14" customFormat="1" x14ac:dyDescent="0.25">
      <c r="A19" s="14" t="s">
        <v>198</v>
      </c>
      <c r="B19" s="14" t="s">
        <v>8</v>
      </c>
      <c r="C19" s="77">
        <v>5158.466420326916</v>
      </c>
      <c r="D19" s="77">
        <v>227.35810243834987</v>
      </c>
      <c r="E19" s="77">
        <v>226.04170287733953</v>
      </c>
      <c r="F19" s="77">
        <v>224.68306033632965</v>
      </c>
      <c r="G19" s="77">
        <v>223.28006266632042</v>
      </c>
      <c r="H19" s="77">
        <v>221.83049211086188</v>
      </c>
      <c r="I19" s="77">
        <v>220.3320200256815</v>
      </c>
      <c r="J19" s="77">
        <v>218.78220133429318</v>
      </c>
      <c r="K19" s="77">
        <v>217.17846870638655</v>
      </c>
      <c r="L19" s="77">
        <v>215.51812644513578</v>
      </c>
      <c r="M19" s="77">
        <v>213.7983440688734</v>
      </c>
      <c r="N19" s="77">
        <v>212.0161495718491</v>
      </c>
      <c r="O19" s="77">
        <v>210.1684223480247</v>
      </c>
      <c r="P19" s="77">
        <v>208.25188576106018</v>
      </c>
      <c r="Q19" s="77">
        <v>206.2630993427985</v>
      </c>
      <c r="R19" s="77">
        <v>204.1984506016749</v>
      </c>
      <c r="S19" s="77">
        <v>202.0541464215462</v>
      </c>
      <c r="T19" s="77">
        <v>199.82620403046218</v>
      </c>
      <c r="U19" s="77">
        <v>197.510441517875</v>
      </c>
      <c r="V19" s="77">
        <v>195.10246787770964</v>
      </c>
      <c r="W19" s="77">
        <v>192.59767255358702</v>
      </c>
      <c r="X19" s="77">
        <v>189.9912144613095</v>
      </c>
      <c r="Y19" s="77">
        <v>187.27801046246907</v>
      </c>
      <c r="Z19" s="77">
        <v>184.4527232617378</v>
      </c>
      <c r="AA19" s="77">
        <v>181.50974869902115</v>
      </c>
      <c r="AB19" s="77">
        <v>178.44320240621968</v>
      </c>
    </row>
    <row r="20" spans="1:28" x14ac:dyDescent="0.25">
      <c r="A20" t="s">
        <v>201</v>
      </c>
      <c r="B20" t="s">
        <v>8</v>
      </c>
      <c r="C20" s="76">
        <v>1667.3847260695711</v>
      </c>
      <c r="D20" s="76">
        <v>56.951003827533405</v>
      </c>
      <c r="E20" s="76">
        <v>57.37393721361194</v>
      </c>
      <c r="F20" s="76">
        <v>57.815259007780845</v>
      </c>
      <c r="G20" s="76">
        <v>58.276640883502886</v>
      </c>
      <c r="H20" s="76">
        <v>58.7599933247355</v>
      </c>
      <c r="I20" s="76">
        <v>59.26751338802974</v>
      </c>
      <c r="J20" s="76">
        <v>59.80174503360262</v>
      </c>
      <c r="K20" s="76">
        <v>60.36565621504067</v>
      </c>
      <c r="L20" s="76">
        <v>60.96273864244566</v>
      </c>
      <c r="M20" s="76">
        <v>61.59713872156346</v>
      </c>
      <c r="N20" s="76">
        <v>62.27383213928912</v>
      </c>
      <c r="O20" s="76">
        <v>62.998860801138036</v>
      </c>
      <c r="P20" s="76">
        <v>63.77966089851379</v>
      </c>
      <c r="Q20" s="76">
        <v>64.62552767067086</v>
      </c>
      <c r="R20" s="76">
        <v>65.54829142211494</v>
      </c>
      <c r="S20" s="76">
        <v>66.56333154870342</v>
      </c>
      <c r="T20" s="76">
        <v>67.6911539115795</v>
      </c>
      <c r="U20" s="76">
        <v>68.95995406981511</v>
      </c>
      <c r="V20" s="76">
        <v>70.41001139351295</v>
      </c>
      <c r="W20" s="76">
        <v>72.10174493782709</v>
      </c>
      <c r="X20" s="76">
        <v>74.13182519100405</v>
      </c>
      <c r="Y20" s="76">
        <v>76.66942550747527</v>
      </c>
      <c r="Z20" s="76">
        <v>80.05289259610355</v>
      </c>
      <c r="AA20" s="76">
        <v>85.12809322904596</v>
      </c>
      <c r="AB20" s="76">
        <v>95.27849449493081</v>
      </c>
    </row>
    <row r="21" spans="1:28" x14ac:dyDescent="0.25">
      <c r="A21" t="s">
        <v>206</v>
      </c>
      <c r="B21" t="s">
        <v>8</v>
      </c>
      <c r="C21" s="76">
        <v>797.3140535854675</v>
      </c>
      <c r="D21" s="76">
        <v>99.66425669818345</v>
      </c>
      <c r="E21" s="76">
        <v>93.01997291830455</v>
      </c>
      <c r="F21" s="76">
        <v>86.37568913842566</v>
      </c>
      <c r="G21" s="76">
        <v>79.73140535854677</v>
      </c>
      <c r="H21" s="76">
        <v>73.08712157866786</v>
      </c>
      <c r="I21" s="76">
        <v>66.44283779878897</v>
      </c>
      <c r="J21" s="76">
        <v>59.79855401891007</v>
      </c>
      <c r="K21" s="76">
        <v>53.15427023903117</v>
      </c>
      <c r="L21" s="76">
        <v>46.50998645915227</v>
      </c>
      <c r="M21" s="76">
        <v>39.86570267927338</v>
      </c>
      <c r="N21" s="76">
        <v>33.221418899394486</v>
      </c>
      <c r="O21" s="76">
        <v>26.577135119515585</v>
      </c>
      <c r="P21" s="76">
        <v>19.93285133963669</v>
      </c>
      <c r="Q21" s="76">
        <v>13.288567559757793</v>
      </c>
      <c r="R21" s="76">
        <v>6.644283779878896</v>
      </c>
      <c r="S21" s="76">
        <v>0</v>
      </c>
      <c r="T21" s="76">
        <v>0</v>
      </c>
      <c r="U21" s="76">
        <v>0</v>
      </c>
      <c r="V21" s="76">
        <v>0</v>
      </c>
      <c r="W21" s="76">
        <v>0</v>
      </c>
      <c r="X21" s="76">
        <v>0</v>
      </c>
      <c r="Y21" s="76">
        <v>0</v>
      </c>
      <c r="Z21" s="76">
        <v>0</v>
      </c>
      <c r="AA21" s="76">
        <v>0</v>
      </c>
      <c r="AB21" s="76">
        <v>0</v>
      </c>
    </row>
    <row r="22" spans="1:28" x14ac:dyDescent="0.25">
      <c r="A22" t="s">
        <v>216</v>
      </c>
      <c r="B22" t="s">
        <v>8</v>
      </c>
      <c r="C22" s="76">
        <v>2693.767640671878</v>
      </c>
      <c r="D22" s="76">
        <v>70.74284191263301</v>
      </c>
      <c r="E22" s="76">
        <v>75.64779274542306</v>
      </c>
      <c r="F22" s="76">
        <v>80.49211219012315</v>
      </c>
      <c r="G22" s="76">
        <v>85.27201642427076</v>
      </c>
      <c r="H22" s="76">
        <v>89.98337720745853</v>
      </c>
      <c r="I22" s="76">
        <v>94.62166883886276</v>
      </c>
      <c r="J22" s="76">
        <v>99.18190228178048</v>
      </c>
      <c r="K22" s="76">
        <v>103.6585422523147</v>
      </c>
      <c r="L22" s="76">
        <v>108.04540134353785</v>
      </c>
      <c r="M22" s="76">
        <v>112.33550266803657</v>
      </c>
      <c r="N22" s="76">
        <v>116.52089853316551</v>
      </c>
      <c r="O22" s="76">
        <v>120.59242642737107</v>
      </c>
      <c r="P22" s="76">
        <v>124.5393735229097</v>
      </c>
      <c r="Q22" s="76">
        <v>128.34900411236987</v>
      </c>
      <c r="R22" s="76">
        <v>132.00587539968106</v>
      </c>
      <c r="S22" s="76">
        <v>135.49081487284278</v>
      </c>
      <c r="T22" s="76">
        <v>132.13505011888267</v>
      </c>
      <c r="U22" s="76">
        <v>128.55048744805987</v>
      </c>
      <c r="V22" s="76">
        <v>124.6924564841967</v>
      </c>
      <c r="W22" s="76">
        <v>120.49592761575992</v>
      </c>
      <c r="X22" s="76">
        <v>115.85938927030546</v>
      </c>
      <c r="Y22" s="76">
        <v>110.6085849549938</v>
      </c>
      <c r="Z22" s="76">
        <v>104.39983066563424</v>
      </c>
      <c r="AA22" s="76">
        <v>96.38165546997519</v>
      </c>
      <c r="AB22" s="76">
        <v>83.16470791128887</v>
      </c>
    </row>
    <row r="23" spans="1:28" x14ac:dyDescent="0.25">
      <c r="A23" t="s">
        <v>163</v>
      </c>
      <c r="B23" t="s">
        <v>8</v>
      </c>
      <c r="C23" s="76">
        <v>1810.3519315768153</v>
      </c>
      <c r="D23" s="76">
        <v>632.7889314170379</v>
      </c>
      <c r="E23" s="76">
        <v>383.7335193565766</v>
      </c>
      <c r="F23" s="76">
        <v>234.30027212029992</v>
      </c>
      <c r="G23" s="76">
        <v>144.64032377853388</v>
      </c>
      <c r="H23" s="76">
        <v>90.84435477347425</v>
      </c>
      <c r="I23" s="76">
        <v>58.56677337043847</v>
      </c>
      <c r="J23" s="76">
        <v>39.200224528617014</v>
      </c>
      <c r="K23" s="76">
        <v>27.580295223524146</v>
      </c>
      <c r="L23" s="76">
        <v>20.60833764046842</v>
      </c>
      <c r="M23" s="76">
        <v>16.42516309063499</v>
      </c>
      <c r="N23" s="76">
        <v>13.915258360734928</v>
      </c>
      <c r="O23" s="76">
        <v>12.409315522794891</v>
      </c>
      <c r="P23" s="76">
        <v>11.50574982003087</v>
      </c>
      <c r="Q23" s="76">
        <v>10.963610398372456</v>
      </c>
      <c r="R23" s="76">
        <v>10.638326745377407</v>
      </c>
      <c r="S23" s="76">
        <v>10.44315655358038</v>
      </c>
      <c r="T23" s="76">
        <v>10.326054438502162</v>
      </c>
      <c r="U23" s="76">
        <v>10.255793169455231</v>
      </c>
      <c r="V23" s="76">
        <v>10.213636408027075</v>
      </c>
      <c r="W23" s="76">
        <v>10.188342351170178</v>
      </c>
      <c r="X23" s="76">
        <v>10.173165917056043</v>
      </c>
      <c r="Y23" s="76">
        <v>10.164060056587559</v>
      </c>
      <c r="Z23" s="76">
        <v>10.15859654030647</v>
      </c>
      <c r="AA23" s="76">
        <v>10.155318430537818</v>
      </c>
      <c r="AB23" s="76">
        <v>10.153351564676624</v>
      </c>
    </row>
    <row r="24" spans="1:28" x14ac:dyDescent="0.25">
      <c r="A24" t="s">
        <v>222</v>
      </c>
      <c r="B24" t="s">
        <v>8</v>
      </c>
      <c r="C24" s="76">
        <v>642.0364695309381</v>
      </c>
      <c r="D24" s="76">
        <v>0</v>
      </c>
      <c r="E24" s="76">
        <v>0</v>
      </c>
      <c r="F24" s="76">
        <v>0</v>
      </c>
      <c r="G24" s="76">
        <v>0</v>
      </c>
      <c r="H24" s="76">
        <v>0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6.882500187528885</v>
      </c>
      <c r="O24" s="76">
        <v>43.08650227832827</v>
      </c>
      <c r="P24" s="76">
        <v>44.503903734170514</v>
      </c>
      <c r="Q24" s="76">
        <v>45.812148912521</v>
      </c>
      <c r="R24" s="76">
        <v>47.04671694723456</v>
      </c>
      <c r="S24" s="76">
        <v>48.228486149766994</v>
      </c>
      <c r="T24" s="76">
        <v>47.697187652296336</v>
      </c>
      <c r="U24" s="76">
        <v>47.131994989297255</v>
      </c>
      <c r="V24" s="76">
        <v>46.5365188809191</v>
      </c>
      <c r="W24" s="76">
        <v>45.91242841194831</v>
      </c>
      <c r="X24" s="76">
        <v>45.26020281858859</v>
      </c>
      <c r="Y24" s="76">
        <v>44.57958131716037</v>
      </c>
      <c r="Z24" s="76">
        <v>43.869831695784264</v>
      </c>
      <c r="AA24" s="76">
        <v>43.12991009857725</v>
      </c>
      <c r="AB24" s="76">
        <v>42.35855545681638</v>
      </c>
    </row>
    <row r="25" spans="1:28" s="14" customFormat="1" x14ac:dyDescent="0.25">
      <c r="A25" s="14" t="s">
        <v>223</v>
      </c>
      <c r="B25" s="14" t="s">
        <v>8</v>
      </c>
      <c r="C25" s="77">
        <v>2051.7311711409393</v>
      </c>
      <c r="D25" s="77">
        <v>70.74284191263301</v>
      </c>
      <c r="E25" s="77">
        <v>75.64779274542306</v>
      </c>
      <c r="F25" s="77">
        <v>80.49211219012315</v>
      </c>
      <c r="G25" s="77">
        <v>85.27201642427076</v>
      </c>
      <c r="H25" s="77">
        <v>89.98337720745853</v>
      </c>
      <c r="I25" s="77">
        <v>94.62166883886276</v>
      </c>
      <c r="J25" s="77">
        <v>99.18190228178048</v>
      </c>
      <c r="K25" s="77">
        <v>103.6585422523147</v>
      </c>
      <c r="L25" s="77">
        <v>108.04540134353785</v>
      </c>
      <c r="M25" s="77">
        <v>112.33550266803657</v>
      </c>
      <c r="N25" s="77">
        <v>109.63839834563662</v>
      </c>
      <c r="O25" s="77">
        <v>77.5059241490428</v>
      </c>
      <c r="P25" s="77">
        <v>80.03546978873919</v>
      </c>
      <c r="Q25" s="77">
        <v>82.53685519984887</v>
      </c>
      <c r="R25" s="77">
        <v>84.9591584524465</v>
      </c>
      <c r="S25" s="77">
        <v>87.26232872307578</v>
      </c>
      <c r="T25" s="77">
        <v>84.43786246658634</v>
      </c>
      <c r="U25" s="77">
        <v>81.41849245876261</v>
      </c>
      <c r="V25" s="77">
        <v>78.15593760327761</v>
      </c>
      <c r="W25" s="77">
        <v>74.58349920381161</v>
      </c>
      <c r="X25" s="77">
        <v>70.59918645171686</v>
      </c>
      <c r="Y25" s="77">
        <v>66.02900363783343</v>
      </c>
      <c r="Z25" s="77">
        <v>60.52999896984998</v>
      </c>
      <c r="AA25" s="77">
        <v>53.25174537139794</v>
      </c>
      <c r="AB25" s="77">
        <v>40.80615245447249</v>
      </c>
    </row>
    <row r="26" spans="1:1" s="5" customFormat="1" x14ac:dyDescent="0.25">
      <c r="A26" s="5" t="s">
        <v>224</v>
      </c>
    </row>
    <row r="27" spans="1:28" x14ac:dyDescent="0.25">
      <c r="A27" t="s">
        <v>225</v>
      </c>
      <c r="B27" t="s">
        <v>86</v>
      </c>
      <c r="D27" s="76">
        <v>30.670916964264205</v>
      </c>
      <c r="E27" s="76">
        <v>30.612781900576557</v>
      </c>
      <c r="F27" s="76">
        <v>30.554646836888896</v>
      </c>
      <c r="G27" s="76">
        <v>30.496511773201245</v>
      </c>
      <c r="H27" s="76">
        <v>30.438376709513594</v>
      </c>
      <c r="I27" s="76">
        <v>30.380241645825944</v>
      </c>
      <c r="J27" s="76">
        <v>30.32210658213829</v>
      </c>
      <c r="K27" s="76">
        <v>30.26397151845064</v>
      </c>
      <c r="L27" s="76">
        <v>30.20583645476299</v>
      </c>
      <c r="M27" s="76">
        <v>30.147701391075326</v>
      </c>
      <c r="N27" s="76">
        <v>30.089566327387676</v>
      </c>
      <c r="O27" s="76">
        <v>30.03143126370002</v>
      </c>
      <c r="P27" s="76">
        <v>29.973296200012367</v>
      </c>
      <c r="Q27" s="76">
        <v>29.915161136324713</v>
      </c>
      <c r="R27" s="76">
        <v>29.857026072637062</v>
      </c>
      <c r="S27" s="76">
        <v>29.79889100894941</v>
      </c>
      <c r="T27" s="76">
        <v>29.74075594526176</v>
      </c>
      <c r="U27" s="76">
        <v>29.6826208815741</v>
      </c>
      <c r="V27" s="76">
        <v>29.624485817886452</v>
      </c>
      <c r="W27" s="76">
        <v>29.566350754198794</v>
      </c>
      <c r="X27" s="76">
        <v>29.508215690511147</v>
      </c>
      <c r="Y27" s="76">
        <v>29.450080626823482</v>
      </c>
      <c r="Z27" s="76">
        <v>29.39194556313583</v>
      </c>
      <c r="AA27" s="76">
        <v>29.333810499448184</v>
      </c>
      <c r="AB27" s="76">
        <v>29.275675435760533</v>
      </c>
    </row>
    <row r="28" spans="1:28" x14ac:dyDescent="0.25">
      <c r="A28" t="s">
        <v>355</v>
      </c>
      <c r="B28" t="s">
        <v>8</v>
      </c>
      <c r="C28" s="76">
        <v>29.275675435760533</v>
      </c>
      <c r="D28" s="76">
        <v>30.670916964264205</v>
      </c>
      <c r="E28" s="76">
        <v>-0.058135063687647204</v>
      </c>
      <c r="F28" s="76">
        <v>-0.058135063687661415</v>
      </c>
      <c r="G28" s="76">
        <v>-0.058135063687650756</v>
      </c>
      <c r="H28" s="76">
        <v>-0.058135063687650756</v>
      </c>
      <c r="I28" s="76">
        <v>-0.058135063687650756</v>
      </c>
      <c r="J28" s="76">
        <v>-0.05813506368765431</v>
      </c>
      <c r="K28" s="76">
        <v>-0.058135063687650756</v>
      </c>
      <c r="L28" s="76">
        <v>-0.058135063687647204</v>
      </c>
      <c r="M28" s="76">
        <v>-0.05813506368766497</v>
      </c>
      <c r="N28" s="76">
        <v>-0.058135063687650756</v>
      </c>
      <c r="O28" s="76">
        <v>-0.05813506368765431</v>
      </c>
      <c r="P28" s="76">
        <v>-0.05813506368765431</v>
      </c>
      <c r="Q28" s="76">
        <v>-0.05813506368765431</v>
      </c>
      <c r="R28" s="76">
        <v>-0.058135063687650756</v>
      </c>
      <c r="S28" s="76">
        <v>-0.058135063687650756</v>
      </c>
      <c r="T28" s="76">
        <v>-0.058135063687650756</v>
      </c>
      <c r="U28" s="76">
        <v>-0.058135063687661415</v>
      </c>
      <c r="V28" s="76">
        <v>-0.058135063687647204</v>
      </c>
      <c r="W28" s="76">
        <v>-0.05813506368765786</v>
      </c>
      <c r="X28" s="76">
        <v>-0.058135063687647204</v>
      </c>
      <c r="Y28" s="76">
        <v>-0.05813506368766497</v>
      </c>
      <c r="Z28" s="76">
        <v>-0.058135063687650756</v>
      </c>
      <c r="AA28" s="76">
        <v>-0.058135063687647204</v>
      </c>
      <c r="AB28" s="76">
        <v>-0.058135063687650756</v>
      </c>
    </row>
    <row r="29" spans="1:28" x14ac:dyDescent="0.25">
      <c r="A29" t="s">
        <v>143</v>
      </c>
      <c r="B29" t="s">
        <v>8</v>
      </c>
      <c r="C29" s="76">
        <v>243.60963038123595</v>
      </c>
      <c r="D29" s="76">
        <v>0</v>
      </c>
      <c r="E29" s="76">
        <v>10.150401265884836</v>
      </c>
      <c r="F29" s="76">
        <v>10.150401265884836</v>
      </c>
      <c r="G29" s="76">
        <v>10.150401265884836</v>
      </c>
      <c r="H29" s="76">
        <v>10.150401265884836</v>
      </c>
      <c r="I29" s="76">
        <v>10.150401265884836</v>
      </c>
      <c r="J29" s="76">
        <v>10.150401265884836</v>
      </c>
      <c r="K29" s="76">
        <v>10.150401265884836</v>
      </c>
      <c r="L29" s="76">
        <v>10.150401265884836</v>
      </c>
      <c r="M29" s="76">
        <v>10.150401265884836</v>
      </c>
      <c r="N29" s="76">
        <v>10.150401265884836</v>
      </c>
      <c r="O29" s="76">
        <v>10.150401265884836</v>
      </c>
      <c r="P29" s="76">
        <v>10.150401265884836</v>
      </c>
      <c r="Q29" s="76">
        <v>10.150401265884836</v>
      </c>
      <c r="R29" s="76">
        <v>10.150401265884836</v>
      </c>
      <c r="S29" s="76">
        <v>10.150401265884836</v>
      </c>
      <c r="T29" s="76">
        <v>10.150401265884836</v>
      </c>
      <c r="U29" s="76">
        <v>10.150401265884836</v>
      </c>
      <c r="V29" s="76">
        <v>10.150401265884836</v>
      </c>
      <c r="W29" s="76">
        <v>10.150401265884836</v>
      </c>
      <c r="X29" s="76">
        <v>10.150401265884836</v>
      </c>
      <c r="Y29" s="76">
        <v>10.150401265884836</v>
      </c>
      <c r="Z29" s="76">
        <v>10.150401265884836</v>
      </c>
      <c r="AA29" s="76">
        <v>10.150401265884836</v>
      </c>
      <c r="AB29" s="76">
        <v>10.150401265884836</v>
      </c>
    </row>
    <row r="30" spans="1:28" s="14" customFormat="1" x14ac:dyDescent="0.25">
      <c r="A30" s="14" t="s">
        <v>356</v>
      </c>
      <c r="B30" s="14" t="s">
        <v>8</v>
      </c>
      <c r="C30" s="77">
        <v>4243.5446449789815</v>
      </c>
      <c r="D30" s="77">
        <v>196.68718547408568</v>
      </c>
      <c r="E30" s="77">
        <v>215.94943667514235</v>
      </c>
      <c r="F30" s="77">
        <v>214.5907941341325</v>
      </c>
      <c r="G30" s="77">
        <v>213.18779646412324</v>
      </c>
      <c r="H30" s="77">
        <v>211.7382259086647</v>
      </c>
      <c r="I30" s="77">
        <v>210.2397538234843</v>
      </c>
      <c r="J30" s="77">
        <v>208.689935132096</v>
      </c>
      <c r="K30" s="77">
        <v>207.08620250418937</v>
      </c>
      <c r="L30" s="77">
        <v>205.4258602429386</v>
      </c>
      <c r="M30" s="77">
        <v>203.70607786667625</v>
      </c>
      <c r="N30" s="77">
        <v>195.04138318212304</v>
      </c>
      <c r="O30" s="77">
        <v>156.98965386749924</v>
      </c>
      <c r="P30" s="77">
        <v>153.6557158246925</v>
      </c>
      <c r="Q30" s="77">
        <v>150.35868422808034</v>
      </c>
      <c r="R30" s="77">
        <v>147.05946745224315</v>
      </c>
      <c r="S30" s="77">
        <v>143.73339406958203</v>
      </c>
      <c r="T30" s="77">
        <v>142.03675017596865</v>
      </c>
      <c r="U30" s="77">
        <v>140.2861803263806</v>
      </c>
      <c r="V30" s="77">
        <v>138.47368279459337</v>
      </c>
      <c r="W30" s="77">
        <v>136.5929779394415</v>
      </c>
      <c r="X30" s="77">
        <v>134.63874544052373</v>
      </c>
      <c r="Y30" s="77">
        <v>132.60616294311154</v>
      </c>
      <c r="Z30" s="77">
        <v>130.49062536375635</v>
      </c>
      <c r="AA30" s="77">
        <v>128.2875723982467</v>
      </c>
      <c r="AB30" s="77">
        <v>125.9923807472061</v>
      </c>
    </row>
    <row r="31" spans="1:28" x14ac:dyDescent="0.25">
      <c r="A31" t="s">
        <v>209</v>
      </c>
      <c r="B31" t="s">
        <v>8</v>
      </c>
      <c r="C31" s="76">
        <v>1904.6946835652839</v>
      </c>
      <c r="D31" s="76">
        <v>173.4896320301712</v>
      </c>
      <c r="E31" s="76">
        <v>166.8453482502923</v>
      </c>
      <c r="F31" s="76">
        <v>160.2010644704134</v>
      </c>
      <c r="G31" s="76">
        <v>153.5567806905345</v>
      </c>
      <c r="H31" s="76">
        <v>146.9124969106556</v>
      </c>
      <c r="I31" s="76">
        <v>140.2682131307767</v>
      </c>
      <c r="J31" s="76">
        <v>133.6239293508978</v>
      </c>
      <c r="K31" s="76">
        <v>126.97964557101892</v>
      </c>
      <c r="L31" s="76">
        <v>120.33536179114002</v>
      </c>
      <c r="M31" s="76">
        <v>113.69107801126113</v>
      </c>
      <c r="N31" s="76">
        <v>107.04679423138222</v>
      </c>
      <c r="O31" s="76">
        <v>100.40251045150333</v>
      </c>
      <c r="P31" s="76">
        <v>93.75822667162444</v>
      </c>
      <c r="Q31" s="76">
        <v>87.11394289174554</v>
      </c>
      <c r="R31" s="76">
        <v>80.46965911186663</v>
      </c>
      <c r="S31" s="76">
        <v>0</v>
      </c>
      <c r="T31" s="76">
        <v>0</v>
      </c>
      <c r="U31" s="76">
        <v>0</v>
      </c>
      <c r="V31" s="76">
        <v>0</v>
      </c>
      <c r="W31" s="76">
        <v>0</v>
      </c>
      <c r="X31" s="76">
        <v>0</v>
      </c>
      <c r="Y31" s="76">
        <v>0</v>
      </c>
      <c r="Z31" s="76">
        <v>0</v>
      </c>
      <c r="AA31" s="76">
        <v>0</v>
      </c>
      <c r="AB31" s="76">
        <v>0</v>
      </c>
    </row>
    <row r="32" spans="1:28" s="14" customFormat="1" x14ac:dyDescent="0.25">
      <c r="A32" s="14" t="s">
        <v>357</v>
      </c>
      <c r="B32" s="14" t="s">
        <v>8</v>
      </c>
      <c r="C32" s="77">
        <v>2526.322869703718</v>
      </c>
      <c r="D32" s="77">
        <v>23.197553443914472</v>
      </c>
      <c r="E32" s="77">
        <v>49.10408842485006</v>
      </c>
      <c r="F32" s="77">
        <v>54.389729663719095</v>
      </c>
      <c r="G32" s="77">
        <v>59.63101577358873</v>
      </c>
      <c r="H32" s="77">
        <v>64.82572899800911</v>
      </c>
      <c r="I32" s="77">
        <v>69.9715406927076</v>
      </c>
      <c r="J32" s="77">
        <v>75.06600578119819</v>
      </c>
      <c r="K32" s="77">
        <v>80.10655693317045</v>
      </c>
      <c r="L32" s="77">
        <v>85.09049845179858</v>
      </c>
      <c r="M32" s="77">
        <v>90.01499985541513</v>
      </c>
      <c r="N32" s="77">
        <v>87.99458895074082</v>
      </c>
      <c r="O32" s="77">
        <v>56.58714341599591</v>
      </c>
      <c r="P32" s="77">
        <v>59.89748915306805</v>
      </c>
      <c r="Q32" s="77">
        <v>63.2447413363348</v>
      </c>
      <c r="R32" s="77">
        <v>66.58980834037652</v>
      </c>
      <c r="S32" s="77">
        <v>143.73339406958203</v>
      </c>
      <c r="T32" s="77">
        <v>142.03675017596865</v>
      </c>
      <c r="U32" s="77">
        <v>140.2861803263806</v>
      </c>
      <c r="V32" s="77">
        <v>138.47368279459337</v>
      </c>
      <c r="W32" s="77">
        <v>136.5929779394415</v>
      </c>
      <c r="X32" s="77">
        <v>134.63874544052373</v>
      </c>
      <c r="Y32" s="77">
        <v>132.60616294311154</v>
      </c>
      <c r="Z32" s="77">
        <v>130.49062536375635</v>
      </c>
      <c r="AA32" s="77">
        <v>128.2875723982467</v>
      </c>
      <c r="AB32" s="77">
        <v>313.4652890372261</v>
      </c>
    </row>
    <row r="33" spans="1:28" x14ac:dyDescent="0.25">
      <c r="A33" t="s">
        <v>233</v>
      </c>
      <c r="B33" t="s">
        <v>86</v>
      </c>
      <c r="D33" s="76">
        <v>-451.394145118864</v>
      </c>
      <c r="E33" s="76">
        <v>-402.29005669401397</v>
      </c>
      <c r="F33" s="76">
        <v>-347.9003270302949</v>
      </c>
      <c r="G33" s="76">
        <v>-288.26931125670615</v>
      </c>
      <c r="H33" s="76">
        <v>-223.44358225869703</v>
      </c>
      <c r="I33" s="76">
        <v>-153.47204156598943</v>
      </c>
      <c r="J33" s="76">
        <v>-78.40603578479124</v>
      </c>
      <c r="K33" s="76">
        <v>1.7005211483792095</v>
      </c>
      <c r="L33" s="76">
        <v>86.79101960017779</v>
      </c>
      <c r="M33" s="76">
        <v>176.80601945559292</v>
      </c>
      <c r="N33" s="76">
        <v>264.8006084063337</v>
      </c>
      <c r="O33" s="76">
        <v>321.3877518223296</v>
      </c>
      <c r="P33" s="76">
        <v>381.28524097539764</v>
      </c>
      <c r="Q33" s="76">
        <v>444.52998231173245</v>
      </c>
      <c r="R33" s="76">
        <v>511.119790652109</v>
      </c>
      <c r="S33" s="76">
        <v>654.853184721691</v>
      </c>
      <c r="T33" s="76">
        <v>796.8899348976597</v>
      </c>
      <c r="U33" s="76">
        <v>937.1761152240404</v>
      </c>
      <c r="V33" s="76">
        <v>1075.6497980186336</v>
      </c>
      <c r="W33" s="76">
        <v>1212.242775958075</v>
      </c>
      <c r="X33" s="76">
        <v>1346.8815213985988</v>
      </c>
      <c r="Y33" s="76">
        <v>1479.4876843417103</v>
      </c>
      <c r="Z33" s="76">
        <v>1609.9783097054667</v>
      </c>
      <c r="AA33" s="76">
        <v>1738.2658821037135</v>
      </c>
      <c r="AB33" s="76">
        <v>2051.7311711409398</v>
      </c>
    </row>
    <row r="34" spans="1:28" x14ac:dyDescent="0.25">
      <c r="A34" t="s">
        <v>358</v>
      </c>
      <c r="B34" t="s">
        <v>8</v>
      </c>
      <c r="C34" s="76">
        <v>4086.174983913755</v>
      </c>
      <c r="D34" s="76">
        <v>196.68718547408568</v>
      </c>
      <c r="E34" s="76">
        <v>215.94943667514235</v>
      </c>
      <c r="F34" s="76">
        <v>214.5907941341325</v>
      </c>
      <c r="G34" s="76">
        <v>193.39417418606737</v>
      </c>
      <c r="H34" s="76">
        <v>178.76901514084423</v>
      </c>
      <c r="I34" s="76">
        <v>169.52344124035963</v>
      </c>
      <c r="J34" s="76">
        <v>163.4891515701073</v>
      </c>
      <c r="K34" s="76">
        <v>159.3643422385529</v>
      </c>
      <c r="L34" s="76">
        <v>156.36706640080382</v>
      </c>
      <c r="M34" s="76">
        <v>154.02724821445364</v>
      </c>
      <c r="N34" s="76">
        <v>152.0618890518145</v>
      </c>
      <c r="O34" s="76">
        <v>150.3001889579172</v>
      </c>
      <c r="P34" s="76">
        <v>148.63861714250592</v>
      </c>
      <c r="Q34" s="76">
        <v>147.0139517732893</v>
      </c>
      <c r="R34" s="76">
        <v>145.38710122484764</v>
      </c>
      <c r="S34" s="76">
        <v>143.73339406958203</v>
      </c>
      <c r="T34" s="76">
        <v>142.03675017596865</v>
      </c>
      <c r="U34" s="76">
        <v>140.2861803263806</v>
      </c>
      <c r="V34" s="76">
        <v>138.47368279459337</v>
      </c>
      <c r="W34" s="76">
        <v>136.5929779394415</v>
      </c>
      <c r="X34" s="76">
        <v>134.63874544052373</v>
      </c>
      <c r="Y34" s="76">
        <v>132.60616294311154</v>
      </c>
      <c r="Z34" s="76">
        <v>130.49062536375635</v>
      </c>
      <c r="AA34" s="76">
        <v>128.2875723982467</v>
      </c>
      <c r="AB34" s="76">
        <v>313.4652890372261</v>
      </c>
    </row>
    <row r="35" spans="1:1" s="5" customFormat="1" x14ac:dyDescent="0.25">
      <c r="A35" s="5" t="s">
        <v>94</v>
      </c>
    </row>
    <row r="36" spans="1:28" x14ac:dyDescent="0.25">
      <c r="A36" t="s">
        <v>205</v>
      </c>
      <c r="B36" t="s">
        <v>86</v>
      </c>
      <c r="D36" s="76">
        <v>1107.3806299798161</v>
      </c>
      <c r="E36" s="76">
        <v>1033.5552546478284</v>
      </c>
      <c r="F36" s="76">
        <v>959.7298793158407</v>
      </c>
      <c r="G36" s="76">
        <v>885.9045039838529</v>
      </c>
      <c r="H36" s="76">
        <v>812.0791286518652</v>
      </c>
      <c r="I36" s="76">
        <v>738.2537533198774</v>
      </c>
      <c r="J36" s="76">
        <v>664.4283779878897</v>
      </c>
      <c r="K36" s="76">
        <v>590.603002655902</v>
      </c>
      <c r="L36" s="76">
        <v>516.7776273239142</v>
      </c>
      <c r="M36" s="76">
        <v>442.95225199192646</v>
      </c>
      <c r="N36" s="76">
        <v>369.1268766599387</v>
      </c>
      <c r="O36" s="76">
        <v>295.301501327951</v>
      </c>
      <c r="P36" s="76">
        <v>221.47612599596323</v>
      </c>
      <c r="Q36" s="76">
        <v>147.6507506639755</v>
      </c>
      <c r="R36" s="76">
        <v>73.82537533198774</v>
      </c>
      <c r="S36" s="76">
        <v>0</v>
      </c>
      <c r="T36" s="76">
        <v>0</v>
      </c>
      <c r="U36" s="76">
        <v>0</v>
      </c>
      <c r="V36" s="76">
        <v>0</v>
      </c>
      <c r="W36" s="76">
        <v>0</v>
      </c>
      <c r="X36" s="76">
        <v>0</v>
      </c>
      <c r="Y36" s="76">
        <v>0</v>
      </c>
      <c r="Z36" s="76">
        <v>0</v>
      </c>
      <c r="AA36" s="76">
        <v>0</v>
      </c>
      <c r="AB36" s="76">
        <v>0</v>
      </c>
    </row>
    <row r="37" spans="1:28" x14ac:dyDescent="0.25">
      <c r="A37" t="s">
        <v>206</v>
      </c>
      <c r="B37" t="s">
        <v>8</v>
      </c>
      <c r="C37" s="76">
        <v>797.3140535854675</v>
      </c>
      <c r="D37" s="76">
        <v>99.66425669818345</v>
      </c>
      <c r="E37" s="76">
        <v>93.01997291830455</v>
      </c>
      <c r="F37" s="76">
        <v>86.37568913842566</v>
      </c>
      <c r="G37" s="76">
        <v>79.73140535854677</v>
      </c>
      <c r="H37" s="76">
        <v>73.08712157866786</v>
      </c>
      <c r="I37" s="76">
        <v>66.44283779878897</v>
      </c>
      <c r="J37" s="76">
        <v>59.79855401891007</v>
      </c>
      <c r="K37" s="76">
        <v>53.15427023903117</v>
      </c>
      <c r="L37" s="76">
        <v>46.50998645915227</v>
      </c>
      <c r="M37" s="76">
        <v>39.86570267927338</v>
      </c>
      <c r="N37" s="76">
        <v>33.221418899394486</v>
      </c>
      <c r="O37" s="76">
        <v>26.577135119515585</v>
      </c>
      <c r="P37" s="76">
        <v>19.93285133963669</v>
      </c>
      <c r="Q37" s="76">
        <v>13.288567559757793</v>
      </c>
      <c r="R37" s="76">
        <v>6.644283779878896</v>
      </c>
      <c r="S37" s="76">
        <v>0</v>
      </c>
      <c r="T37" s="76">
        <v>0</v>
      </c>
      <c r="U37" s="76">
        <v>0</v>
      </c>
      <c r="V37" s="76">
        <v>0</v>
      </c>
      <c r="W37" s="76">
        <v>0</v>
      </c>
      <c r="X37" s="76">
        <v>0</v>
      </c>
      <c r="Y37" s="76">
        <v>0</v>
      </c>
      <c r="Z37" s="76">
        <v>0</v>
      </c>
      <c r="AA37" s="76">
        <v>0</v>
      </c>
      <c r="AB37" s="76">
        <v>0</v>
      </c>
    </row>
    <row r="38" spans="1:28" x14ac:dyDescent="0.25">
      <c r="A38" t="s">
        <v>207</v>
      </c>
      <c r="B38" t="s">
        <v>8</v>
      </c>
      <c r="C38" s="76">
        <v>1107.3806299798161</v>
      </c>
      <c r="D38" s="76">
        <v>73.82537533198774</v>
      </c>
      <c r="E38" s="76">
        <v>73.82537533198774</v>
      </c>
      <c r="F38" s="76">
        <v>73.82537533198774</v>
      </c>
      <c r="G38" s="76">
        <v>73.82537533198774</v>
      </c>
      <c r="H38" s="76">
        <v>73.82537533198774</v>
      </c>
      <c r="I38" s="76">
        <v>73.82537533198774</v>
      </c>
      <c r="J38" s="76">
        <v>73.82537533198774</v>
      </c>
      <c r="K38" s="76">
        <v>73.82537533198774</v>
      </c>
      <c r="L38" s="76">
        <v>73.82537533198774</v>
      </c>
      <c r="M38" s="76">
        <v>73.82537533198774</v>
      </c>
      <c r="N38" s="76">
        <v>73.82537533198774</v>
      </c>
      <c r="O38" s="76">
        <v>73.82537533198774</v>
      </c>
      <c r="P38" s="76">
        <v>73.82537533198774</v>
      </c>
      <c r="Q38" s="76">
        <v>73.82537533198774</v>
      </c>
      <c r="R38" s="76">
        <v>73.82537533198774</v>
      </c>
      <c r="S38" s="76">
        <v>0</v>
      </c>
      <c r="T38" s="76">
        <v>0</v>
      </c>
      <c r="U38" s="76">
        <v>0</v>
      </c>
      <c r="V38" s="76">
        <v>0</v>
      </c>
      <c r="W38" s="76">
        <v>0</v>
      </c>
      <c r="X38" s="76">
        <v>0</v>
      </c>
      <c r="Y38" s="76">
        <v>0</v>
      </c>
      <c r="Z38" s="76">
        <v>0</v>
      </c>
      <c r="AA38" s="76">
        <v>0</v>
      </c>
      <c r="AB38" s="76">
        <v>0</v>
      </c>
    </row>
    <row r="39" spans="1:28" x14ac:dyDescent="0.25">
      <c r="A39" t="s">
        <v>208</v>
      </c>
      <c r="B39" t="s">
        <v>86</v>
      </c>
      <c r="D39" s="76">
        <v>1033.5552546478284</v>
      </c>
      <c r="E39" s="76">
        <v>959.7298793158407</v>
      </c>
      <c r="F39" s="76">
        <v>885.9045039838529</v>
      </c>
      <c r="G39" s="76">
        <v>812.0791286518652</v>
      </c>
      <c r="H39" s="76">
        <v>738.2537533198774</v>
      </c>
      <c r="I39" s="76">
        <v>664.4283779878897</v>
      </c>
      <c r="J39" s="76">
        <v>590.603002655902</v>
      </c>
      <c r="K39" s="76">
        <v>516.7776273239142</v>
      </c>
      <c r="L39" s="76">
        <v>442.95225199192646</v>
      </c>
      <c r="M39" s="76">
        <v>369.1268766599387</v>
      </c>
      <c r="N39" s="76">
        <v>295.301501327951</v>
      </c>
      <c r="O39" s="76">
        <v>221.47612599596323</v>
      </c>
      <c r="P39" s="76">
        <v>147.6507506639755</v>
      </c>
      <c r="Q39" s="76">
        <v>73.82537533198774</v>
      </c>
      <c r="R39" s="76">
        <v>0</v>
      </c>
      <c r="S39" s="76">
        <v>0</v>
      </c>
      <c r="T39" s="76">
        <v>0</v>
      </c>
      <c r="U39" s="76">
        <v>0</v>
      </c>
      <c r="V39" s="76">
        <v>0</v>
      </c>
      <c r="W39" s="76">
        <v>0</v>
      </c>
      <c r="X39" s="76">
        <v>0</v>
      </c>
      <c r="Y39" s="76">
        <v>0</v>
      </c>
      <c r="Z39" s="76">
        <v>0</v>
      </c>
      <c r="AA39" s="76">
        <v>0</v>
      </c>
      <c r="AB39" s="76">
        <v>0</v>
      </c>
    </row>
    <row r="40" spans="1:28" x14ac:dyDescent="0.25">
      <c r="A40" t="s">
        <v>229</v>
      </c>
      <c r="B40" t="s">
        <v>88</v>
      </c>
      <c r="D40" s="78">
        <v>1.133711468359563</v>
      </c>
      <c r="E40" s="78">
        <v>1.2943090049546169</v>
      </c>
      <c r="F40" s="78">
        <v>1.3395091652076008</v>
      </c>
      <c r="G40" s="78">
        <v>1.388332026143242</v>
      </c>
      <c r="H40" s="78">
        <v>1.4412540142002535</v>
      </c>
      <c r="I40" s="78">
        <v>1.4988410355485944</v>
      </c>
      <c r="J40" s="78">
        <v>1.5617706809389962</v>
      </c>
      <c r="K40" s="78">
        <v>1.6308613996592656</v>
      </c>
      <c r="L40" s="78">
        <v>1.7071113360633414</v>
      </c>
      <c r="M40" s="78">
        <v>1.7917507814157512</v>
      </c>
      <c r="N40" s="78">
        <v>1.8220198426544194</v>
      </c>
      <c r="O40" s="78">
        <v>1.5636028736883902</v>
      </c>
      <c r="P40" s="78">
        <v>1.6388504910918478</v>
      </c>
      <c r="Q40" s="78">
        <v>1.7260002157740415</v>
      </c>
      <c r="R40" s="78">
        <v>1.8275144827916479</v>
      </c>
    </row>
    <row r="42" spans="1:1" s="5" customFormat="1" x14ac:dyDescent="0.25">
      <c r="A42" s="5" t="s">
        <v>359</v>
      </c>
    </row>
    <row r="43" spans="1:28" s="67" customFormat="1" x14ac:dyDescent="0.25">
      <c r="A43" s="67" t="s">
        <v>224</v>
      </c>
      <c r="B43" s="67" t="s">
        <v>74</v>
      </c>
      <c r="C43" s="67" t="s">
        <v>76</v>
      </c>
      <c r="D43" s="67" t="s">
        <v>328</v>
      </c>
      <c r="E43" s="67" t="s">
        <v>329</v>
      </c>
      <c r="F43" s="67" t="s">
        <v>330</v>
      </c>
      <c r="G43" s="67" t="s">
        <v>331</v>
      </c>
      <c r="H43" s="67" t="s">
        <v>332</v>
      </c>
      <c r="I43" s="67" t="s">
        <v>333</v>
      </c>
      <c r="J43" s="67" t="s">
        <v>334</v>
      </c>
      <c r="K43" s="67" t="s">
        <v>335</v>
      </c>
      <c r="L43" s="67" t="s">
        <v>336</v>
      </c>
      <c r="M43" s="67" t="s">
        <v>337</v>
      </c>
      <c r="N43" s="67" t="s">
        <v>338</v>
      </c>
      <c r="O43" s="67" t="s">
        <v>339</v>
      </c>
      <c r="P43" s="67" t="s">
        <v>340</v>
      </c>
      <c r="Q43" s="67" t="s">
        <v>341</v>
      </c>
      <c r="R43" s="67" t="s">
        <v>342</v>
      </c>
      <c r="S43" s="67" t="s">
        <v>343</v>
      </c>
      <c r="T43" s="67" t="s">
        <v>344</v>
      </c>
      <c r="U43" s="67" t="s">
        <v>345</v>
      </c>
      <c r="V43" s="67" t="s">
        <v>346</v>
      </c>
      <c r="W43" s="67" t="s">
        <v>347</v>
      </c>
      <c r="X43" s="67" t="s">
        <v>348</v>
      </c>
      <c r="Y43" s="67" t="s">
        <v>349</v>
      </c>
      <c r="Z43" s="67" t="s">
        <v>350</v>
      </c>
      <c r="AA43" s="67" t="s">
        <v>351</v>
      </c>
      <c r="AB43" s="67" t="s">
        <v>352</v>
      </c>
    </row>
    <row r="44" spans="1:28" x14ac:dyDescent="0.25">
      <c r="A44" t="s">
        <v>360</v>
      </c>
      <c r="B44" t="s">
        <v>86</v>
      </c>
      <c r="C44" s="76">
        <v>-474.59169856277845</v>
      </c>
      <c r="D44" s="76">
        <v>23.197553443914472</v>
      </c>
      <c r="E44" s="76">
        <v>49.10408842485006</v>
      </c>
      <c r="F44" s="76">
        <v>54.389729663719095</v>
      </c>
      <c r="G44" s="76">
        <v>59.63101577358873</v>
      </c>
      <c r="H44" s="76">
        <v>64.82572899800911</v>
      </c>
      <c r="I44" s="76">
        <v>69.9715406927076</v>
      </c>
      <c r="J44" s="76">
        <v>75.06600578119819</v>
      </c>
      <c r="K44" s="76">
        <v>80.10655693317045</v>
      </c>
      <c r="L44" s="76">
        <v>85.09049845179858</v>
      </c>
      <c r="M44" s="76">
        <v>90.01499985541513</v>
      </c>
      <c r="N44" s="76">
        <v>87.99458895074082</v>
      </c>
      <c r="O44" s="76">
        <v>56.58714341599591</v>
      </c>
      <c r="P44" s="76">
        <v>59.89748915306805</v>
      </c>
      <c r="Q44" s="76">
        <v>63.2447413363348</v>
      </c>
      <c r="R44" s="76">
        <v>66.58980834037652</v>
      </c>
      <c r="S44" s="76">
        <v>143.73339406958203</v>
      </c>
      <c r="T44" s="76">
        <v>142.03675017596865</v>
      </c>
      <c r="U44" s="76">
        <v>140.2861803263806</v>
      </c>
      <c r="V44" s="76">
        <v>138.47368279459337</v>
      </c>
      <c r="W44" s="76">
        <v>136.5929779394415</v>
      </c>
      <c r="X44" s="76">
        <v>134.63874544052373</v>
      </c>
      <c r="Y44" s="76">
        <v>132.60616294311154</v>
      </c>
      <c r="Z44" s="76">
        <v>130.49062536375635</v>
      </c>
      <c r="AA44" s="76">
        <v>128.2875723982467</v>
      </c>
      <c r="AB44" s="76">
        <v>313.4652890372261</v>
      </c>
    </row>
    <row r="45" spans="1:28" x14ac:dyDescent="0.25">
      <c r="A45" t="s">
        <v>358</v>
      </c>
      <c r="B45" t="s">
        <v>86</v>
      </c>
      <c r="C45" s="76">
        <v>-1581.9723285425946</v>
      </c>
      <c r="D45" s="76">
        <v>196.68718547408568</v>
      </c>
      <c r="E45" s="76">
        <v>215.94943667514235</v>
      </c>
      <c r="F45" s="76">
        <v>214.5907941341325</v>
      </c>
      <c r="G45" s="76">
        <v>193.39417418606737</v>
      </c>
      <c r="H45" s="76">
        <v>178.76901514084423</v>
      </c>
      <c r="I45" s="76">
        <v>169.52344124035963</v>
      </c>
      <c r="J45" s="76">
        <v>163.4891515701073</v>
      </c>
      <c r="K45" s="76">
        <v>159.3643422385529</v>
      </c>
      <c r="L45" s="76">
        <v>156.36706640080382</v>
      </c>
      <c r="M45" s="76">
        <v>154.02724821445364</v>
      </c>
      <c r="N45" s="76">
        <v>152.0618890518145</v>
      </c>
      <c r="O45" s="76">
        <v>150.3001889579172</v>
      </c>
      <c r="P45" s="76">
        <v>148.63861714250592</v>
      </c>
      <c r="Q45" s="76">
        <v>147.0139517732893</v>
      </c>
      <c r="R45" s="76">
        <v>145.38710122484764</v>
      </c>
      <c r="S45" s="76">
        <v>143.73339406958203</v>
      </c>
      <c r="T45" s="76">
        <v>142.03675017596865</v>
      </c>
      <c r="U45" s="76">
        <v>140.2861803263806</v>
      </c>
      <c r="V45" s="76">
        <v>138.47368279459337</v>
      </c>
      <c r="W45" s="76">
        <v>136.5929779394415</v>
      </c>
      <c r="X45" s="76">
        <v>134.63874544052373</v>
      </c>
      <c r="Y45" s="76">
        <v>132.60616294311154</v>
      </c>
      <c r="Z45" s="76">
        <v>130.49062536375635</v>
      </c>
      <c r="AA45" s="76">
        <v>128.2875723982467</v>
      </c>
      <c r="AB45" s="76">
        <v>313.4652890372261</v>
      </c>
    </row>
    <row r="46" spans="1:3" x14ac:dyDescent="0.25">
      <c r="A46" t="s">
        <v>7</v>
      </c>
      <c r="B46" s="7">
        <v>0.13999999993597156</v>
      </c>
      <c r="C46" t="s">
        <v>8</v>
      </c>
    </row>
    <row r="47" spans="1:3" x14ac:dyDescent="0.25">
      <c r="A47" t="s">
        <v>9</v>
      </c>
      <c r="B47" s="7">
        <v>0.09960342112113721</v>
      </c>
      <c r="C47" t="s">
        <v>8</v>
      </c>
    </row>
    <row r="48" spans="1:3" x14ac:dyDescent="0.25">
      <c r="A48" t="s">
        <v>10</v>
      </c>
      <c r="B48" s="8">
        <v>8.171241461241152e-14</v>
      </c>
      <c r="C48" t="s">
        <v>8</v>
      </c>
    </row>
    <row r="49" spans="1:3" x14ac:dyDescent="0.25">
      <c r="A49" t="s">
        <v>11</v>
      </c>
      <c r="B49" s="9">
        <v>1.133711468359563</v>
      </c>
      <c r="C49" t="s">
        <v>8</v>
      </c>
    </row>
    <row r="50" spans="1:3" x14ac:dyDescent="0.25">
      <c r="A50" t="s">
        <v>12</v>
      </c>
      <c r="B50" s="9">
        <v>1.5576959212327717</v>
      </c>
      <c r="C50" t="s">
        <v>8</v>
      </c>
    </row>
    <row r="51" spans="1:3" x14ac:dyDescent="0.25">
      <c r="A51" t="s">
        <v>13</v>
      </c>
      <c r="B51" s="10">
        <v>8</v>
      </c>
      <c r="C5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Live model</vt:lpstr>
      <vt:lpstr>Tender conditions</vt:lpstr>
      <vt:lpstr>Inputs</vt:lpstr>
      <vt:lpstr>Plant and capex</vt:lpstr>
      <vt:lpstr>Revenue and costs (values)</vt:lpstr>
      <vt:lpstr>Financial model (values)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TenderOS · Tender to Bid</dc:creator>
  <dc:title/>
  <dc:subject/>
  <dc:description/>
  <cp:keywords/>
  <cp:category/>
  <cp:lastModifiedBy>Unknown</cp:lastModifiedBy>
  <dcterms:created xsi:type="dcterms:W3CDTF">2026-10-24T20:05:41Z</dcterms:created>
  <dcterms:modified xsi:type="dcterms:W3CDTF">2026-10-24T20:05:41Z</dcterms:modified>
</cp:coreProperties>
</file>