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Live model" state="visible" r:id="rId5"/>
    <sheet sheetId="3" name="Tender conditions" state="visible" r:id="rId6"/>
    <sheet sheetId="4" name="Inputs" state="visible" r:id="rId7"/>
    <sheet sheetId="5" name="Plant and capex" state="visible" r:id="rId8"/>
    <sheet sheetId="6" name="Revenue and costs (values)" state="visible" r:id="rId9"/>
    <sheet sheetId="7" name="Financial model (values)" state="visible" r:id="rId10"/>
  </sheets>
  <definedNames>
    <definedName name="_xlnm.Print_Titles" localSheetId="1">'Live model'!$5:$5</definedName>
  </definedNames>
  <calcPr calcId="171027" fullCalcOnLoad="1"/>
</workbook>
</file>

<file path=xl/comments2.xml><?xml version="1.0" encoding="utf-8"?>
<comments xmlns="http://schemas.openxmlformats.org/spreadsheetml/2006/main">
  <authors>
    <author>Author</author>
  </authors>
  <commentList>
    <comment ref="A49" authorId="0">
      <text>
        <r>
          <t>Escalates with O&amp;M</t>
        </r>
      </text>
    </comment>
    <comment ref="A71" authorId="0">
      <text>
        <r>
          <t>wdv: written-down value at the WDV rate; slm: the book depreciation</t>
        </r>
      </text>
    </comment>
    <comment ref="A88" authorId="0">
      <text>
        <r>
          <t>The PPA term the optimiser dispatched; one column per year</t>
        </r>
      </text>
    </comment>
    <comment ref="A113" authorId="0">
      <text>
        <r>
          <t>Delivered MU × tariff ₹/kWh ÷ 10 = ₹ crore</t>
        </r>
      </text>
    </comment>
    <comment ref="A119" authorId="0">
      <text>
        <r>
          <t>Size × ₹ lakh ÷ 100 = ₹ crore, escalated</t>
        </r>
      </text>
    </comment>
    <comment ref="A120" authorId="0">
      <text>
        <r>
          <t>Size × ₹ lakh ÷ 100 = ₹ crore, escalated</t>
        </r>
      </text>
    </comment>
    <comment ref="A121" authorId="0">
      <text>
        <r>
          <t>Size × ₹ lakh ÷ 100 = ₹ crore, escalated</t>
        </r>
      </text>
    </comment>
    <comment ref="A130" authorId="0">
      <text>
        <r>
          <t>annual: each year from year 2 replaces the year's fade (MWh × fade × the year's battery price); oneTime: the fade to that year (at most 60%), once</t>
        </r>
      </text>
    </comment>
    <comment ref="A134" authorId="0">
      <text>
        <r>
          <t>Augmentation is depreciated over the years left</t>
        </r>
      </text>
    </comment>
    <comment ref="A156" authorId="0">
      <text>
        <r>
          <t>EBITDA − interest − tax depreciation</t>
        </r>
      </text>
    </comment>
    <comment ref="A165" authorId="0">
      <text>
        <r>
          <t>Revenue × receivable days ÷ 365, held at the year end</t>
        </r>
      </text>
    </comment>
    <comment ref="A167" authorId="0">
      <text>
        <r>
          <t>EBITDA − tax − working capital − battery augmentation</t>
        </r>
      </text>
    </comment>
    <comment ref="A174" authorId="0">
      <text>
        <r>
          <t>The payback year is the first year marked here</t>
        </r>
      </text>
    </comment>
    <comment ref="A175" authorId="0">
      <text>
        <r>
          <t>The project IRR's tax: no interest shield, no losses carried</t>
        </r>
      </text>
    </comment>
  </commentList>
</comments>
</file>

<file path=xl/sharedStrings.xml><?xml version="1.0" encoding="utf-8"?>
<sst xmlns="http://schemas.openxmlformats.org/spreadsheetml/2006/main" count="966" uniqueCount="362">
  <si>
    <t>SECI Round-the-Clock · bid financial model</t>
  </si>
  <si>
    <t>SECI/C&amp;P/IPP/13/0020/25-26 · 500 MW round the clock · 25 years</t>
  </si>
  <si>
    <t>Prepared 2026-10-24 by Demo · Tender to Bid (TenderOS)</t>
  </si>
  <si>
    <t>The key results below are linked to the Live model tab: change an input there (blue cells) and they follow.</t>
  </si>
  <si>
    <t>Key results</t>
  </si>
  <si>
    <t>Bid tariff (₹/kWh)</t>
  </si>
  <si>
    <t>Tariff that gives the 14.00% target equity IRR</t>
  </si>
  <si>
    <t>Equity IRR</t>
  </si>
  <si>
    <t/>
  </si>
  <si>
    <t>Project IRR</t>
  </si>
  <si>
    <t>Equity NPV at the target IRR (₹ cr)</t>
  </si>
  <si>
    <t>Minimum DSCR</t>
  </si>
  <si>
    <t>Average DSCR</t>
  </si>
  <si>
    <t>Equity payback (year)</t>
  </si>
  <si>
    <t>Project cost (₹ cr)</t>
  </si>
  <si>
    <t>₹27.12 cr per contracted MW</t>
  </si>
  <si>
    <t>Debt (₹ cr)</t>
  </si>
  <si>
    <t>Equity (₹ cr)</t>
  </si>
  <si>
    <t>Levelised cost of supply (₹/kWh)</t>
  </si>
  <si>
    <t>at a 10.0% discount rate</t>
  </si>
  <si>
    <t>Least-tariff sizing (HiGHS, ₹/kWh)</t>
  </si>
  <si>
    <t>Screening tariff of the sizing; the bid tariff is from the full financial model</t>
  </si>
  <si>
    <t>Year-1 supply (MU)</t>
  </si>
  <si>
    <t>90.2% of contracted</t>
  </si>
  <si>
    <t>Year-1 market sale (MU)</t>
  </si>
  <si>
    <t>Revenue over 25 years (₹ cr)</t>
  </si>
  <si>
    <t>Tender conditions</t>
  </si>
  <si>
    <t>5 met, 1 not met</t>
  </si>
  <si>
    <t>Battery storage</t>
  </si>
  <si>
    <t>Plant</t>
  </si>
  <si>
    <t>Contracted capacity (MW)</t>
  </si>
  <si>
    <t>bid capacity</t>
  </si>
  <si>
    <t>Solar (MW)</t>
  </si>
  <si>
    <t>sized by the optimizer</t>
  </si>
  <si>
    <t>Biomass (MW)</t>
  </si>
  <si>
    <t>sized by the optimizer · 1192 MU in year 1</t>
  </si>
  <si>
    <t>Battery power (MW)</t>
  </si>
  <si>
    <t>Battery energy (MWh)</t>
  </si>
  <si>
    <t>Key inputs</t>
  </si>
  <si>
    <t>Bid capacity (MW)</t>
  </si>
  <si>
    <t>Solar</t>
  </si>
  <si>
    <t>CUF (AC) 25.0% · Capex 4 ₹ cr/MW · O&amp;M 4 ₹ lakh/MW/yr</t>
  </si>
  <si>
    <t>Biomass</t>
  </si>
  <si>
    <t>CUF (fuel-limited) 80.0% · Capex 7 ₹ cr/MW · O&amp;M 40 ₹ lakh/MW/yr · Fuel cost 4.5 ₹/kWh</t>
  </si>
  <si>
    <t>Discharge duration 4 hours · Round-trip efficiency 87.0% · Capex 1.2 ₹ cr/MWh · O&amp;M 1.2 ₹ lakh/MWh/yr</t>
  </si>
  <si>
    <t>Financing</t>
  </si>
  <si>
    <t>equity IRR 14.0% · debt 70% at 9.00% for 15 years · tax 25.17%</t>
  </si>
  <si>
    <t>Market sale</t>
  </si>
  <si>
    <t>none</t>
  </si>
  <si>
    <t>Tender</t>
  </si>
  <si>
    <t>Procurer</t>
  </si>
  <si>
    <t>Solar Energy Corporation of India Limited (SECI)</t>
  </si>
  <si>
    <t>SECI/C&amp;P/IPP/13/0020/25-26</t>
  </si>
  <si>
    <t>Request for Selection (RfS) Document for Selection of RE Power Developers for Supply of 1000 MW of Round-the-Clock Thermal Mimic (RTC-TM) Power from ISTS-connected Renewable Energy (RE) Power Projects in India, under Tariff-based Competitive Bidding</t>
  </si>
  <si>
    <t>Capacity</t>
  </si>
  <si>
    <t>1000 MW</t>
  </si>
  <si>
    <t>Supply floors</t>
  </si>
  <si>
    <t>Peak-hour supply floor 90%</t>
  </si>
  <si>
    <t>Least green share</t>
  </si>
  <si>
    <t>Not stated</t>
  </si>
  <si>
    <t>Mandatory solar</t>
  </si>
  <si>
    <t>PPA term</t>
  </si>
  <si>
    <t>25 years</t>
  </si>
  <si>
    <t>Supply start</t>
  </si>
  <si>
    <t>Ceiling tariff</t>
  </si>
  <si>
    <t>Every tender condition comes from the tender reading, with its page and quote (sheet Tender conditions).</t>
  </si>
  <si>
    <t>Inputs marked "Industry benchmark" are industry benchmark (CERC norms, 2025–26 market prices), not from the tender; the rest are the bidder's own (sheet Inputs).</t>
  </si>
  <si>
    <t>Every number below is a formula on the blue inputs and the optimiser's energy (green). Change a blue cell: the whole model, the returns and the Cover move with it.</t>
  </si>
  <si>
    <t>Colour key</t>
  </si>
  <si>
    <t>Input</t>
  </si>
  <si>
    <t>Optimiser</t>
  </si>
  <si>
    <t>Formula</t>
  </si>
  <si>
    <t>The optimiser's energy comes from the hourly HiGHS dispatch of every year; changing a plant size here moves its cost, not its energy (size the plant again in TenderOS for that).</t>
  </si>
  <si>
    <t>₹ crore unless stated</t>
  </si>
  <si>
    <t>Unit</t>
  </si>
  <si>
    <t>Total / value</t>
  </si>
  <si>
    <t>Year 0</t>
  </si>
  <si>
    <t>This workbook</t>
  </si>
  <si>
    <t>App</t>
  </si>
  <si>
    <t>Difference</t>
  </si>
  <si>
    <t>Same as app?</t>
  </si>
  <si>
    <t>Bid tariff</t>
  </si>
  <si>
    <t>₹/kWh</t>
  </si>
  <si>
    <t>%</t>
  </si>
  <si>
    <t>Equity IRR less the target</t>
  </si>
  <si>
    <t>Equity NPV at the target IRR</t>
  </si>
  <si>
    <t>₹ cr</t>
  </si>
  <si>
    <t>Project NPV at the discount rate</t>
  </si>
  <si>
    <t>×</t>
  </si>
  <si>
    <t>Levelised cost of supply</t>
  </si>
  <si>
    <t>Levelised tariff</t>
  </si>
  <si>
    <t>Equity payback</t>
  </si>
  <si>
    <t>year</t>
  </si>
  <si>
    <t>Project cost</t>
  </si>
  <si>
    <t>Debt</t>
  </si>
  <si>
    <t>Equity</t>
  </si>
  <si>
    <t>Revenue over 25 years</t>
  </si>
  <si>
    <t>Model checks</t>
  </si>
  <si>
    <t>To price the bid again after changing an input: Data › What-If Analysis › Goal Seek, set the cell "Equity IRR less the target" to 0 by changing the bid tariff.</t>
  </si>
  <si>
    <t>Inputs</t>
  </si>
  <si>
    <t>Tariff</t>
  </si>
  <si>
    <t>Solved in TenderOS for the target equity IRR</t>
  </si>
  <si>
    <t>Tariff escalation</t>
  </si>
  <si>
    <t>%/yr</t>
  </si>
  <si>
    <t>Industry benchmark</t>
  </si>
  <si>
    <t>Plant (sized by the optimiser)</t>
  </si>
  <si>
    <t>MW</t>
  </si>
  <si>
    <t>HiGHS sizing</t>
  </si>
  <si>
    <t>Battery power</t>
  </si>
  <si>
    <t>Battery energy</t>
  </si>
  <si>
    <t>MWh</t>
  </si>
  <si>
    <t>Capital cost</t>
  </si>
  <si>
    <t>₹ cr/MW</t>
  </si>
  <si>
    <t>₹ cr/MWh</t>
  </si>
  <si>
    <t>Battery power conversion</t>
  </si>
  <si>
    <t>Included in the energy price</t>
  </si>
  <si>
    <t>Transmission / evacuation</t>
  </si>
  <si>
    <t>Pre-operative and IDC</t>
  </si>
  <si>
    <t>% of hard cost</t>
  </si>
  <si>
    <t>Operating cost</t>
  </si>
  <si>
    <t>Solar O&amp;M</t>
  </si>
  <si>
    <t>₹ lakh/MW/yr</t>
  </si>
  <si>
    <t>Battery O&amp;M</t>
  </si>
  <si>
    <t>₹ lakh/MWh/yr</t>
  </si>
  <si>
    <t>Biomass O&amp;M</t>
  </si>
  <si>
    <t>O&amp;M escalation</t>
  </si>
  <si>
    <t>Insurance</t>
  </si>
  <si>
    <t>% of hard cost/yr</t>
  </si>
  <si>
    <t>Other fixed cost</t>
  </si>
  <si>
    <t>₹ cr/yr</t>
  </si>
  <si>
    <t>Model default</t>
  </si>
  <si>
    <t>Biomass fuel</t>
  </si>
  <si>
    <t>Biomass fuel escalation</t>
  </si>
  <si>
    <t>Revenue and supply</t>
  </si>
  <si>
    <t>Sell surplus in the market</t>
  </si>
  <si>
    <t>Yes / No</t>
  </si>
  <si>
    <t>No</t>
  </si>
  <si>
    <t>Market sale price</t>
  </si>
  <si>
    <t>Not used: no market sale</t>
  </si>
  <si>
    <t>Annual supply floor</t>
  </si>
  <si>
    <t>% of contracted</t>
  </si>
  <si>
    <t>Shortfall penalty</t>
  </si>
  <si>
    <t>₹/kWh short</t>
  </si>
  <si>
    <t>Battery augmentation</t>
  </si>
  <si>
    <t>Augmentation</t>
  </si>
  <si>
    <t>annual / oneTime / none</t>
  </si>
  <si>
    <t>annual</t>
  </si>
  <si>
    <t>Battery capacity fade</t>
  </si>
  <si>
    <t>One-time augmentation year</t>
  </si>
  <si>
    <t>Model default (used with oneTime)</t>
  </si>
  <si>
    <t>Battery price decline</t>
  </si>
  <si>
    <t>Debt share</t>
  </si>
  <si>
    <t>% of project cost</t>
  </si>
  <si>
    <t>Interest rate</t>
  </si>
  <si>
    <t>Loan tenor</t>
  </si>
  <si>
    <t>years</t>
  </si>
  <si>
    <t>Repayment</t>
  </si>
  <si>
    <t>annuity / equal</t>
  </si>
  <si>
    <t>equal</t>
  </si>
  <si>
    <t>Target equity IRR</t>
  </si>
  <si>
    <t>Discount rate (LCOE, project NPV)</t>
  </si>
  <si>
    <t>Tax and depreciation</t>
  </si>
  <si>
    <t>Corporate tax</t>
  </si>
  <si>
    <t>Tax depreciation</t>
  </si>
  <si>
    <t>wdv / slm</t>
  </si>
  <si>
    <t>wdv</t>
  </si>
  <si>
    <t>WDV rate</t>
  </si>
  <si>
    <t>Book life</t>
  </si>
  <si>
    <t>Salvage value</t>
  </si>
  <si>
    <t>Receivable days</t>
  </si>
  <si>
    <t>days</t>
  </si>
  <si>
    <t>Project cost and funding</t>
  </si>
  <si>
    <t>Hard cost</t>
  </si>
  <si>
    <t>Total project cost</t>
  </si>
  <si>
    <t>Model years</t>
  </si>
  <si>
    <t>Loan tenor used</t>
  </si>
  <si>
    <t>Annuity (interest + principal) if annuity repayment</t>
  </si>
  <si>
    <t>Principal a year if equal repayment</t>
  </si>
  <si>
    <t>Depreciable value (less salvage)</t>
  </si>
  <si>
    <t>Book depreciation a year</t>
  </si>
  <si>
    <t>Energy (the optimiser's hourly dispatch, summed by year)</t>
  </si>
  <si>
    <t>Contracted energy</t>
  </si>
  <si>
    <t>MU</t>
  </si>
  <si>
    <t>Delivered to the procurer</t>
  </si>
  <si>
    <t>Delivered ÷ contracted</t>
  </si>
  <si>
    <t>Short of the annual floor</t>
  </si>
  <si>
    <t>Sold in the market</t>
  </si>
  <si>
    <t>Biomass generation</t>
  </si>
  <si>
    <t>Escalation and discount factors</t>
  </si>
  <si>
    <t>O&amp;M and other fixed cost</t>
  </si>
  <si>
    <t>Battery price</t>
  </si>
  <si>
    <t>Discount factor</t>
  </si>
  <si>
    <t>Revenue</t>
  </si>
  <si>
    <t>PPA supply revenue</t>
  </si>
  <si>
    <t>Market sale revenue</t>
  </si>
  <si>
    <t>Total revenue</t>
  </si>
  <si>
    <t>Operating costs</t>
  </si>
  <si>
    <t>Total operating cost</t>
  </si>
  <si>
    <t>EBITDA</t>
  </si>
  <si>
    <t>EBITDA margin</t>
  </si>
  <si>
    <t>Battery augmentation (capital spend in operation)</t>
  </si>
  <si>
    <t>Book depreciation</t>
  </si>
  <si>
    <t>On the project cost (straight line)</t>
  </si>
  <si>
    <t>Added for this year's augmentation</t>
  </si>
  <si>
    <t>On augmentation</t>
  </si>
  <si>
    <t>Opening debt</t>
  </si>
  <si>
    <t>Interest</t>
  </si>
  <si>
    <t>Principal</t>
  </si>
  <si>
    <t>Closing debt</t>
  </si>
  <si>
    <t>Debt service</t>
  </si>
  <si>
    <t>Tax block, opening</t>
  </si>
  <si>
    <t>Added: augmentation</t>
  </si>
  <si>
    <t>Tax block, closing</t>
  </si>
  <si>
    <t>Profit and loss</t>
  </si>
  <si>
    <t>Less: book depreciation</t>
  </si>
  <si>
    <t>Less: interest</t>
  </si>
  <si>
    <t>Profit before tax</t>
  </si>
  <si>
    <t>Taxable profit before losses brought forward</t>
  </si>
  <si>
    <t>Tax losses brought forward</t>
  </si>
  <si>
    <t>Losses set off</t>
  </si>
  <si>
    <t>Taxable income</t>
  </si>
  <si>
    <t>Tax losses carried forward</t>
  </si>
  <si>
    <t>Tax</t>
  </si>
  <si>
    <t>Profit after tax</t>
  </si>
  <si>
    <t>Cash flow</t>
  </si>
  <si>
    <t>Receivables</t>
  </si>
  <si>
    <t>Increase in working capital</t>
  </si>
  <si>
    <t>Cash flow available for debt service (CFADS)</t>
  </si>
  <si>
    <t>Less: debt service</t>
  </si>
  <si>
    <t>DSCR</t>
  </si>
  <si>
    <t>Salvage and receivables released (final year)</t>
  </si>
  <si>
    <t>Debt still owed, repaid in the final year</t>
  </si>
  <si>
    <t>Equity cash flow (year 0: the equity put in)</t>
  </si>
  <si>
    <t>Cumulative equity cash</t>
  </si>
  <si>
    <t>Equity paid back by this year</t>
  </si>
  <si>
    <t>Tax on the unlevered project</t>
  </si>
  <si>
    <t>Project cash flow (year 0: the project cost)</t>
  </si>
  <si>
    <t>Levelised cost and tariff</t>
  </si>
  <si>
    <t>Operating cost and augmentation</t>
  </si>
  <si>
    <t>Discounted</t>
  </si>
  <si>
    <t>Delivered energy, discounted</t>
  </si>
  <si>
    <t>PPA supply revenue, discounted</t>
  </si>
  <si>
    <t>Returns</t>
  </si>
  <si>
    <t>Levelised cost of supply (project cost + discounted costs) ÷ discounted energy</t>
  </si>
  <si>
    <t>Checks</t>
  </si>
  <si>
    <t>Debt + equity = project cost</t>
  </si>
  <si>
    <t>Debt repaid by the end of the loan tenor</t>
  </si>
  <si>
    <t>Revenue − operating cost = EBITDA over the term</t>
  </si>
  <si>
    <t>Tax losses never negative</t>
  </si>
  <si>
    <t>Equity IRR meets the target</t>
  </si>
  <si>
    <t>Minimum DSCR at least 1.0</t>
  </si>
  <si>
    <t>Condition</t>
  </si>
  <si>
    <t>Tender says</t>
  </si>
  <si>
    <t>Page</t>
  </si>
  <si>
    <t>Quote</t>
  </si>
  <si>
    <t>Plant and bid</t>
  </si>
  <si>
    <t>Status</t>
  </si>
  <si>
    <t>Bid capacity</t>
  </si>
  <si>
    <t>1,000 MW; one bidder 50–500 MW</t>
  </si>
  <si>
    <t>A Bidder, including its Parent, Affiliate or Ultimate Parent or any Group Company shall submit a single bid offering a minimum quantum of cumulative Contracted Capacity of 50 MW and a maximum quantum of 500 MW, …</t>
  </si>
  <si>
    <t>500 MW bid</t>
  </si>
  <si>
    <t>Met</t>
  </si>
  <si>
    <t>Peak-hour supply floor</t>
  </si>
  <si>
    <t>At least 90% CUF, every month, in each of the 16 hours the procurer may pick</t>
  </si>
  <si>
    <t>The RPD shall supply RE power in Round-the-Clock manner by maintaining the following Demand Fulfilment Ratios (DFR): (i) a minimum DFR of 90% in each time-block during the Peak Hours;</t>
  </si>
  <si>
    <t>90.0% in the worst modelled year (years 1, 25)</t>
  </si>
  <si>
    <t>Not allowed</t>
  </si>
  <si>
    <t>mean Promoter as defined in the Companies Act, 2013. 42.52 “RENEWABLE ENERGY (RE) POWER” shall refer to power from Solar Power Generating Systems, Wind Power Generating Systems, Wind Solar hybrid, or any other renewable energy resource based Generating System or</t>
  </si>
  <si>
    <t>Used</t>
  </si>
  <si>
    <t>Not met</t>
  </si>
  <si>
    <t>Energy storage</t>
  </si>
  <si>
    <t>Mandatory</t>
  </si>
  <si>
    <t>iii. Energy Storage Systems (ESS) shall mandatorily constitute part of the Project.</t>
  </si>
  <si>
    <t>1,206 MW / 4,823 MWh</t>
  </si>
  <si>
    <t>What may be sold in the market</t>
  </si>
  <si>
    <t>Energy may be sold to a third party or on a power exchange</t>
  </si>
  <si>
    <t>The RPD shall be required to obtain NOC from SECI prior to sale of infirm power to any third party prior to declaration of COD.</t>
  </si>
  <si>
    <t>Nothing sold</t>
  </si>
  <si>
    <t>Project location</t>
  </si>
  <si>
    <t>Anywhere in India (ISTS)</t>
  </si>
  <si>
    <t>6 Project Location 6.1 The Projects can be located anywhere in India, at the locations chosen by the Bidder/RPD at its own discretion of and risk, cost and responsibility.</t>
  </si>
  <si>
    <t>Your sites; their profiles set the solar and wind output</t>
  </si>
  <si>
    <t>Noted</t>
  </si>
  <si>
    <t>of advanced arrangement of land and evacuation through solar parks, green energy corridors, a secure and standardized PPA for 25 years with elaborate mechanism for risk apportionment and compensations, payment security, etc. 1.3 The rapid growth trajectory of renewable energy</t>
  </si>
  <si>
    <t>Modelled and financed over 25 years</t>
  </si>
  <si>
    <t>Bid tariff ₹7.523/kWh</t>
  </si>
  <si>
    <t>Not required</t>
  </si>
  <si>
    <t>Performance guarantee (PBG)</t>
  </si>
  <si>
    <t>₹1,000 per MW</t>
  </si>
  <si>
    <t>1000/MW/day + applicable GST corresponding to the unsigned PPA capacity shall be levied on the Bidder on per-day basis, until the date of submission of such documents/ charges by the Successful Bidder.</t>
  </si>
  <si>
    <t>₹0.05 cr for 500 MW</t>
  </si>
  <si>
    <t>Group</t>
  </si>
  <si>
    <t>Value</t>
  </si>
  <si>
    <t>Source</t>
  </si>
  <si>
    <t>Bid</t>
  </si>
  <si>
    <t>Your input</t>
  </si>
  <si>
    <t>Sized for the greenshoe</t>
  </si>
  <si>
    <t>automatic limit</t>
  </si>
  <si>
    <t>Upper limit for the optimizer</t>
  </si>
  <si>
    <t>CUF (AC)</t>
  </si>
  <si>
    <t>DC:AC ratio</t>
  </si>
  <si>
    <t>Annual degradation</t>
  </si>
  <si>
    <t>Capex</t>
  </si>
  <si>
    <t>O&amp;M</t>
  </si>
  <si>
    <t>Availability</t>
  </si>
  <si>
    <t>CUF (fuel-limited)</t>
  </si>
  <si>
    <t>Minimum stable load</t>
  </si>
  <si>
    <t>Ramp rate</t>
  </si>
  <si>
    <t>Fuel cost</t>
  </si>
  <si>
    <t>Fuel escalation</t>
  </si>
  <si>
    <t>Discharge duration</t>
  </si>
  <si>
    <t>4 hours</t>
  </si>
  <si>
    <t>Round-trip efficiency</t>
  </si>
  <si>
    <t>Minimum state of charge</t>
  </si>
  <si>
    <t>Maximum state of charge</t>
  </si>
  <si>
    <t>Capacity fade</t>
  </si>
  <si>
    <t>Every year</t>
  </si>
  <si>
    <t>Pre-operative &amp; IDC</t>
  </si>
  <si>
    <t>Model default (editable on Financials)</t>
  </si>
  <si>
    <t>Discount rate (LCOE, NPV)</t>
  </si>
  <si>
    <t>Market</t>
  </si>
  <si>
    <t>Sell in the market</t>
  </si>
  <si>
    <t>Item</t>
  </si>
  <si>
    <t>Note</t>
  </si>
  <si>
    <t>₹ crore</t>
  </si>
  <si>
    <t>Total project cost (incl. pre-operative &amp; IDC)</t>
  </si>
  <si>
    <t>pre-operative 5.0% of hard cost</t>
  </si>
  <si>
    <t>70%</t>
  </si>
  <si>
    <t>Total</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</si>
  <si>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</si>
  <si>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</si>
  <si>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</si>
  <si>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</si>
  <si>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</si>
  <si>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</si>
  <si>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</si>
  <si>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</si>
  <si>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</si>
  <si>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</si>
  <si>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</si>
  <si>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</si>
  <si>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</si>
  <si>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</si>
  <si>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</si>
  <si>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</si>
  <si>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</si>
  <si>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</si>
  <si>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</si>
  <si>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</si>
  <si>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Year 21</t>
  </si>
  <si>
    <t>Year 22</t>
  </si>
  <si>
    <t>Year 23</t>
  </si>
  <si>
    <t>Year 24</t>
  </si>
  <si>
    <t>Year 25</t>
  </si>
  <si>
    <t>Energy and tariff</t>
  </si>
  <si>
    <t>Capital spend in operation</t>
  </si>
  <si>
    <t>Working capital change</t>
  </si>
  <si>
    <t>CFADS</t>
  </si>
  <si>
    <t>Free cash to equity</t>
  </si>
  <si>
    <t>Project cash flow</t>
  </si>
  <si>
    <t>Returns (year 0 is the investment)</t>
  </si>
  <si>
    <t>Equity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</si>
</sst>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0"/>
    <numFmt numFmtId="165" formatCode="&quot;Year &quot;0"/>
    <numFmt numFmtId="166" formatCode="#,##0.00;[Red]-#,##0.00;&quot;–&quot;"/>
    <numFmt numFmtId="167" formatCode="0.00&quot;×&quot;"/>
    <numFmt numFmtId="168" formatCode="#,##0.0;[Red]-#,##0.0;&quot;–&quot;"/>
    <numFmt numFmtId="169" formatCode="0.0000"/>
    <numFmt numFmtId="170" formatCode="#,##0.####"/>
  </numFmts>
  <fonts count="23" x14ac:knownFonts="1">
    <font>
      <color theme="1"/>
      <family val="2"/>
      <scheme val="minor"/>
      <sz val="11"/>
      <name val="Calibri"/>
    </font>
    <font>
      <b/>
      <sz val="16"/>
    </font>
    <font>
      <color rgb="FF555555"/>
    </font>
    <font>
      <i/>
      <color rgb="FF777777"/>
    </font>
    <font>
      <i/>
      <color rgb="FF0000FF"/>
    </font>
    <font>
      <b/>
      <color rgb="FF111111"/>
    </font>
    <font>
      <i/>
      <color rgb="FF555555"/>
    </font>
    <font>
      <b/>
    </font>
    <font>
      <color rgb="FF0000FF"/>
    </font>
    <font>
      <color rgb="FF00703C"/>
    </font>
    <font>
      <color rgb="FF000000"/>
    </font>
    <font>
      <b/>
      <color rgb="FFFFFFFF"/>
    </font>
    <font>
      <b/>
      <color rgb="FFFFFFFF"/>
      <sz val="12"/>
    </font>
    <font>
      <b/>
      <color rgb="FF555555"/>
    </font>
    <font>
      <color rgb="FF666666"/>
    </font>
    <font>
      <b/>
      <color rgb="FF000000"/>
    </font>
    <font>
      <i/>
      <color rgb="FF666666"/>
    </font>
    <font/>
    <font>
      <i/>
      <color rgb="FFB26A00"/>
    </font>
    <font>
      <b/>
      <color rgb="FF1E7B34"/>
    </font>
    <font>
      <b/>
      <color rgb="FFB3261E"/>
    </font>
    <font>
      <b/>
      <color rgb="FF666666"/>
    </font>
    <font>
      <color rgb="FFB26A00"/>
    </font>
  </fonts>
  <fills count="7">
    <fill>
      <patternFill patternType="none"/>
    </fill>
    <fill>
      <patternFill patternType="gray125"/>
    </fill>
    <fill>
      <patternFill patternType="solid">
        <fgColor rgb="FFD4FF3F"/>
      </patternFill>
    </fill>
    <fill>
      <patternFill patternType="solid">
        <fgColor rgb="FFFFF2CC"/>
      </patternFill>
    </fill>
    <fill>
      <patternFill patternType="solid">
        <fgColor rgb="FFE2EFDA"/>
      </patternFill>
    </fill>
    <fill>
      <patternFill patternType="solid">
        <fgColor rgb="FF111111"/>
      </patternFill>
    </fill>
    <fill>
      <patternFill patternType="solid">
        <fgColor rgb="FFEDEDED"/>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111111"/>
      </top>
      <bottom/>
      <diagonal/>
    </border>
  </borders>
  <cellStyleXfs count="1">
    <xf numFmtId="0" fontId="0" fillId="0" borderId="0"/>
  </cellStyleXfs>
  <cellXfs count="7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164" fontId="0" fillId="0" borderId="0" xfId="0" applyNumberFormat="1" applyAlignment="1">
      <alignment horizontal="right"/>
    </xf>
    <xf numFmtId="10" fontId="0" fillId="0" borderId="0" xfId="0" applyNumberFormat="1" applyAlignment="1">
      <alignment horizontal="right"/>
    </xf>
    <xf numFmtId="4"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3" fontId="0" fillId="0" borderId="0" xfId="0" applyNumberFormat="1" applyAlignment="1">
      <alignment horizontal="right"/>
    </xf>
    <xf numFmtId="0" fontId="0" fillId="0" borderId="0" xfId="0" applyAlignment="1">
      <alignment horizontal="right"/>
    </xf>
    <xf numFmtId="0" fontId="6" fillId="0" borderId="0" xfId="0" applyFont="1"/>
    <xf numFmtId="0" fontId="7" fillId="0" borderId="0" xfId="0" applyFont="1"/>
    <xf numFmtId="0" fontId="8" fillId="3" borderId="1" xfId="0" applyFont="1" applyFill="1" applyBorder="1" applyAlignment="1">
      <alignment horizontal="center"/>
    </xf>
    <xf numFmtId="0" fontId="9" fillId="4" borderId="1" xfId="0" applyFont="1" applyFill="1" applyBorder="1" applyAlignment="1">
      <alignment horizontal="center"/>
    </xf>
    <xf numFmtId="0" fontId="10" fillId="0" borderId="1" xfId="0" applyFont="1" applyBorder="1" applyAlignment="1">
      <alignment horizontal="center"/>
    </xf>
    <xf numFmtId="0" fontId="11" fillId="5" borderId="0" xfId="0" applyFont="1" applyFill="1" applyAlignment="1">
      <alignment horizontal="left"/>
    </xf>
    <xf numFmtId="0" fontId="11" fillId="5" borderId="0" xfId="0" applyFont="1" applyFill="1" applyAlignment="1">
      <alignment horizontal="right"/>
    </xf>
    <xf numFmtId="165" fontId="11" fillId="5" borderId="0" xfId="0" applyNumberFormat="1" applyFont="1" applyFill="1" applyAlignment="1">
      <alignment horizontal="right"/>
    </xf>
    <xf numFmtId="0" fontId="12" fillId="5" borderId="0" xfId="0" applyFont="1" applyFill="1"/>
    <xf numFmtId="0" fontId="0" fillId="5" borderId="0" xfId="0" applyFill="1"/>
    <xf numFmtId="0" fontId="13" fillId="0" borderId="0" xfId="0" applyFont="1" applyAlignment="1">
      <alignment horizontal="left"/>
    </xf>
    <xf numFmtId="0" fontId="13" fillId="0" borderId="0" xfId="0" applyFont="1" applyAlignment="1">
      <alignment horizontal="right"/>
    </xf>
    <xf numFmtId="0" fontId="7" fillId="0" borderId="0" xfId="0" applyFont="1" applyAlignment="1">
      <alignment indent="1"/>
    </xf>
    <xf numFmtId="0" fontId="14" fillId="0" borderId="0" xfId="0" applyFont="1"/>
    <xf numFmtId="164" fontId="15" fillId="0" borderId="0" xfId="0" applyNumberFormat="1" applyFont="1" applyAlignment="1">
      <alignment horizontal="right"/>
    </xf>
    <xf numFmtId="164" fontId="16" fillId="0" borderId="0" xfId="0" applyNumberFormat="1" applyFont="1"/>
    <xf numFmtId="164" fontId="10" fillId="0" borderId="0" xfId="0" applyNumberFormat="1" applyFont="1"/>
    <xf numFmtId="10" fontId="15" fillId="0" borderId="0" xfId="0" applyNumberFormat="1" applyFont="1" applyAlignment="1">
      <alignment horizontal="right"/>
    </xf>
    <xf numFmtId="10" fontId="16" fillId="0" borderId="0" xfId="0" applyNumberFormat="1" applyFont="1"/>
    <xf numFmtId="10" fontId="10" fillId="0" borderId="0" xfId="0" applyNumberFormat="1" applyFont="1"/>
    <xf numFmtId="0" fontId="17" fillId="0" borderId="0" xfId="0" applyFont="1" applyAlignment="1">
      <alignment indent="1"/>
    </xf>
    <xf numFmtId="10" fontId="10" fillId="0" borderId="0" xfId="0" applyNumberFormat="1" applyFont="1" applyAlignment="1">
      <alignment horizontal="right"/>
    </xf>
    <xf numFmtId="166" fontId="10" fillId="0" borderId="0" xfId="0" applyNumberFormat="1" applyFont="1" applyAlignment="1">
      <alignment horizontal="right"/>
    </xf>
    <xf numFmtId="166" fontId="16" fillId="0" borderId="0" xfId="0" applyNumberFormat="1" applyFont="1"/>
    <xf numFmtId="166" fontId="10" fillId="0" borderId="0" xfId="0" applyNumberFormat="1" applyFont="1"/>
    <xf numFmtId="167" fontId="10" fillId="0" borderId="0" xfId="0" applyNumberFormat="1" applyFont="1" applyAlignment="1">
      <alignment horizontal="right"/>
    </xf>
    <xf numFmtId="167" fontId="16" fillId="0" borderId="0" xfId="0" applyNumberFormat="1" applyFont="1"/>
    <xf numFmtId="167" fontId="10" fillId="0" borderId="0" xfId="0" applyNumberFormat="1" applyFont="1"/>
    <xf numFmtId="164" fontId="10" fillId="0" borderId="0" xfId="0" applyNumberFormat="1" applyFont="1" applyAlignment="1">
      <alignment horizontal="right"/>
    </xf>
    <xf numFmtId="1" fontId="10" fillId="0" borderId="0" xfId="0" applyNumberFormat="1" applyFont="1" applyAlignment="1">
      <alignment horizontal="right"/>
    </xf>
    <xf numFmtId="1" fontId="16" fillId="0" borderId="0" xfId="0" applyNumberFormat="1" applyFont="1"/>
    <xf numFmtId="1" fontId="10" fillId="0" borderId="0" xfId="0" applyNumberFormat="1" applyFont="1"/>
    <xf numFmtId="0" fontId="10" fillId="0" borderId="0" xfId="0" applyFont="1" applyAlignment="1">
      <alignment horizontal="right"/>
    </xf>
    <xf numFmtId="0" fontId="5" fillId="6" borderId="0" xfId="0" applyFont="1" applyFill="1"/>
    <xf numFmtId="0" fontId="0" fillId="6" borderId="0" xfId="0" applyFill="1"/>
    <xf numFmtId="164" fontId="8" fillId="3" borderId="1" xfId="0" applyNumberFormat="1" applyFont="1" applyFill="1" applyBorder="1"/>
    <xf numFmtId="10" fontId="8" fillId="3" borderId="1" xfId="0" applyNumberFormat="1" applyFont="1" applyFill="1" applyBorder="1"/>
    <xf numFmtId="0" fontId="18" fillId="0" borderId="0" xfId="0" applyFont="1"/>
    <xf numFmtId="168" fontId="9" fillId="4" borderId="1" xfId="0" applyNumberFormat="1" applyFont="1" applyFill="1" applyBorder="1"/>
    <xf numFmtId="4" fontId="8" fillId="3" borderId="1" xfId="0" applyNumberFormat="1" applyFont="1" applyFill="1" applyBorder="1"/>
    <xf numFmtId="166" fontId="8" fillId="3" borderId="1" xfId="0" applyNumberFormat="1" applyFont="1" applyFill="1" applyBorder="1"/>
    <xf numFmtId="0" fontId="8" fillId="3" borderId="1" xfId="0" applyFont="1" applyFill="1" applyBorder="1"/>
    <xf numFmtId="1" fontId="8" fillId="3" borderId="1" xfId="0" applyNumberFormat="1" applyFont="1" applyFill="1" applyBorder="1"/>
    <xf numFmtId="166" fontId="15" fillId="0" borderId="0" xfId="0" applyNumberFormat="1" applyFont="1"/>
    <xf numFmtId="168" fontId="15" fillId="0" borderId="0" xfId="0" applyNumberFormat="1" applyFont="1"/>
    <xf numFmtId="168" fontId="10" fillId="0" borderId="0" xfId="0" applyNumberFormat="1" applyFont="1"/>
    <xf numFmtId="169" fontId="10" fillId="0" borderId="0" xfId="0" applyNumberFormat="1" applyFont="1"/>
    <xf numFmtId="0" fontId="7" fillId="0" borderId="2" xfId="0" applyFont="1" applyBorder="1" applyAlignment="1">
      <alignment indent="1"/>
    </xf>
    <xf numFmtId="0" fontId="14" fillId="0" borderId="2" xfId="0" applyFont="1" applyBorder="1"/>
    <xf numFmtId="166" fontId="15" fillId="0" borderId="2" xfId="0" applyNumberFormat="1" applyFont="1" applyBorder="1"/>
    <xf numFmtId="0" fontId="0" fillId="0" borderId="2" xfId="0" applyBorder="1"/>
    <xf numFmtId="10" fontId="15" fillId="0" borderId="0" xfId="0" applyNumberFormat="1" applyFont="1"/>
    <xf numFmtId="0" fontId="10" fillId="0" borderId="0" xfId="0" applyFont="1"/>
    <xf numFmtId="0" fontId="11" fillId="5" borderId="0" xfId="0" applyFont="1" applyFill="1" applyAlignment="1">
      <alignment vertical="center"/>
    </xf>
    <xf numFmtId="0" fontId="0" fillId="0" borderId="0" xfId="0" applyAlignment="1">
      <alignment vertical="top" wrapText="1"/>
    </xf>
    <xf numFmtId="0" fontId="19" fillId="0" borderId="0" xfId="0" applyFont="1" applyAlignment="1">
      <alignment vertical="top" wrapText="1"/>
    </xf>
    <xf numFmtId="0" fontId="20" fillId="0" borderId="0" xfId="0" applyFont="1" applyAlignment="1">
      <alignment vertical="top" wrapText="1"/>
    </xf>
    <xf numFmtId="0" fontId="21" fillId="0" borderId="0" xfId="0" applyFont="1" applyAlignment="1">
      <alignment vertical="top" wrapText="1"/>
    </xf>
    <xf numFmtId="170" fontId="0" fillId="0" borderId="0" xfId="0" applyNumberFormat="1"/>
    <xf numFmtId="10" fontId="0" fillId="0" borderId="0" xfId="0" applyNumberFormat="1"/>
    <xf numFmtId="0" fontId="22" fillId="0" borderId="0" xfId="0" applyFont="1"/>
    <xf numFmtId="3" fontId="0" fillId="0" borderId="0" xfId="0" applyNumberFormat="1"/>
    <xf numFmtId="164" fontId="0" fillId="0" borderId="0" xfId="0" applyNumberFormat="1"/>
    <xf numFmtId="4" fontId="0" fillId="0" borderId="0" xfId="0" applyNumberFormat="1"/>
    <xf numFmtId="4" fontId="7" fillId="0" borderId="0" xfId="0" applyNumberFormat="1" applyFont="1"/>
    <xf numFmtId="2" fontId="0" fillId="0" borderId="0" xfId="0" applyNumberFormat="1"/>
  </cellXfs>
  <cellStyles count="1">
    <cellStyle name="Normal" xfId="0" builtinId="0"/>
  </cellStyles>
  <dxfs count="4">
    <dxf>
      <font>
        <b/>
        <color rgb="FF1E7B34"/>
      </font>
    </dxf>
    <dxf>
      <font>
        <b/>
        <color rgb="FFB26A00"/>
      </font>
    </dxf>
    <dxf>
      <font>
        <b/>
        <color rgb="FF1E7B34"/>
      </font>
    </dxf>
    <dxf>
      <font>
        <b/>
        <color rgb="FFB3261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866900" cy="4381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FF3F"/>
  </sheetPr>
  <dimension ref="A1:C54"/>
  <sheetFormatPr defaultRowHeight="15" outlineLevelRow="0" outlineLevelCol="0" x14ac:dyDescent="55"/>
  <cols>
    <col min="1" max="1" width="42" customWidth="1"/>
    <col min="2" max="2" width="22" customWidth="1"/>
    <col min="3" max="3" width="70" customWidth="1"/>
  </cols>
  <sheetData>
    <row r="1" ht="24" customHeight="1" x14ac:dyDescent="0.25"/>
    <row r="2" ht="24" customHeight="1" x14ac:dyDescent="0.25"/>
    <row r="4" spans="1:1" s="1" customFormat="1" x14ac:dyDescent="0.25">
      <c r="A4" s="1" t="s">
        <v>0</v>
      </c>
    </row>
    <row r="5" spans="1:1" s="2" customFormat="1" x14ac:dyDescent="0.25">
      <c r="A5" s="2" t="s">
        <v>1</v>
      </c>
    </row>
    <row r="6" spans="1:1" s="3" customFormat="1" x14ac:dyDescent="0.25">
      <c r="A6" s="3" t="s">
        <v>2</v>
      </c>
    </row>
    <row r="7" spans="1:1" s="4" customFormat="1" x14ac:dyDescent="0.25">
      <c r="A7" s="4" t="s">
        <v>3</v>
      </c>
    </row>
    <row r="9" spans="1:1" s="5" customFormat="1" x14ac:dyDescent="0.25">
      <c r="A9" s="5" t="s">
        <v>4</v>
      </c>
    </row>
    <row r="10" spans="1:3" x14ac:dyDescent="0.25">
      <c r="A10" t="s">
        <v>5</v>
      </c>
      <c r="B10" s="6">
        <f>'Live model'!$C$9</f>
        <v>7.523313468327059</v>
      </c>
      <c r="C10" t="s">
        <v>6</v>
      </c>
    </row>
    <row r="11" spans="1:3" x14ac:dyDescent="0.25">
      <c r="A11" t="s">
        <v>7</v>
      </c>
      <c r="B11" s="7">
        <f>'Live model'!$C$10</f>
        <v>0.13999999993597156</v>
      </c>
      <c r="C11" t="s">
        <v>8</v>
      </c>
    </row>
    <row r="12" spans="1:3" x14ac:dyDescent="0.25">
      <c r="A12" t="s">
        <v>9</v>
      </c>
      <c r="B12" s="7">
        <f>'Live model'!$C$12</f>
        <v>0.09450460552820006</v>
      </c>
      <c r="C12" t="s">
        <v>8</v>
      </c>
    </row>
    <row r="13" spans="1:3" x14ac:dyDescent="0.25">
      <c r="A13" t="s">
        <v>10</v>
      </c>
      <c r="B13" s="8">
        <f>'Live model'!$C$13</f>
        <v>1.3358203432289883e-12</v>
      </c>
      <c r="C13" t="s">
        <v>8</v>
      </c>
    </row>
    <row r="14" spans="1:3" x14ac:dyDescent="0.25">
      <c r="A14" t="s">
        <v>11</v>
      </c>
      <c r="B14" s="9">
        <f>'Live model'!$C$15</f>
        <v>1.2409240067652667</v>
      </c>
      <c r="C14" t="s">
        <v>8</v>
      </c>
    </row>
    <row r="15" spans="1:3" x14ac:dyDescent="0.25">
      <c r="A15" t="s">
        <v>12</v>
      </c>
      <c r="B15" s="9">
        <f>'Live model'!$C$16</f>
        <v>1.497110969947339</v>
      </c>
      <c r="C15" t="s">
        <v>8</v>
      </c>
    </row>
    <row r="16" spans="1:3" x14ac:dyDescent="0.25">
      <c r="A16" t="s">
        <v>13</v>
      </c>
      <c r="B16" s="10">
        <f>'Live model'!$C$19</f>
        <v>7</v>
      </c>
      <c r="C16" t="s">
        <v>8</v>
      </c>
    </row>
    <row r="17" spans="1:3" x14ac:dyDescent="0.25">
      <c r="A17" t="s">
        <v>14</v>
      </c>
      <c r="B17" s="8">
        <f>'Live model'!$C$20</f>
        <v>13561.777072949393</v>
      </c>
      <c r="C17" t="s">
        <v>15</v>
      </c>
    </row>
    <row r="18" spans="1:3" x14ac:dyDescent="0.25">
      <c r="A18" t="s">
        <v>16</v>
      </c>
      <c r="B18" s="8">
        <f>'Live model'!$C$21</f>
        <v>9493.243951064575</v>
      </c>
      <c r="C18" t="s">
        <v>8</v>
      </c>
    </row>
    <row r="19" spans="1:3" x14ac:dyDescent="0.25">
      <c r="A19" t="s">
        <v>17</v>
      </c>
      <c r="B19" s="8">
        <f>'Live model'!$C$22</f>
        <v>4068.5331218848187</v>
      </c>
      <c r="C19" t="s">
        <v>8</v>
      </c>
    </row>
    <row r="20" spans="1:3" x14ac:dyDescent="0.25">
      <c r="A20" t="s">
        <v>18</v>
      </c>
      <c r="B20" s="6">
        <f>'Live model'!$C$17</f>
        <v>6.99219993594397</v>
      </c>
      <c r="C20" t="s">
        <v>19</v>
      </c>
    </row>
    <row r="21" spans="1:3" x14ac:dyDescent="0.25">
      <c r="A21" t="s">
        <v>20</v>
      </c>
      <c r="B21" s="6">
        <v>7.523313468327065</v>
      </c>
      <c r="C21" t="s">
        <v>21</v>
      </c>
    </row>
    <row r="22" spans="1:3" x14ac:dyDescent="0.25">
      <c r="A22" t="s">
        <v>22</v>
      </c>
      <c r="B22" s="11">
        <v>3951.2447821711726</v>
      </c>
      <c r="C22" t="s">
        <v>23</v>
      </c>
    </row>
    <row r="23" spans="1:3" x14ac:dyDescent="0.25">
      <c r="A23" t="s">
        <v>24</v>
      </c>
      <c r="B23" s="11">
        <v>0</v>
      </c>
      <c r="C23" t="s">
        <v>8</v>
      </c>
    </row>
    <row r="24" spans="1:3" x14ac:dyDescent="0.25">
      <c r="A24" t="s">
        <v>25</v>
      </c>
      <c r="B24" s="8">
        <f>'Live model'!$C$23</f>
        <v>72107.64460755346</v>
      </c>
      <c r="C24" t="s">
        <v>8</v>
      </c>
    </row>
    <row r="25" spans="1:3" x14ac:dyDescent="0.25">
      <c r="A25" t="s">
        <v>26</v>
      </c>
      <c r="B25" s="12" t="s">
        <v>27</v>
      </c>
      <c r="C25" t="s">
        <v>28</v>
      </c>
    </row>
    <row r="27" spans="1:1" s="5" customFormat="1" x14ac:dyDescent="0.25">
      <c r="A27" s="5" t="s">
        <v>29</v>
      </c>
    </row>
    <row r="28" spans="1:3" x14ac:dyDescent="0.25">
      <c r="A28" t="s">
        <v>30</v>
      </c>
      <c r="B28" s="11">
        <v>500</v>
      </c>
      <c r="C28" t="s">
        <v>31</v>
      </c>
    </row>
    <row r="29" spans="1:3" x14ac:dyDescent="0.25">
      <c r="A29" t="s">
        <v>32</v>
      </c>
      <c r="B29" s="11">
        <v>1484.3823608169218</v>
      </c>
      <c r="C29" t="s">
        <v>33</v>
      </c>
    </row>
    <row r="30" spans="1:3" x14ac:dyDescent="0.25">
      <c r="A30" t="s">
        <v>34</v>
      </c>
      <c r="B30" s="11">
        <v>170.12629598950573</v>
      </c>
      <c r="C30" t="s">
        <v>35</v>
      </c>
    </row>
    <row r="31" spans="1:3" x14ac:dyDescent="0.25">
      <c r="A31" t="s">
        <v>36</v>
      </c>
      <c r="B31" s="11">
        <v>1205.7426353165583</v>
      </c>
      <c r="C31" t="s">
        <v>8</v>
      </c>
    </row>
    <row r="32" spans="1:3" x14ac:dyDescent="0.25">
      <c r="A32" t="s">
        <v>37</v>
      </c>
      <c r="B32" s="11">
        <v>4822.970541266233</v>
      </c>
      <c r="C32" t="s">
        <v>8</v>
      </c>
    </row>
    <row r="34" spans="1:1" s="5" customFormat="1" x14ac:dyDescent="0.25">
      <c r="A34" s="5" t="s">
        <v>38</v>
      </c>
    </row>
    <row r="35" spans="1:3" x14ac:dyDescent="0.25">
      <c r="A35" t="s">
        <v>39</v>
      </c>
      <c r="B35" s="11">
        <v>500</v>
      </c>
      <c r="C35" t="s">
        <v>8</v>
      </c>
    </row>
    <row r="36" spans="1:3" x14ac:dyDescent="0.25">
      <c r="A36" t="s">
        <v>40</v>
      </c>
      <c r="B36" s="12" t="s">
        <v>41</v>
      </c>
      <c r="C36" t="s">
        <v>8</v>
      </c>
    </row>
    <row r="37" spans="1:3" x14ac:dyDescent="0.25">
      <c r="A37" t="s">
        <v>42</v>
      </c>
      <c r="B37" s="12" t="s">
        <v>43</v>
      </c>
      <c r="C37" t="s">
        <v>8</v>
      </c>
    </row>
    <row r="38" spans="1:3" x14ac:dyDescent="0.25">
      <c r="A38" t="s">
        <v>28</v>
      </c>
      <c r="B38" s="12" t="s">
        <v>44</v>
      </c>
      <c r="C38" t="s">
        <v>8</v>
      </c>
    </row>
    <row r="39" spans="1:3" x14ac:dyDescent="0.25">
      <c r="A39" t="s">
        <v>45</v>
      </c>
      <c r="B39" s="12" t="s">
        <v>46</v>
      </c>
      <c r="C39" t="s">
        <v>8</v>
      </c>
    </row>
    <row r="40" spans="1:3" x14ac:dyDescent="0.25">
      <c r="A40" t="s">
        <v>47</v>
      </c>
      <c r="B40" s="12" t="s">
        <v>48</v>
      </c>
      <c r="C40" t="s">
        <v>8</v>
      </c>
    </row>
    <row r="42" spans="1:1" s="5" customFormat="1" x14ac:dyDescent="0.25">
      <c r="A42" s="5" t="s">
        <v>49</v>
      </c>
    </row>
    <row r="43" spans="1:3" x14ac:dyDescent="0.25">
      <c r="A43" t="s">
        <v>50</v>
      </c>
      <c r="B43" s="12" t="s">
        <v>51</v>
      </c>
      <c r="C43" t="s">
        <v>8</v>
      </c>
    </row>
    <row r="44" spans="1:3" x14ac:dyDescent="0.25">
      <c r="A44" t="s">
        <v>49</v>
      </c>
      <c r="B44" s="12" t="s">
        <v>52</v>
      </c>
      <c r="C44" t="s">
        <v>53</v>
      </c>
    </row>
    <row r="45" spans="1:3" x14ac:dyDescent="0.25">
      <c r="A45" t="s">
        <v>54</v>
      </c>
      <c r="B45" s="12" t="s">
        <v>55</v>
      </c>
      <c r="C45" t="s">
        <v>8</v>
      </c>
    </row>
    <row r="46" spans="1:3" x14ac:dyDescent="0.25">
      <c r="A46" t="s">
        <v>56</v>
      </c>
      <c r="B46" s="12" t="s">
        <v>57</v>
      </c>
      <c r="C46" t="s">
        <v>8</v>
      </c>
    </row>
    <row r="47" spans="1:3" x14ac:dyDescent="0.25">
      <c r="A47" t="s">
        <v>58</v>
      </c>
      <c r="B47" s="12" t="s">
        <v>59</v>
      </c>
      <c r="C47" t="s">
        <v>8</v>
      </c>
    </row>
    <row r="48" spans="1:3" x14ac:dyDescent="0.25">
      <c r="A48" t="s">
        <v>60</v>
      </c>
      <c r="B48" s="12" t="s">
        <v>59</v>
      </c>
      <c r="C48" t="s">
        <v>8</v>
      </c>
    </row>
    <row r="49" spans="1:3" x14ac:dyDescent="0.25">
      <c r="A49" t="s">
        <v>61</v>
      </c>
      <c r="B49" s="12" t="s">
        <v>62</v>
      </c>
      <c r="C49" t="s">
        <v>8</v>
      </c>
    </row>
    <row r="50" spans="1:3" x14ac:dyDescent="0.25">
      <c r="A50" t="s">
        <v>63</v>
      </c>
      <c r="B50" s="12" t="s">
        <v>8</v>
      </c>
      <c r="C50" t="s">
        <v>8</v>
      </c>
    </row>
    <row r="51" spans="1:3" x14ac:dyDescent="0.25">
      <c r="A51" t="s">
        <v>64</v>
      </c>
      <c r="B51" s="12" t="s">
        <v>59</v>
      </c>
      <c r="C51" t="s">
        <v>8</v>
      </c>
    </row>
    <row r="53" spans="1:1" s="13" customFormat="1" x14ac:dyDescent="0.25">
      <c r="A53" s="13" t="s">
        <v>65</v>
      </c>
    </row>
    <row r="54" spans="1:1" s="13" customFormat="1" x14ac:dyDescent="0.25">
      <c r="A54" s="13" t="s">
        <v>66</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1:AC201"/>
  <sheetViews>
    <sheetView workbookViewId="0" showGridLines="0">
      <pane xSplit="3" ySplit="5" topLeftCell="D6" activePane="bottomRight" state="frozen"/>
      <selection pane="bottomRight" activeCell="C1" sqref="C1"/>
    </sheetView>
  </sheetViews>
  <sheetFormatPr defaultRowHeight="15" outlineLevelRow="0" outlineLevelCol="0" x14ac:dyDescent="55"/>
  <cols>
    <col min="1" max="1" width="54" customWidth="1"/>
    <col min="2" max="3" width="16" customWidth="1"/>
    <col min="4" max="4" width="14" customWidth="1"/>
    <col min="5" max="29" width="12" customWidth="1"/>
  </cols>
  <sheetData>
    <row r="1" spans="1:1" x14ac:dyDescent="0.25">
      <c r="A1" s="1" t="s">
        <v>0</v>
      </c>
    </row>
    <row r="2" spans="1:1" x14ac:dyDescent="0.25">
      <c r="A2" s="2" t="s">
        <v>67</v>
      </c>
    </row>
    <row r="3" spans="1:4" x14ac:dyDescent="0.25">
      <c r="A3" s="14" t="s">
        <v>68</v>
      </c>
      <c r="B3" s="15" t="s">
        <v>69</v>
      </c>
      <c r="C3" s="16" t="s">
        <v>70</v>
      </c>
      <c r="D3" s="17" t="s">
        <v>71</v>
      </c>
    </row>
    <row r="4" spans="1:1" x14ac:dyDescent="0.25">
      <c r="A4" s="3" t="s">
        <v>72</v>
      </c>
    </row>
    <row r="5" spans="1:29" x14ac:dyDescent="0.25">
      <c r="A5" s="18" t="s">
        <v>73</v>
      </c>
      <c r="B5" s="18" t="s">
        <v>74</v>
      </c>
      <c r="C5" s="19" t="s">
        <v>75</v>
      </c>
      <c r="D5" s="19" t="s">
        <v>76</v>
      </c>
      <c r="E5" s="20">
        <v>1</v>
      </c>
      <c r="F5" s="20">
        <f>E5+1</f>
        <v>2</v>
      </c>
      <c r="G5" s="20">
        <f>F5+1</f>
        <v>3</v>
      </c>
      <c r="H5" s="20">
        <f>G5+1</f>
        <v>4</v>
      </c>
      <c r="I5" s="20">
        <f>H5+1</f>
        <v>5</v>
      </c>
      <c r="J5" s="20">
        <f>I5+1</f>
        <v>6</v>
      </c>
      <c r="K5" s="20">
        <f>J5+1</f>
        <v>7</v>
      </c>
      <c r="L5" s="20">
        <f>K5+1</f>
        <v>8</v>
      </c>
      <c r="M5" s="20">
        <f>L5+1</f>
        <v>9</v>
      </c>
      <c r="N5" s="20">
        <f>M5+1</f>
        <v>10</v>
      </c>
      <c r="O5" s="20">
        <f>N5+1</f>
        <v>11</v>
      </c>
      <c r="P5" s="20">
        <f>O5+1</f>
        <v>12</v>
      </c>
      <c r="Q5" s="20">
        <f>P5+1</f>
        <v>13</v>
      </c>
      <c r="R5" s="20">
        <f>Q5+1</f>
        <v>14</v>
      </c>
      <c r="S5" s="20">
        <f>R5+1</f>
        <v>15</v>
      </c>
      <c r="T5" s="20">
        <f>S5+1</f>
        <v>16</v>
      </c>
      <c r="U5" s="20">
        <f>T5+1</f>
        <v>17</v>
      </c>
      <c r="V5" s="20">
        <f>U5+1</f>
        <v>18</v>
      </c>
      <c r="W5" s="20">
        <f>V5+1</f>
        <v>19</v>
      </c>
      <c r="X5" s="20">
        <f>W5+1</f>
        <v>20</v>
      </c>
      <c r="Y5" s="20">
        <f>X5+1</f>
        <v>21</v>
      </c>
      <c r="Z5" s="20">
        <f>Y5+1</f>
        <v>22</v>
      </c>
      <c r="AA5" s="20">
        <f>Z5+1</f>
        <v>23</v>
      </c>
      <c r="AB5" s="20">
        <f>AA5+1</f>
        <v>24</v>
      </c>
      <c r="AC5" s="20">
        <f>AB5+1</f>
        <v>25</v>
      </c>
    </row>
    <row r="7" ht="20" customHeight="1" spans="1:29" x14ac:dyDescent="0.25">
      <c r="A7" s="21" t="s">
        <v>4</v>
      </c>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row>
    <row r="8" spans="1:6" x14ac:dyDescent="0.25">
      <c r="A8" s="23"/>
      <c r="B8" s="23"/>
      <c r="C8" s="24" t="s">
        <v>77</v>
      </c>
      <c r="D8" s="24" t="s">
        <v>78</v>
      </c>
      <c r="E8" s="24" t="s">
        <v>79</v>
      </c>
      <c r="F8" s="24" t="s">
        <v>80</v>
      </c>
    </row>
    <row r="9" spans="1:6" x14ac:dyDescent="0.25">
      <c r="A9" s="25" t="s">
        <v>81</v>
      </c>
      <c r="B9" s="26" t="s">
        <v>82</v>
      </c>
      <c r="C9" s="27">
        <f>$C$29</f>
        <v>7.523313468327059</v>
      </c>
      <c r="D9" s="28">
        <v>7.523313468327059</v>
      </c>
      <c r="E9" s="29">
        <f>IF(ISNUMBER(C9),C9-D9,"")</f>
        <v>0</v>
      </c>
      <c r="F9" s="12" t="str">
        <f>IF(ISNUMBER(E9),IF(ABS(E9)&lt;=0.000007523313468327059,"Yes","Changed"),"")</f>
        <v>Yes</v>
      </c>
    </row>
    <row r="10" spans="1:6" x14ac:dyDescent="0.25">
      <c r="A10" s="25" t="s">
        <v>7</v>
      </c>
      <c r="B10" s="26" t="s">
        <v>83</v>
      </c>
      <c r="C10" s="30">
        <f>IFERROR(IRR(D172:AC172),"n/a")</f>
        <v>0.1400000000002308</v>
      </c>
      <c r="D10" s="31">
        <v>0.13999999993597156</v>
      </c>
      <c r="E10" s="32">
        <f>IF(ISNUMBER(C10),C10-D10,"")</f>
        <v>6.42592368205186e-11</v>
      </c>
      <c r="F10" s="12" t="str">
        <f>IF(ISNUMBER(E10),IF(ABS(E10)&lt;=0.00001,"Yes","Changed"),"")</f>
        <v>Yes</v>
      </c>
    </row>
    <row r="11" spans="1:6" x14ac:dyDescent="0.25">
      <c r="A11" s="33" t="s">
        <v>84</v>
      </c>
      <c r="B11" s="26" t="s">
        <v>83</v>
      </c>
      <c r="C11" s="34">
        <f>IFERROR($C$10-$C$67,"n/a")</f>
        <v>2.307876112439544e-13</v>
      </c>
      <c r="D11" s="31">
        <v>-6.402844920927464e-11</v>
      </c>
      <c r="E11" s="32">
        <f>IF(ISNUMBER(C11),C11-D11,"")</f>
        <v>6.42592368205186e-11</v>
      </c>
      <c r="F11" s="12" t="str">
        <f>IF(ISNUMBER(E11),IF(ABS(E11)&lt;=0.00001,"Yes","Changed"),"")</f>
        <v>Yes</v>
      </c>
    </row>
    <row r="12" spans="1:6" x14ac:dyDescent="0.25">
      <c r="A12" s="33" t="s">
        <v>9</v>
      </c>
      <c r="B12" s="26" t="s">
        <v>83</v>
      </c>
      <c r="C12" s="34">
        <f>IFERROR(IRR(D176:AC176),"n/a")</f>
        <v>0.09450460533598859</v>
      </c>
      <c r="D12" s="31">
        <v>0.09450460552820006</v>
      </c>
      <c r="E12" s="32">
        <f>IF(ISNUMBER(C12),C12-D12,"")</f>
        <v>-1.9221146896342134e-10</v>
      </c>
      <c r="F12" s="12" t="str">
        <f>IF(ISNUMBER(E12),IF(ABS(E12)&lt;=0.00001,"Yes","Changed"),"")</f>
        <v>Yes</v>
      </c>
    </row>
    <row r="13" spans="1:6" x14ac:dyDescent="0.25">
      <c r="A13" s="33" t="s">
        <v>85</v>
      </c>
      <c r="B13" s="26" t="s">
        <v>86</v>
      </c>
      <c r="C13" s="35">
        <f>D172+NPV($C$67,E172:AC172)</f>
        <v>1.5916157281026244e-12</v>
      </c>
      <c r="D13" s="36">
        <v>1.3358203432289883e-12</v>
      </c>
      <c r="E13" s="37">
        <f>IF(ISNUMBER(C13),C13-D13,"")</f>
        <v>2.5579538487363607e-13</v>
      </c>
      <c r="F13" s="12" t="str">
        <f>IF(ISNUMBER(E13),IF(ABS(E13)&lt;=0.000001,"Yes","Changed"),"")</f>
        <v>Yes</v>
      </c>
    </row>
    <row r="14" spans="1:6" x14ac:dyDescent="0.25">
      <c r="A14" s="33" t="s">
        <v>87</v>
      </c>
      <c r="B14" s="26" t="s">
        <v>86</v>
      </c>
      <c r="C14" s="35">
        <f>D176+NPV($C$68,E176:AC176)</f>
        <v>-454.5771421820848</v>
      </c>
      <c r="D14" s="36">
        <v>-454.57714218208406</v>
      </c>
      <c r="E14" s="37">
        <f>IF(ISNUMBER(C14),C14-D14,"")</f>
        <v>-7.389644451905042e-13</v>
      </c>
      <c r="F14" s="12" t="str">
        <f>IF(ISNUMBER(E14),IF(ABS(E14)&lt;=0.00045457714218208404,"Yes","Changed"),"")</f>
        <v>Yes</v>
      </c>
    </row>
    <row r="15" spans="1:6" x14ac:dyDescent="0.25">
      <c r="A15" s="33" t="s">
        <v>11</v>
      </c>
      <c r="B15" s="26" t="s">
        <v>88</v>
      </c>
      <c r="C15" s="38">
        <f>IF(COUNT(E169:AC169)=0,"",MIN(E169:AC169))</f>
        <v>1.2409240067652667</v>
      </c>
      <c r="D15" s="39">
        <v>1.2409240067652667</v>
      </c>
      <c r="E15" s="40">
        <f>IF(ISNUMBER(C15),C15-D15,"")</f>
        <v>0</v>
      </c>
      <c r="F15" s="12" t="str">
        <f>IF(ISNUMBER(E15),IF(ABS(E15)&lt;=0.0000012409240067652666,"Yes","Changed"),"")</f>
        <v>Yes</v>
      </c>
    </row>
    <row r="16" spans="1:6" x14ac:dyDescent="0.25">
      <c r="A16" s="33" t="s">
        <v>12</v>
      </c>
      <c r="B16" s="26" t="s">
        <v>88</v>
      </c>
      <c r="C16" s="38">
        <f>IF(COUNT(E169:AC169)=0,"",AVERAGE(E169:AC169))</f>
        <v>1.497110969947339</v>
      </c>
      <c r="D16" s="39">
        <v>1.497110969947339</v>
      </c>
      <c r="E16" s="40">
        <f>IF(ISNUMBER(C16),C16-D16,"")</f>
        <v>0</v>
      </c>
      <c r="F16" s="12" t="str">
        <f>IF(ISNUMBER(E16),IF(ABS(E16)&lt;=0.000001497110969947339,"Yes","Changed"),"")</f>
        <v>Yes</v>
      </c>
    </row>
    <row r="17" spans="1:6" x14ac:dyDescent="0.25">
      <c r="A17" s="33" t="s">
        <v>89</v>
      </c>
      <c r="B17" s="26" t="s">
        <v>82</v>
      </c>
      <c r="C17" s="41">
        <f>IF(C181&gt;0,($C$85+C180)*10/C181,"")</f>
        <v>6.992199935943966</v>
      </c>
      <c r="D17" s="28">
        <v>6.99219993594397</v>
      </c>
      <c r="E17" s="29">
        <f>IF(ISNUMBER(C17),C17-D17,"")</f>
        <v>-3.552713678800501e-15</v>
      </c>
      <c r="F17" s="12" t="str">
        <f>IF(ISNUMBER(E17),IF(ABS(E17)&lt;=0.000006992199935943969,"Yes","Changed"),"")</f>
        <v>Yes</v>
      </c>
    </row>
    <row r="18" spans="1:6" x14ac:dyDescent="0.25">
      <c r="A18" s="33" t="s">
        <v>90</v>
      </c>
      <c r="B18" s="26" t="s">
        <v>82</v>
      </c>
      <c r="C18" s="41">
        <f>IF(C181&gt;0,C182*10/C181,"")</f>
        <v>7.523313468327055</v>
      </c>
      <c r="D18" s="28">
        <v>7.52331346832706</v>
      </c>
      <c r="E18" s="29">
        <f>IF(ISNUMBER(C18),C18-D18,"")</f>
        <v>-4.440892098500626e-15</v>
      </c>
      <c r="F18" s="12" t="str">
        <f>IF(ISNUMBER(E18),IF(ABS(E18)&lt;=0.0000075233134683270595,"Yes","Changed"),"")</f>
        <v>Yes</v>
      </c>
    </row>
    <row r="19" spans="1:6" x14ac:dyDescent="0.25">
      <c r="A19" s="33" t="s">
        <v>91</v>
      </c>
      <c r="B19" s="26" t="s">
        <v>92</v>
      </c>
      <c r="C19" s="42">
        <f>IF(COUNT(E174:AC174)=0,"beyond the term",MIN(E174:AC174))</f>
        <v>7</v>
      </c>
      <c r="D19" s="43">
        <v>7</v>
      </c>
      <c r="E19" s="44">
        <f>IF(ISNUMBER(C19),C19-D19,"")</f>
        <v>0</v>
      </c>
      <c r="F19" s="12" t="str">
        <f>IF(ISNUMBER(E19),IF(ABS(E19)&lt;=0.000007,"Yes","Changed"),"")</f>
        <v>Yes</v>
      </c>
    </row>
    <row r="20" spans="1:6" x14ac:dyDescent="0.25">
      <c r="A20" s="33" t="s">
        <v>93</v>
      </c>
      <c r="B20" s="26" t="s">
        <v>86</v>
      </c>
      <c r="C20" s="35">
        <f>$C$85</f>
        <v>13561.777072949391</v>
      </c>
      <c r="D20" s="36">
        <v>13561.777072949393</v>
      </c>
      <c r="E20" s="37">
        <f>IF(ISNUMBER(C20),C20-D20,"")</f>
        <v>-1.8189894035458565e-12</v>
      </c>
      <c r="F20" s="12" t="str">
        <f>IF(ISNUMBER(E20),IF(ABS(E20)&lt;=0.013561777072949392,"Yes","Changed"),"")</f>
        <v>Yes</v>
      </c>
    </row>
    <row r="21" spans="1:6" x14ac:dyDescent="0.25">
      <c r="A21" s="33" t="s">
        <v>94</v>
      </c>
      <c r="B21" s="26" t="s">
        <v>86</v>
      </c>
      <c r="C21" s="35">
        <f>$C$86</f>
        <v>9493.243951064573</v>
      </c>
      <c r="D21" s="36">
        <v>9493.243951064575</v>
      </c>
      <c r="E21" s="37">
        <f>IF(ISNUMBER(C21),C21-D21,"")</f>
        <v>-1.8189894035458565e-12</v>
      </c>
      <c r="F21" s="12" t="str">
        <f>IF(ISNUMBER(E21),IF(ABS(E21)&lt;=0.009493243951064574,"Yes","Changed"),"")</f>
        <v>Yes</v>
      </c>
    </row>
    <row r="22" spans="1:6" x14ac:dyDescent="0.25">
      <c r="A22" s="33" t="s">
        <v>95</v>
      </c>
      <c r="B22" s="26" t="s">
        <v>86</v>
      </c>
      <c r="C22" s="35">
        <f>$C$87</f>
        <v>4068.5331218848187</v>
      </c>
      <c r="D22" s="36">
        <v>4068.5331218848187</v>
      </c>
      <c r="E22" s="37">
        <f>IF(ISNUMBER(C22),C22-D22,"")</f>
        <v>0</v>
      </c>
      <c r="F22" s="12" t="str">
        <f>IF(ISNUMBER(E22),IF(ABS(E22)&lt;=0.004068533121884818,"Yes","Changed"),"")</f>
        <v>Yes</v>
      </c>
    </row>
    <row r="23" spans="1:6" x14ac:dyDescent="0.25">
      <c r="A23" s="33" t="s">
        <v>96</v>
      </c>
      <c r="B23" s="26" t="s">
        <v>86</v>
      </c>
      <c r="C23" s="35">
        <f>C116</f>
        <v>72107.64460755348</v>
      </c>
      <c r="D23" s="36">
        <v>72107.64460755346</v>
      </c>
      <c r="E23" s="37">
        <f>IF(ISNUMBER(C23),C23-D23,"")</f>
        <v>1.4551915228366852e-11</v>
      </c>
      <c r="F23" s="12" t="str">
        <f>IF(ISNUMBER(E23),IF(ABS(E23)&lt;=0.07210764460755346,"Yes","Changed"),"")</f>
        <v>Yes</v>
      </c>
    </row>
    <row r="24" spans="1:6" x14ac:dyDescent="0.25">
      <c r="A24" s="33" t="s">
        <v>97</v>
      </c>
      <c r="C24" s="45" t="str">
        <f>IF(AND($C$196="OK",$C$197="OK",$C$198="OK",$C$199="OK"),"OK","CHECK")</f>
        <v>OK</v>
      </c>
      <c r="F24" s="12" t="str">
        <f>IF(C24="OK","OK","CHECK")</f>
        <v>OK</v>
      </c>
    </row>
    <row r="25" spans="1:1" x14ac:dyDescent="0.25">
      <c r="A25" s="13" t="s">
        <v>98</v>
      </c>
    </row>
    <row r="27" ht="20" customHeight="1" spans="1:29" x14ac:dyDescent="0.25">
      <c r="A27" s="21" t="s">
        <v>99</v>
      </c>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row>
    <row r="28" spans="1:4" x14ac:dyDescent="0.25">
      <c r="A28" s="46" t="s">
        <v>100</v>
      </c>
      <c r="B28" s="47"/>
      <c r="C28" s="47"/>
      <c r="D28" s="47"/>
    </row>
    <row r="29" spans="1:4" x14ac:dyDescent="0.25">
      <c r="A29" s="33" t="s">
        <v>81</v>
      </c>
      <c r="B29" s="26" t="s">
        <v>82</v>
      </c>
      <c r="C29" s="48">
        <v>7.523313468327059</v>
      </c>
      <c r="D29" s="3" t="s">
        <v>101</v>
      </c>
    </row>
    <row r="30" spans="1:4" x14ac:dyDescent="0.25">
      <c r="A30" s="33" t="s">
        <v>102</v>
      </c>
      <c r="B30" s="26" t="s">
        <v>103</v>
      </c>
      <c r="C30" s="49">
        <v>0</v>
      </c>
      <c r="D30" s="50" t="s">
        <v>104</v>
      </c>
    </row>
    <row r="31" spans="1:4" x14ac:dyDescent="0.25">
      <c r="A31" s="46" t="s">
        <v>105</v>
      </c>
      <c r="B31" s="47"/>
      <c r="C31" s="47"/>
      <c r="D31" s="47"/>
    </row>
    <row r="32" spans="1:4" x14ac:dyDescent="0.25">
      <c r="A32" s="33" t="s">
        <v>40</v>
      </c>
      <c r="B32" s="26" t="s">
        <v>106</v>
      </c>
      <c r="C32" s="51">
        <v>1484.3823608169218</v>
      </c>
      <c r="D32" s="3" t="s">
        <v>107</v>
      </c>
    </row>
    <row r="33" spans="1:4" x14ac:dyDescent="0.25">
      <c r="A33" s="33" t="s">
        <v>42</v>
      </c>
      <c r="B33" s="26" t="s">
        <v>106</v>
      </c>
      <c r="C33" s="51">
        <v>170.12629598950573</v>
      </c>
      <c r="D33" s="3" t="s">
        <v>107</v>
      </c>
    </row>
    <row r="34" spans="1:4" x14ac:dyDescent="0.25">
      <c r="A34" s="33" t="s">
        <v>108</v>
      </c>
      <c r="B34" s="26" t="s">
        <v>106</v>
      </c>
      <c r="C34" s="51">
        <v>1205.7426353165583</v>
      </c>
      <c r="D34" s="3" t="s">
        <v>107</v>
      </c>
    </row>
    <row r="35" spans="1:4" x14ac:dyDescent="0.25">
      <c r="A35" s="33" t="s">
        <v>109</v>
      </c>
      <c r="B35" s="26" t="s">
        <v>110</v>
      </c>
      <c r="C35" s="51">
        <v>4822.970541266233</v>
      </c>
      <c r="D35" s="3" t="s">
        <v>107</v>
      </c>
    </row>
    <row r="36" spans="1:4" x14ac:dyDescent="0.25">
      <c r="A36" s="46" t="s">
        <v>111</v>
      </c>
      <c r="B36" s="47"/>
      <c r="C36" s="47"/>
      <c r="D36" s="47"/>
    </row>
    <row r="37" spans="1:4" x14ac:dyDescent="0.25">
      <c r="A37" s="33" t="s">
        <v>40</v>
      </c>
      <c r="B37" s="26" t="s">
        <v>112</v>
      </c>
      <c r="C37" s="52">
        <v>4</v>
      </c>
      <c r="D37" s="50" t="s">
        <v>104</v>
      </c>
    </row>
    <row r="38" spans="1:4" x14ac:dyDescent="0.25">
      <c r="A38" s="33" t="s">
        <v>42</v>
      </c>
      <c r="B38" s="26" t="s">
        <v>112</v>
      </c>
      <c r="C38" s="52">
        <v>7</v>
      </c>
      <c r="D38" s="50" t="s">
        <v>104</v>
      </c>
    </row>
    <row r="39" spans="1:4" x14ac:dyDescent="0.25">
      <c r="A39" s="33" t="s">
        <v>109</v>
      </c>
      <c r="B39" s="26" t="s">
        <v>113</v>
      </c>
      <c r="C39" s="52">
        <v>1.2</v>
      </c>
      <c r="D39" s="50" t="s">
        <v>104</v>
      </c>
    </row>
    <row r="40" spans="1:4" x14ac:dyDescent="0.25">
      <c r="A40" s="33" t="s">
        <v>114</v>
      </c>
      <c r="B40" s="26" t="s">
        <v>112</v>
      </c>
      <c r="C40" s="52">
        <v>0</v>
      </c>
      <c r="D40" s="3" t="s">
        <v>115</v>
      </c>
    </row>
    <row r="41" spans="1:4" x14ac:dyDescent="0.25">
      <c r="A41" s="33" t="s">
        <v>116</v>
      </c>
      <c r="B41" s="26" t="s">
        <v>86</v>
      </c>
      <c r="C41" s="53">
        <v>0</v>
      </c>
      <c r="D41" s="50" t="s">
        <v>104</v>
      </c>
    </row>
    <row r="42" spans="1:4" x14ac:dyDescent="0.25">
      <c r="A42" s="33" t="s">
        <v>117</v>
      </c>
      <c r="B42" s="26" t="s">
        <v>118</v>
      </c>
      <c r="C42" s="49">
        <v>0.05</v>
      </c>
      <c r="D42" s="50" t="s">
        <v>104</v>
      </c>
    </row>
    <row r="43" spans="1:4" x14ac:dyDescent="0.25">
      <c r="A43" s="46" t="s">
        <v>119</v>
      </c>
      <c r="B43" s="47"/>
      <c r="C43" s="47"/>
      <c r="D43" s="47"/>
    </row>
    <row r="44" spans="1:4" x14ac:dyDescent="0.25">
      <c r="A44" s="33" t="s">
        <v>120</v>
      </c>
      <c r="B44" s="26" t="s">
        <v>121</v>
      </c>
      <c r="C44" s="52">
        <v>4</v>
      </c>
      <c r="D44" s="50" t="s">
        <v>104</v>
      </c>
    </row>
    <row r="45" spans="1:4" x14ac:dyDescent="0.25">
      <c r="A45" s="33" t="s">
        <v>122</v>
      </c>
      <c r="B45" s="26" t="s">
        <v>123</v>
      </c>
      <c r="C45" s="52">
        <v>1.2</v>
      </c>
      <c r="D45" s="50" t="s">
        <v>104</v>
      </c>
    </row>
    <row r="46" spans="1:4" x14ac:dyDescent="0.25">
      <c r="A46" s="33" t="s">
        <v>124</v>
      </c>
      <c r="B46" s="26" t="s">
        <v>121</v>
      </c>
      <c r="C46" s="52">
        <v>40</v>
      </c>
      <c r="D46" s="50" t="s">
        <v>104</v>
      </c>
    </row>
    <row r="47" spans="1:4" x14ac:dyDescent="0.25">
      <c r="A47" s="33" t="s">
        <v>125</v>
      </c>
      <c r="B47" s="26" t="s">
        <v>103</v>
      </c>
      <c r="C47" s="49">
        <v>0.05</v>
      </c>
      <c r="D47" s="50" t="s">
        <v>104</v>
      </c>
    </row>
    <row r="48" spans="1:4" x14ac:dyDescent="0.25">
      <c r="A48" s="33" t="s">
        <v>126</v>
      </c>
      <c r="B48" s="26" t="s">
        <v>127</v>
      </c>
      <c r="C48" s="49">
        <v>0.003</v>
      </c>
      <c r="D48" s="50" t="s">
        <v>104</v>
      </c>
    </row>
    <row r="49" spans="1:4" x14ac:dyDescent="0.25">
      <c r="A49" s="33" t="s">
        <v>128</v>
      </c>
      <c r="B49" s="26" t="s">
        <v>129</v>
      </c>
      <c r="C49" s="53">
        <v>0</v>
      </c>
      <c r="D49" s="3" t="s">
        <v>130</v>
      </c>
    </row>
    <row r="50" spans="1:4" x14ac:dyDescent="0.25">
      <c r="A50" s="33" t="s">
        <v>131</v>
      </c>
      <c r="B50" s="26" t="s">
        <v>82</v>
      </c>
      <c r="C50" s="48">
        <v>4.5</v>
      </c>
      <c r="D50" s="50" t="s">
        <v>104</v>
      </c>
    </row>
    <row r="51" spans="1:4" x14ac:dyDescent="0.25">
      <c r="A51" s="33" t="s">
        <v>132</v>
      </c>
      <c r="B51" s="26" t="s">
        <v>103</v>
      </c>
      <c r="C51" s="49">
        <v>0.05</v>
      </c>
      <c r="D51" s="50" t="s">
        <v>104</v>
      </c>
    </row>
    <row r="52" spans="1:4" x14ac:dyDescent="0.25">
      <c r="A52" s="46" t="s">
        <v>133</v>
      </c>
      <c r="B52" s="47"/>
      <c r="C52" s="47"/>
      <c r="D52" s="47"/>
    </row>
    <row r="53" spans="1:4" x14ac:dyDescent="0.25">
      <c r="A53" s="33" t="s">
        <v>134</v>
      </c>
      <c r="B53" s="26" t="s">
        <v>135</v>
      </c>
      <c r="C53" s="54" t="s">
        <v>136</v>
      </c>
      <c r="D53" s="50" t="s">
        <v>104</v>
      </c>
    </row>
    <row r="54" spans="1:4" x14ac:dyDescent="0.25">
      <c r="A54" s="33" t="s">
        <v>137</v>
      </c>
      <c r="B54" s="26" t="s">
        <v>82</v>
      </c>
      <c r="C54" s="48">
        <v>0</v>
      </c>
      <c r="D54" s="3" t="s">
        <v>138</v>
      </c>
    </row>
    <row r="55" spans="1:4" x14ac:dyDescent="0.25">
      <c r="A55" s="33" t="s">
        <v>139</v>
      </c>
      <c r="B55" s="26" t="s">
        <v>140</v>
      </c>
      <c r="C55" s="49">
        <v>0</v>
      </c>
      <c r="D55" s="3" t="s">
        <v>49</v>
      </c>
    </row>
    <row r="56" spans="1:4" x14ac:dyDescent="0.25">
      <c r="A56" s="33" t="s">
        <v>141</v>
      </c>
      <c r="B56" s="26" t="s">
        <v>142</v>
      </c>
      <c r="C56" s="48">
        <v>0</v>
      </c>
      <c r="D56" s="3" t="s">
        <v>130</v>
      </c>
    </row>
    <row r="57" spans="1:4" x14ac:dyDescent="0.25">
      <c r="A57" s="46" t="s">
        <v>143</v>
      </c>
      <c r="B57" s="47"/>
      <c r="C57" s="47"/>
      <c r="D57" s="47"/>
    </row>
    <row r="58" spans="1:4" x14ac:dyDescent="0.25">
      <c r="A58" s="33" t="s">
        <v>144</v>
      </c>
      <c r="B58" s="26" t="s">
        <v>145</v>
      </c>
      <c r="C58" s="54" t="s">
        <v>146</v>
      </c>
      <c r="D58" s="50" t="s">
        <v>104</v>
      </c>
    </row>
    <row r="59" spans="1:4" x14ac:dyDescent="0.25">
      <c r="A59" s="33" t="s">
        <v>147</v>
      </c>
      <c r="B59" s="26" t="s">
        <v>103</v>
      </c>
      <c r="C59" s="49">
        <v>0.02</v>
      </c>
      <c r="D59" s="50" t="s">
        <v>104</v>
      </c>
    </row>
    <row r="60" spans="1:4" x14ac:dyDescent="0.25">
      <c r="A60" s="33" t="s">
        <v>148</v>
      </c>
      <c r="B60" s="26" t="s">
        <v>92</v>
      </c>
      <c r="C60" s="55">
        <v>12</v>
      </c>
      <c r="D60" s="3" t="s">
        <v>149</v>
      </c>
    </row>
    <row r="61" spans="1:4" x14ac:dyDescent="0.25">
      <c r="A61" s="33" t="s">
        <v>150</v>
      </c>
      <c r="B61" s="26" t="s">
        <v>103</v>
      </c>
      <c r="C61" s="49">
        <v>0</v>
      </c>
      <c r="D61" s="3" t="s">
        <v>130</v>
      </c>
    </row>
    <row r="62" spans="1:4" x14ac:dyDescent="0.25">
      <c r="A62" s="46" t="s">
        <v>45</v>
      </c>
      <c r="B62" s="47"/>
      <c r="C62" s="47"/>
      <c r="D62" s="47"/>
    </row>
    <row r="63" spans="1:4" x14ac:dyDescent="0.25">
      <c r="A63" s="33" t="s">
        <v>151</v>
      </c>
      <c r="B63" s="26" t="s">
        <v>152</v>
      </c>
      <c r="C63" s="49">
        <v>0.7</v>
      </c>
      <c r="D63" s="50" t="s">
        <v>104</v>
      </c>
    </row>
    <row r="64" spans="1:4" x14ac:dyDescent="0.25">
      <c r="A64" s="33" t="s">
        <v>153</v>
      </c>
      <c r="B64" s="26" t="s">
        <v>103</v>
      </c>
      <c r="C64" s="49">
        <v>0.09</v>
      </c>
      <c r="D64" s="50" t="s">
        <v>104</v>
      </c>
    </row>
    <row r="65" spans="1:4" x14ac:dyDescent="0.25">
      <c r="A65" s="33" t="s">
        <v>154</v>
      </c>
      <c r="B65" s="26" t="s">
        <v>155</v>
      </c>
      <c r="C65" s="55">
        <v>15</v>
      </c>
      <c r="D65" s="50" t="s">
        <v>104</v>
      </c>
    </row>
    <row r="66" spans="1:4" x14ac:dyDescent="0.25">
      <c r="A66" s="33" t="s">
        <v>156</v>
      </c>
      <c r="B66" s="26" t="s">
        <v>157</v>
      </c>
      <c r="C66" s="54" t="s">
        <v>158</v>
      </c>
      <c r="D66" s="3" t="s">
        <v>130</v>
      </c>
    </row>
    <row r="67" spans="1:4" x14ac:dyDescent="0.25">
      <c r="A67" s="33" t="s">
        <v>159</v>
      </c>
      <c r="B67" s="26" t="s">
        <v>83</v>
      </c>
      <c r="C67" s="49">
        <v>0.14</v>
      </c>
      <c r="D67" s="50" t="s">
        <v>104</v>
      </c>
    </row>
    <row r="68" spans="1:4" x14ac:dyDescent="0.25">
      <c r="A68" s="33" t="s">
        <v>160</v>
      </c>
      <c r="B68" s="26" t="s">
        <v>83</v>
      </c>
      <c r="C68" s="49">
        <v>0.1</v>
      </c>
      <c r="D68" s="3" t="s">
        <v>130</v>
      </c>
    </row>
    <row r="69" spans="1:4" x14ac:dyDescent="0.25">
      <c r="A69" s="46" t="s">
        <v>161</v>
      </c>
      <c r="B69" s="47"/>
      <c r="C69" s="47"/>
      <c r="D69" s="47"/>
    </row>
    <row r="70" spans="1:4" x14ac:dyDescent="0.25">
      <c r="A70" s="33" t="s">
        <v>162</v>
      </c>
      <c r="B70" s="26" t="s">
        <v>83</v>
      </c>
      <c r="C70" s="49">
        <v>0.2517</v>
      </c>
      <c r="D70" s="50" t="s">
        <v>104</v>
      </c>
    </row>
    <row r="71" spans="1:4" x14ac:dyDescent="0.25">
      <c r="A71" s="33" t="s">
        <v>163</v>
      </c>
      <c r="B71" s="26" t="s">
        <v>164</v>
      </c>
      <c r="C71" s="54" t="s">
        <v>165</v>
      </c>
      <c r="D71" s="3" t="s">
        <v>130</v>
      </c>
    </row>
    <row r="72" spans="1:4" x14ac:dyDescent="0.25">
      <c r="A72" s="33" t="s">
        <v>166</v>
      </c>
      <c r="B72" s="26" t="s">
        <v>103</v>
      </c>
      <c r="C72" s="49">
        <v>0.4</v>
      </c>
      <c r="D72" s="3" t="s">
        <v>130</v>
      </c>
    </row>
    <row r="73" spans="1:4" x14ac:dyDescent="0.25">
      <c r="A73" s="33" t="s">
        <v>167</v>
      </c>
      <c r="B73" s="26" t="s">
        <v>155</v>
      </c>
      <c r="C73" s="55">
        <v>25</v>
      </c>
      <c r="D73" s="3" t="s">
        <v>130</v>
      </c>
    </row>
    <row r="74" spans="1:4" x14ac:dyDescent="0.25">
      <c r="A74" s="33" t="s">
        <v>168</v>
      </c>
      <c r="B74" s="26" t="s">
        <v>152</v>
      </c>
      <c r="C74" s="49">
        <v>0.1</v>
      </c>
      <c r="D74" s="3" t="s">
        <v>130</v>
      </c>
    </row>
    <row r="75" spans="1:4" x14ac:dyDescent="0.25">
      <c r="A75" s="33" t="s">
        <v>169</v>
      </c>
      <c r="B75" s="26" t="s">
        <v>170</v>
      </c>
      <c r="C75" s="55">
        <v>45</v>
      </c>
      <c r="D75" s="3" t="s">
        <v>130</v>
      </c>
    </row>
    <row r="77" ht="20" customHeight="1" spans="1:29" x14ac:dyDescent="0.25">
      <c r="A77" s="21" t="s">
        <v>171</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spans="1:3" x14ac:dyDescent="0.25">
      <c r="A78" s="33" t="s">
        <v>40</v>
      </c>
      <c r="B78" s="26" t="s">
        <v>86</v>
      </c>
      <c r="C78" s="37">
        <f>$C$32*$C$37</f>
        <v>5937.529443267687</v>
      </c>
    </row>
    <row r="79" spans="1:3" x14ac:dyDescent="0.25">
      <c r="A79" s="33" t="s">
        <v>42</v>
      </c>
      <c r="B79" s="26" t="s">
        <v>86</v>
      </c>
      <c r="C79" s="37">
        <f>$C$33*$C$38</f>
        <v>1190.8840719265402</v>
      </c>
    </row>
    <row r="80" spans="1:3" x14ac:dyDescent="0.25">
      <c r="A80" s="33" t="s">
        <v>109</v>
      </c>
      <c r="B80" s="26" t="s">
        <v>86</v>
      </c>
      <c r="C80" s="37">
        <f>$C$35*$C$39</f>
        <v>5787.56464951948</v>
      </c>
    </row>
    <row r="81" spans="1:3" x14ac:dyDescent="0.25">
      <c r="A81" s="33" t="s">
        <v>114</v>
      </c>
      <c r="B81" s="26" t="s">
        <v>86</v>
      </c>
      <c r="C81" s="37">
        <f>$C$34*$C$40</f>
        <v>0</v>
      </c>
    </row>
    <row r="82" spans="1:3" x14ac:dyDescent="0.25">
      <c r="A82" s="33" t="s">
        <v>116</v>
      </c>
      <c r="B82" s="26" t="s">
        <v>86</v>
      </c>
      <c r="C82" s="37">
        <f>$C$41</f>
        <v>0</v>
      </c>
    </row>
    <row r="83" spans="1:3" x14ac:dyDescent="0.25">
      <c r="A83" s="25" t="s">
        <v>172</v>
      </c>
      <c r="B83" s="26" t="s">
        <v>86</v>
      </c>
      <c r="C83" s="56">
        <f>SUM($C$78:$C$82)</f>
        <v>12915.978164713706</v>
      </c>
    </row>
    <row r="84" spans="1:3" x14ac:dyDescent="0.25">
      <c r="A84" s="33" t="s">
        <v>117</v>
      </c>
      <c r="B84" s="26" t="s">
        <v>86</v>
      </c>
      <c r="C84" s="37">
        <f>$C$83*$C$42</f>
        <v>645.7989082356853</v>
      </c>
    </row>
    <row r="85" spans="1:3" x14ac:dyDescent="0.25">
      <c r="A85" s="25" t="s">
        <v>173</v>
      </c>
      <c r="B85" s="26" t="s">
        <v>86</v>
      </c>
      <c r="C85" s="56">
        <f>$C$83+$C$84</f>
        <v>13561.777072949391</v>
      </c>
    </row>
    <row r="86" spans="1:3" x14ac:dyDescent="0.25">
      <c r="A86" s="33" t="s">
        <v>94</v>
      </c>
      <c r="B86" s="26" t="s">
        <v>86</v>
      </c>
      <c r="C86" s="37">
        <f>$C$85*$C$63</f>
        <v>9493.243951064573</v>
      </c>
    </row>
    <row r="87" spans="1:3" x14ac:dyDescent="0.25">
      <c r="A87" s="33" t="s">
        <v>95</v>
      </c>
      <c r="B87" s="26" t="s">
        <v>86</v>
      </c>
      <c r="C87" s="37">
        <f>$C$85-$C$86</f>
        <v>4068.5331218848187</v>
      </c>
    </row>
    <row r="88" spans="1:3" x14ac:dyDescent="0.25">
      <c r="A88" s="33" t="s">
        <v>174</v>
      </c>
      <c r="B88" s="26" t="s">
        <v>155</v>
      </c>
      <c r="C88" s="44">
        <f>COUNT(E5:AC5)</f>
        <v>25</v>
      </c>
    </row>
    <row r="89" spans="1:3" x14ac:dyDescent="0.25">
      <c r="A89" s="33" t="s">
        <v>175</v>
      </c>
      <c r="B89" s="26" t="s">
        <v>155</v>
      </c>
      <c r="C89" s="44">
        <f>MIN($C$88,MAX(1,ROUND($C$65,0)))</f>
        <v>15</v>
      </c>
    </row>
    <row r="90" spans="1:3" x14ac:dyDescent="0.25">
      <c r="A90" s="33" t="s">
        <v>176</v>
      </c>
      <c r="B90" s="26" t="s">
        <v>129</v>
      </c>
      <c r="C90" s="37">
        <f>IF($C$64&lt;=0,$C$86/$C$89,$C$86*$C$64*(1+$C$64)^$C$89/((1+$C$64)^$C$89-1))</f>
        <v>1177.7212372958852</v>
      </c>
    </row>
    <row r="91" spans="1:3" x14ac:dyDescent="0.25">
      <c r="A91" s="33" t="s">
        <v>177</v>
      </c>
      <c r="B91" s="26" t="s">
        <v>129</v>
      </c>
      <c r="C91" s="37">
        <f>$C$86/$C$89</f>
        <v>632.8829300709715</v>
      </c>
    </row>
    <row r="92" spans="1:3" x14ac:dyDescent="0.25">
      <c r="A92" s="33" t="s">
        <v>178</v>
      </c>
      <c r="B92" s="26" t="s">
        <v>86</v>
      </c>
      <c r="C92" s="37">
        <f>$C$85*(1-$C$74)</f>
        <v>12205.599365654452</v>
      </c>
    </row>
    <row r="93" spans="1:3" x14ac:dyDescent="0.25">
      <c r="A93" s="33" t="s">
        <v>179</v>
      </c>
      <c r="B93" s="26" t="s">
        <v>129</v>
      </c>
      <c r="C93" s="37">
        <f>$C$92/$C$73</f>
        <v>488.2239746261781</v>
      </c>
    </row>
    <row r="95" ht="20" customHeight="1" spans="1:29" x14ac:dyDescent="0.25">
      <c r="A95" s="21" t="s">
        <v>180</v>
      </c>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row>
    <row r="96" spans="1:29" x14ac:dyDescent="0.25">
      <c r="A96" s="33" t="s">
        <v>181</v>
      </c>
      <c r="B96" s="26" t="s">
        <v>182</v>
      </c>
      <c r="C96" s="57">
        <f>SUM(E96:AC96)</f>
        <v>109500</v>
      </c>
      <c r="E96" s="51">
        <v>4380</v>
      </c>
      <c r="F96" s="51">
        <v>4380</v>
      </c>
      <c r="G96" s="51">
        <v>4380</v>
      </c>
      <c r="H96" s="51">
        <v>4380</v>
      </c>
      <c r="I96" s="51">
        <v>4380</v>
      </c>
      <c r="J96" s="51">
        <v>4380</v>
      </c>
      <c r="K96" s="51">
        <v>4380</v>
      </c>
      <c r="L96" s="51">
        <v>4380</v>
      </c>
      <c r="M96" s="51">
        <v>4380</v>
      </c>
      <c r="N96" s="51">
        <v>4380</v>
      </c>
      <c r="O96" s="51">
        <v>4380</v>
      </c>
      <c r="P96" s="51">
        <v>4380</v>
      </c>
      <c r="Q96" s="51">
        <v>4380</v>
      </c>
      <c r="R96" s="51">
        <v>4380</v>
      </c>
      <c r="S96" s="51">
        <v>4380</v>
      </c>
      <c r="T96" s="51">
        <v>4380</v>
      </c>
      <c r="U96" s="51">
        <v>4380</v>
      </c>
      <c r="V96" s="51">
        <v>4380</v>
      </c>
      <c r="W96" s="51">
        <v>4380</v>
      </c>
      <c r="X96" s="51">
        <v>4380</v>
      </c>
      <c r="Y96" s="51">
        <v>4380</v>
      </c>
      <c r="Z96" s="51">
        <v>4380</v>
      </c>
      <c r="AA96" s="51">
        <v>4380</v>
      </c>
      <c r="AB96" s="51">
        <v>4380</v>
      </c>
      <c r="AC96" s="51">
        <v>4380</v>
      </c>
    </row>
    <row r="97" spans="1:29" x14ac:dyDescent="0.25">
      <c r="A97" s="33" t="s">
        <v>183</v>
      </c>
      <c r="B97" s="26" t="s">
        <v>182</v>
      </c>
      <c r="C97" s="57">
        <f>SUM(E97:AC97)</f>
        <v>95845.5937149564</v>
      </c>
      <c r="E97" s="51">
        <v>3951.2447821711726</v>
      </c>
      <c r="F97" s="51">
        <v>3941.4596960400963</v>
      </c>
      <c r="G97" s="51">
        <v>3931.6746099090196</v>
      </c>
      <c r="H97" s="51">
        <v>3921.889523777943</v>
      </c>
      <c r="I97" s="51">
        <v>3912.104437646867</v>
      </c>
      <c r="J97" s="51">
        <v>3902.3193515157905</v>
      </c>
      <c r="K97" s="51">
        <v>3892.534265384714</v>
      </c>
      <c r="L97" s="51">
        <v>3882.7491792536375</v>
      </c>
      <c r="M97" s="51">
        <v>3872.9640931225613</v>
      </c>
      <c r="N97" s="51">
        <v>3863.1790069914846</v>
      </c>
      <c r="O97" s="51">
        <v>3853.3939208604083</v>
      </c>
      <c r="P97" s="51">
        <v>3843.6088347293326</v>
      </c>
      <c r="Q97" s="51">
        <v>3833.823748598256</v>
      </c>
      <c r="R97" s="51">
        <v>3824.038662467179</v>
      </c>
      <c r="S97" s="51">
        <v>3814.253576336103</v>
      </c>
      <c r="T97" s="51">
        <v>3804.4684902050262</v>
      </c>
      <c r="U97" s="51">
        <v>3794.68340407395</v>
      </c>
      <c r="V97" s="51">
        <v>3784.898317942874</v>
      </c>
      <c r="W97" s="51">
        <v>3775.113231811797</v>
      </c>
      <c r="X97" s="51">
        <v>3765.328145680721</v>
      </c>
      <c r="Y97" s="51">
        <v>3755.543059549644</v>
      </c>
      <c r="Z97" s="51">
        <v>3745.757973418568</v>
      </c>
      <c r="AA97" s="51">
        <v>3735.972887287492</v>
      </c>
      <c r="AB97" s="51">
        <v>3726.187801156415</v>
      </c>
      <c r="AC97" s="51">
        <v>3716.4027150253387</v>
      </c>
    </row>
    <row r="98" spans="1:29" x14ac:dyDescent="0.25">
      <c r="A98" s="33" t="s">
        <v>184</v>
      </c>
      <c r="B98" s="26" t="s">
        <v>83</v>
      </c>
      <c r="E98" s="32">
        <f>IF(E96&gt;0,E97/E96,1)</f>
        <v>0.9021106808609983</v>
      </c>
      <c r="F98" s="32">
        <f>IF(F96&gt;0,F97/F96,1)</f>
        <v>0.8998766429315288</v>
      </c>
      <c r="G98" s="32">
        <f>IF(G96&gt;0,G97/G96,1)</f>
        <v>0.8976426050020593</v>
      </c>
      <c r="H98" s="32">
        <f>IF(H96&gt;0,H97/H96,1)</f>
        <v>0.8954085670725898</v>
      </c>
      <c r="I98" s="32">
        <f>IF(I96&gt;0,I97/I96,1)</f>
        <v>0.8931745291431203</v>
      </c>
      <c r="J98" s="32">
        <f>IF(J96&gt;0,J97/J96,1)</f>
        <v>0.8909404912136508</v>
      </c>
      <c r="K98" s="32">
        <f>IF(K96&gt;0,K97/K96,1)</f>
        <v>0.8887064532841813</v>
      </c>
      <c r="L98" s="32">
        <f>IF(L96&gt;0,L97/L96,1)</f>
        <v>0.8864724153547118</v>
      </c>
      <c r="M98" s="32">
        <f>IF(M96&gt;0,M97/M96,1)</f>
        <v>0.8842383774252423</v>
      </c>
      <c r="N98" s="32">
        <f>IF(N96&gt;0,N97/N96,1)</f>
        <v>0.8820043394957727</v>
      </c>
      <c r="O98" s="32">
        <f>IF(O96&gt;0,O97/O96,1)</f>
        <v>0.8797703015663033</v>
      </c>
      <c r="P98" s="32">
        <f>IF(P96&gt;0,P97/P96,1)</f>
        <v>0.8775362636368339</v>
      </c>
      <c r="Q98" s="32">
        <f>IF(Q96&gt;0,Q97/Q96,1)</f>
        <v>0.8753022257073644</v>
      </c>
      <c r="R98" s="32">
        <f>IF(R96&gt;0,R97/R96,1)</f>
        <v>0.8730681877778947</v>
      </c>
      <c r="S98" s="32">
        <f>IF(S96&gt;0,S97/S96,1)</f>
        <v>0.8708341498484253</v>
      </c>
      <c r="T98" s="32">
        <f>IF(T96&gt;0,T97/T96,1)</f>
        <v>0.8686001119189558</v>
      </c>
      <c r="U98" s="32">
        <f>IF(U96&gt;0,U97/U96,1)</f>
        <v>0.8663660739894863</v>
      </c>
      <c r="V98" s="32">
        <f>IF(V96&gt;0,V97/V96,1)</f>
        <v>0.864132036060017</v>
      </c>
      <c r="W98" s="32">
        <f>IF(W96&gt;0,W97/W96,1)</f>
        <v>0.8618979981305472</v>
      </c>
      <c r="X98" s="32">
        <f>IF(X96&gt;0,X97/X96,1)</f>
        <v>0.8596639602010778</v>
      </c>
      <c r="Y98" s="32">
        <f>IF(Y96&gt;0,Y97/Y96,1)</f>
        <v>0.8574299222716082</v>
      </c>
      <c r="Z98" s="32">
        <f>IF(Z96&gt;0,Z97/Z96,1)</f>
        <v>0.8551958843421388</v>
      </c>
      <c r="AA98" s="32">
        <f>IF(AA96&gt;0,AA97/AA96,1)</f>
        <v>0.8529618464126695</v>
      </c>
      <c r="AB98" s="32">
        <f>IF(AB96&gt;0,AB97/AB96,1)</f>
        <v>0.8507278084831997</v>
      </c>
      <c r="AC98" s="32">
        <f>IF(AC96&gt;0,AC97/AC96,1)</f>
        <v>0.8484937705537303</v>
      </c>
    </row>
    <row r="99" spans="1:29" x14ac:dyDescent="0.25">
      <c r="A99" s="33" t="s">
        <v>185</v>
      </c>
      <c r="B99" s="26" t="s">
        <v>182</v>
      </c>
      <c r="C99" s="57">
        <f>SUM(E99:AC99)</f>
        <v>0</v>
      </c>
      <c r="E99" s="58">
        <f>MAX(0,$C$55*E96-E97)</f>
        <v>0</v>
      </c>
      <c r="F99" s="58">
        <f>MAX(0,$C$55*F96-F97)</f>
        <v>0</v>
      </c>
      <c r="G99" s="58">
        <f>MAX(0,$C$55*G96-G97)</f>
        <v>0</v>
      </c>
      <c r="H99" s="58">
        <f>MAX(0,$C$55*H96-H97)</f>
        <v>0</v>
      </c>
      <c r="I99" s="58">
        <f>MAX(0,$C$55*I96-I97)</f>
        <v>0</v>
      </c>
      <c r="J99" s="58">
        <f>MAX(0,$C$55*J96-J97)</f>
        <v>0</v>
      </c>
      <c r="K99" s="58">
        <f>MAX(0,$C$55*K96-K97)</f>
        <v>0</v>
      </c>
      <c r="L99" s="58">
        <f>MAX(0,$C$55*L96-L97)</f>
        <v>0</v>
      </c>
      <c r="M99" s="58">
        <f>MAX(0,$C$55*M96-M97)</f>
        <v>0</v>
      </c>
      <c r="N99" s="58">
        <f>MAX(0,$C$55*N96-N97)</f>
        <v>0</v>
      </c>
      <c r="O99" s="58">
        <f>MAX(0,$C$55*O96-O97)</f>
        <v>0</v>
      </c>
      <c r="P99" s="58">
        <f>MAX(0,$C$55*P96-P97)</f>
        <v>0</v>
      </c>
      <c r="Q99" s="58">
        <f>MAX(0,$C$55*Q96-Q97)</f>
        <v>0</v>
      </c>
      <c r="R99" s="58">
        <f>MAX(0,$C$55*R96-R97)</f>
        <v>0</v>
      </c>
      <c r="S99" s="58">
        <f>MAX(0,$C$55*S96-S97)</f>
        <v>0</v>
      </c>
      <c r="T99" s="58">
        <f>MAX(0,$C$55*T96-T97)</f>
        <v>0</v>
      </c>
      <c r="U99" s="58">
        <f>MAX(0,$C$55*U96-U97)</f>
        <v>0</v>
      </c>
      <c r="V99" s="58">
        <f>MAX(0,$C$55*V96-V97)</f>
        <v>0</v>
      </c>
      <c r="W99" s="58">
        <f>MAX(0,$C$55*W96-W97)</f>
        <v>0</v>
      </c>
      <c r="X99" s="58">
        <f>MAX(0,$C$55*X96-X97)</f>
        <v>0</v>
      </c>
      <c r="Y99" s="58">
        <f>MAX(0,$C$55*Y96-Y97)</f>
        <v>0</v>
      </c>
      <c r="Z99" s="58">
        <f>MAX(0,$C$55*Z96-Z97)</f>
        <v>0</v>
      </c>
      <c r="AA99" s="58">
        <f>MAX(0,$C$55*AA96-AA97)</f>
        <v>0</v>
      </c>
      <c r="AB99" s="58">
        <f>MAX(0,$C$55*AB96-AB97)</f>
        <v>0</v>
      </c>
      <c r="AC99" s="58">
        <f>MAX(0,$C$55*AC96-AC97)</f>
        <v>0</v>
      </c>
    </row>
    <row r="100" spans="1:29" x14ac:dyDescent="0.25">
      <c r="A100" s="33" t="s">
        <v>186</v>
      </c>
      <c r="B100" s="26" t="s">
        <v>182</v>
      </c>
      <c r="C100" s="57">
        <f>SUM(E100:AC100)</f>
        <v>0</v>
      </c>
      <c r="E100" s="51">
        <v>0</v>
      </c>
      <c r="F100" s="51">
        <v>0</v>
      </c>
      <c r="G100" s="51">
        <v>0</v>
      </c>
      <c r="H100" s="51">
        <v>0</v>
      </c>
      <c r="I100" s="51">
        <v>0</v>
      </c>
      <c r="J100" s="51">
        <v>0</v>
      </c>
      <c r="K100" s="51">
        <v>0</v>
      </c>
      <c r="L100" s="51">
        <v>0</v>
      </c>
      <c r="M100" s="51">
        <v>0</v>
      </c>
      <c r="N100" s="51">
        <v>0</v>
      </c>
      <c r="O100" s="51">
        <v>0</v>
      </c>
      <c r="P100" s="51">
        <v>0</v>
      </c>
      <c r="Q100" s="51">
        <v>0</v>
      </c>
      <c r="R100" s="51">
        <v>0</v>
      </c>
      <c r="S100" s="51">
        <v>0</v>
      </c>
      <c r="T100" s="51">
        <v>0</v>
      </c>
      <c r="U100" s="51">
        <v>0</v>
      </c>
      <c r="V100" s="51">
        <v>0</v>
      </c>
      <c r="W100" s="51">
        <v>0</v>
      </c>
      <c r="X100" s="51">
        <v>0</v>
      </c>
      <c r="Y100" s="51">
        <v>0</v>
      </c>
      <c r="Z100" s="51">
        <v>0</v>
      </c>
      <c r="AA100" s="51">
        <v>0</v>
      </c>
      <c r="AB100" s="51">
        <v>0</v>
      </c>
      <c r="AC100" s="51">
        <v>0</v>
      </c>
    </row>
    <row r="101" spans="1:29" x14ac:dyDescent="0.25">
      <c r="A101" s="33" t="s">
        <v>137</v>
      </c>
      <c r="B101" s="26" t="s">
        <v>82</v>
      </c>
      <c r="E101" s="29">
        <f>$C$54</f>
        <v>0</v>
      </c>
      <c r="F101" s="29">
        <f>$C$54</f>
        <v>0</v>
      </c>
      <c r="G101" s="29">
        <f>$C$54</f>
        <v>0</v>
      </c>
      <c r="H101" s="29">
        <f>$C$54</f>
        <v>0</v>
      </c>
      <c r="I101" s="29">
        <f>$C$54</f>
        <v>0</v>
      </c>
      <c r="J101" s="29">
        <f>$C$54</f>
        <v>0</v>
      </c>
      <c r="K101" s="29">
        <f>$C$54</f>
        <v>0</v>
      </c>
      <c r="L101" s="29">
        <f>$C$54</f>
        <v>0</v>
      </c>
      <c r="M101" s="29">
        <f>$C$54</f>
        <v>0</v>
      </c>
      <c r="N101" s="29">
        <f>$C$54</f>
        <v>0</v>
      </c>
      <c r="O101" s="29">
        <f>$C$54</f>
        <v>0</v>
      </c>
      <c r="P101" s="29">
        <f>$C$54</f>
        <v>0</v>
      </c>
      <c r="Q101" s="29">
        <f>$C$54</f>
        <v>0</v>
      </c>
      <c r="R101" s="29">
        <f>$C$54</f>
        <v>0</v>
      </c>
      <c r="S101" s="29">
        <f>$C$54</f>
        <v>0</v>
      </c>
      <c r="T101" s="29">
        <f>$C$54</f>
        <v>0</v>
      </c>
      <c r="U101" s="29">
        <f>$C$54</f>
        <v>0</v>
      </c>
      <c r="V101" s="29">
        <f>$C$54</f>
        <v>0</v>
      </c>
      <c r="W101" s="29">
        <f>$C$54</f>
        <v>0</v>
      </c>
      <c r="X101" s="29">
        <f>$C$54</f>
        <v>0</v>
      </c>
      <c r="Y101" s="29">
        <f>$C$54</f>
        <v>0</v>
      </c>
      <c r="Z101" s="29">
        <f>$C$54</f>
        <v>0</v>
      </c>
      <c r="AA101" s="29">
        <f>$C$54</f>
        <v>0</v>
      </c>
      <c r="AB101" s="29">
        <f>$C$54</f>
        <v>0</v>
      </c>
      <c r="AC101" s="29">
        <f>$C$54</f>
        <v>0</v>
      </c>
    </row>
    <row r="102" spans="1:29" x14ac:dyDescent="0.25">
      <c r="A102" s="33" t="s">
        <v>187</v>
      </c>
      <c r="B102" s="26" t="s">
        <v>182</v>
      </c>
      <c r="C102" s="57">
        <f>SUM(E102:AC102)</f>
        <v>28958.546983835877</v>
      </c>
      <c r="E102" s="51">
        <v>1192.2450822946919</v>
      </c>
      <c r="F102" s="51">
        <v>1189.4198153829204</v>
      </c>
      <c r="G102" s="51">
        <v>1186.594548471149</v>
      </c>
      <c r="H102" s="51">
        <v>1183.7692815593778</v>
      </c>
      <c r="I102" s="51">
        <v>1180.9440146476063</v>
      </c>
      <c r="J102" s="51">
        <v>1178.1187477358349</v>
      </c>
      <c r="K102" s="51">
        <v>1175.2934808240636</v>
      </c>
      <c r="L102" s="51">
        <v>1172.4682139122922</v>
      </c>
      <c r="M102" s="51">
        <v>1169.642947000521</v>
      </c>
      <c r="N102" s="51">
        <v>1166.8176800887493</v>
      </c>
      <c r="O102" s="51">
        <v>1163.992413176978</v>
      </c>
      <c r="P102" s="51">
        <v>1161.1671462652068</v>
      </c>
      <c r="Q102" s="51">
        <v>1158.3418793534352</v>
      </c>
      <c r="R102" s="51">
        <v>1155.516612441664</v>
      </c>
      <c r="S102" s="51">
        <v>1152.6913455298927</v>
      </c>
      <c r="T102" s="51">
        <v>1149.8660786181213</v>
      </c>
      <c r="U102" s="51">
        <v>1147.04081170635</v>
      </c>
      <c r="V102" s="51">
        <v>1144.2155447945786</v>
      </c>
      <c r="W102" s="51">
        <v>1141.390277882807</v>
      </c>
      <c r="X102" s="51">
        <v>1138.565010971036</v>
      </c>
      <c r="Y102" s="51">
        <v>1135.7397440592645</v>
      </c>
      <c r="Z102" s="51">
        <v>1132.914477147493</v>
      </c>
      <c r="AA102" s="51">
        <v>1130.0892102357216</v>
      </c>
      <c r="AB102" s="51">
        <v>1127.2639433239503</v>
      </c>
      <c r="AC102" s="51">
        <v>1124.438676412179</v>
      </c>
    </row>
    <row r="104" ht="20" customHeight="1" spans="1:29" x14ac:dyDescent="0.25">
      <c r="A104" s="21" t="s">
        <v>188</v>
      </c>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spans="1:29" x14ac:dyDescent="0.25">
      <c r="A105" s="33" t="s">
        <v>100</v>
      </c>
      <c r="B105" s="26" t="s">
        <v>88</v>
      </c>
      <c r="E105" s="59">
        <f>(1+$C$30)^(E$5-1)</f>
        <v>1</v>
      </c>
      <c r="F105" s="59">
        <f>(1+$C$30)^(F$5-1)</f>
        <v>1</v>
      </c>
      <c r="G105" s="59">
        <f>(1+$C$30)^(G$5-1)</f>
        <v>1</v>
      </c>
      <c r="H105" s="59">
        <f>(1+$C$30)^(H$5-1)</f>
        <v>1</v>
      </c>
      <c r="I105" s="59">
        <f>(1+$C$30)^(I$5-1)</f>
        <v>1</v>
      </c>
      <c r="J105" s="59">
        <f>(1+$C$30)^(J$5-1)</f>
        <v>1</v>
      </c>
      <c r="K105" s="59">
        <f>(1+$C$30)^(K$5-1)</f>
        <v>1</v>
      </c>
      <c r="L105" s="59">
        <f>(1+$C$30)^(L$5-1)</f>
        <v>1</v>
      </c>
      <c r="M105" s="59">
        <f>(1+$C$30)^(M$5-1)</f>
        <v>1</v>
      </c>
      <c r="N105" s="59">
        <f>(1+$C$30)^(N$5-1)</f>
        <v>1</v>
      </c>
      <c r="O105" s="59">
        <f>(1+$C$30)^(O$5-1)</f>
        <v>1</v>
      </c>
      <c r="P105" s="59">
        <f>(1+$C$30)^(P$5-1)</f>
        <v>1</v>
      </c>
      <c r="Q105" s="59">
        <f>(1+$C$30)^(Q$5-1)</f>
        <v>1</v>
      </c>
      <c r="R105" s="59">
        <f>(1+$C$30)^(R$5-1)</f>
        <v>1</v>
      </c>
      <c r="S105" s="59">
        <f>(1+$C$30)^(S$5-1)</f>
        <v>1</v>
      </c>
      <c r="T105" s="59">
        <f>(1+$C$30)^(T$5-1)</f>
        <v>1</v>
      </c>
      <c r="U105" s="59">
        <f>(1+$C$30)^(U$5-1)</f>
        <v>1</v>
      </c>
      <c r="V105" s="59">
        <f>(1+$C$30)^(V$5-1)</f>
        <v>1</v>
      </c>
      <c r="W105" s="59">
        <f>(1+$C$30)^(W$5-1)</f>
        <v>1</v>
      </c>
      <c r="X105" s="59">
        <f>(1+$C$30)^(X$5-1)</f>
        <v>1</v>
      </c>
      <c r="Y105" s="59">
        <f>(1+$C$30)^(Y$5-1)</f>
        <v>1</v>
      </c>
      <c r="Z105" s="59">
        <f>(1+$C$30)^(Z$5-1)</f>
        <v>1</v>
      </c>
      <c r="AA105" s="59">
        <f>(1+$C$30)^(AA$5-1)</f>
        <v>1</v>
      </c>
      <c r="AB105" s="59">
        <f>(1+$C$30)^(AB$5-1)</f>
        <v>1</v>
      </c>
      <c r="AC105" s="59">
        <f>(1+$C$30)^(AC$5-1)</f>
        <v>1</v>
      </c>
    </row>
    <row r="106" spans="1:29" x14ac:dyDescent="0.25">
      <c r="A106" s="33" t="s">
        <v>189</v>
      </c>
      <c r="B106" s="26" t="s">
        <v>88</v>
      </c>
      <c r="E106" s="59">
        <f>(1+$C$47)^(E$5-1)</f>
        <v>1</v>
      </c>
      <c r="F106" s="59">
        <f>(1+$C$47)^(F$5-1)</f>
        <v>1.05</v>
      </c>
      <c r="G106" s="59">
        <f>(1+$C$47)^(G$5-1)</f>
        <v>1.1025</v>
      </c>
      <c r="H106" s="59">
        <f>(1+$C$47)^(H$5-1)</f>
        <v>1.1576250000000001</v>
      </c>
      <c r="I106" s="59">
        <f>(1+$C$47)^(I$5-1)</f>
        <v>1.2155062500000002</v>
      </c>
      <c r="J106" s="59">
        <f>(1+$C$47)^(J$5-1)</f>
        <v>1.2762815625000004</v>
      </c>
      <c r="K106" s="59">
        <f>(1+$C$47)^(K$5-1)</f>
        <v>1.3400956406250004</v>
      </c>
      <c r="L106" s="59">
        <f>(1+$C$47)^(L$5-1)</f>
        <v>1.4071004226562505</v>
      </c>
      <c r="M106" s="59">
        <f>(1+$C$47)^(M$5-1)</f>
        <v>1.477455443789063</v>
      </c>
      <c r="N106" s="59">
        <f>(1+$C$47)^(N$5-1)</f>
        <v>1.5513282159785162</v>
      </c>
      <c r="O106" s="59">
        <f>(1+$C$47)^(O$5-1)</f>
        <v>1.6288946267774422</v>
      </c>
      <c r="P106" s="59">
        <f>(1+$C$47)^(P$5-1)</f>
        <v>1.7103393581163142</v>
      </c>
      <c r="Q106" s="59">
        <f>(1+$C$47)^(Q$5-1)</f>
        <v>1.79585632602213</v>
      </c>
      <c r="R106" s="59">
        <f>(1+$C$47)^(R$5-1)</f>
        <v>1.8856491423232367</v>
      </c>
      <c r="S106" s="59">
        <f>(1+$C$47)^(S$5-1)</f>
        <v>1.9799315994393987</v>
      </c>
      <c r="T106" s="59">
        <f>(1+$C$47)^(T$5-1)</f>
        <v>2.0789281794113688</v>
      </c>
      <c r="U106" s="59">
        <f>(1+$C$47)^(U$5-1)</f>
        <v>2.182874588381937</v>
      </c>
      <c r="V106" s="59">
        <f>(1+$C$47)^(V$5-1)</f>
        <v>2.292018317801034</v>
      </c>
      <c r="W106" s="59">
        <f>(1+$C$47)^(W$5-1)</f>
        <v>2.406619233691086</v>
      </c>
      <c r="X106" s="59">
        <f>(1+$C$47)^(X$5-1)</f>
        <v>2.5269501953756404</v>
      </c>
      <c r="Y106" s="59">
        <f>(1+$C$47)^(Y$5-1)</f>
        <v>2.653297705144422</v>
      </c>
      <c r="Z106" s="59">
        <f>(1+$C$47)^(Z$5-1)</f>
        <v>2.7859625904016436</v>
      </c>
      <c r="AA106" s="59">
        <f>(1+$C$47)^(AA$5-1)</f>
        <v>2.925260719921726</v>
      </c>
      <c r="AB106" s="59">
        <f>(1+$C$47)^(AB$5-1)</f>
        <v>3.0715237559178123</v>
      </c>
      <c r="AC106" s="59">
        <f>(1+$C$47)^(AC$5-1)</f>
        <v>3.225099943713703</v>
      </c>
    </row>
    <row r="107" spans="1:29" x14ac:dyDescent="0.25">
      <c r="A107" s="33" t="s">
        <v>131</v>
      </c>
      <c r="B107" s="26" t="s">
        <v>88</v>
      </c>
      <c r="E107" s="59">
        <f>(1+$C$51)^(E$5-1)</f>
        <v>1</v>
      </c>
      <c r="F107" s="59">
        <f>(1+$C$51)^(F$5-1)</f>
        <v>1.05</v>
      </c>
      <c r="G107" s="59">
        <f>(1+$C$51)^(G$5-1)</f>
        <v>1.1025</v>
      </c>
      <c r="H107" s="59">
        <f>(1+$C$51)^(H$5-1)</f>
        <v>1.1576250000000001</v>
      </c>
      <c r="I107" s="59">
        <f>(1+$C$51)^(I$5-1)</f>
        <v>1.2155062500000002</v>
      </c>
      <c r="J107" s="59">
        <f>(1+$C$51)^(J$5-1)</f>
        <v>1.2762815625000004</v>
      </c>
      <c r="K107" s="59">
        <f>(1+$C$51)^(K$5-1)</f>
        <v>1.3400956406250004</v>
      </c>
      <c r="L107" s="59">
        <f>(1+$C$51)^(L$5-1)</f>
        <v>1.4071004226562505</v>
      </c>
      <c r="M107" s="59">
        <f>(1+$C$51)^(M$5-1)</f>
        <v>1.477455443789063</v>
      </c>
      <c r="N107" s="59">
        <f>(1+$C$51)^(N$5-1)</f>
        <v>1.5513282159785162</v>
      </c>
      <c r="O107" s="59">
        <f>(1+$C$51)^(O$5-1)</f>
        <v>1.6288946267774422</v>
      </c>
      <c r="P107" s="59">
        <f>(1+$C$51)^(P$5-1)</f>
        <v>1.7103393581163142</v>
      </c>
      <c r="Q107" s="59">
        <f>(1+$C$51)^(Q$5-1)</f>
        <v>1.79585632602213</v>
      </c>
      <c r="R107" s="59">
        <f>(1+$C$51)^(R$5-1)</f>
        <v>1.8856491423232367</v>
      </c>
      <c r="S107" s="59">
        <f>(1+$C$51)^(S$5-1)</f>
        <v>1.9799315994393987</v>
      </c>
      <c r="T107" s="59">
        <f>(1+$C$51)^(T$5-1)</f>
        <v>2.0789281794113688</v>
      </c>
      <c r="U107" s="59">
        <f>(1+$C$51)^(U$5-1)</f>
        <v>2.182874588381937</v>
      </c>
      <c r="V107" s="59">
        <f>(1+$C$51)^(V$5-1)</f>
        <v>2.292018317801034</v>
      </c>
      <c r="W107" s="59">
        <f>(1+$C$51)^(W$5-1)</f>
        <v>2.406619233691086</v>
      </c>
      <c r="X107" s="59">
        <f>(1+$C$51)^(X$5-1)</f>
        <v>2.5269501953756404</v>
      </c>
      <c r="Y107" s="59">
        <f>(1+$C$51)^(Y$5-1)</f>
        <v>2.653297705144422</v>
      </c>
      <c r="Z107" s="59">
        <f>(1+$C$51)^(Z$5-1)</f>
        <v>2.7859625904016436</v>
      </c>
      <c r="AA107" s="59">
        <f>(1+$C$51)^(AA$5-1)</f>
        <v>2.925260719921726</v>
      </c>
      <c r="AB107" s="59">
        <f>(1+$C$51)^(AB$5-1)</f>
        <v>3.0715237559178123</v>
      </c>
      <c r="AC107" s="59">
        <f>(1+$C$51)^(AC$5-1)</f>
        <v>3.225099943713703</v>
      </c>
    </row>
    <row r="108" spans="1:29" x14ac:dyDescent="0.25">
      <c r="A108" s="33" t="s">
        <v>190</v>
      </c>
      <c r="B108" s="26" t="s">
        <v>88</v>
      </c>
      <c r="E108" s="59">
        <f>(1-$C$61)^(E$5-1)</f>
        <v>1</v>
      </c>
      <c r="F108" s="59">
        <f>(1-$C$61)^(F$5-1)</f>
        <v>1</v>
      </c>
      <c r="G108" s="59">
        <f>(1-$C$61)^(G$5-1)</f>
        <v>1</v>
      </c>
      <c r="H108" s="59">
        <f>(1-$C$61)^(H$5-1)</f>
        <v>1</v>
      </c>
      <c r="I108" s="59">
        <f>(1-$C$61)^(I$5-1)</f>
        <v>1</v>
      </c>
      <c r="J108" s="59">
        <f>(1-$C$61)^(J$5-1)</f>
        <v>1</v>
      </c>
      <c r="K108" s="59">
        <f>(1-$C$61)^(K$5-1)</f>
        <v>1</v>
      </c>
      <c r="L108" s="59">
        <f>(1-$C$61)^(L$5-1)</f>
        <v>1</v>
      </c>
      <c r="M108" s="59">
        <f>(1-$C$61)^(M$5-1)</f>
        <v>1</v>
      </c>
      <c r="N108" s="59">
        <f>(1-$C$61)^(N$5-1)</f>
        <v>1</v>
      </c>
      <c r="O108" s="59">
        <f>(1-$C$61)^(O$5-1)</f>
        <v>1</v>
      </c>
      <c r="P108" s="59">
        <f>(1-$C$61)^(P$5-1)</f>
        <v>1</v>
      </c>
      <c r="Q108" s="59">
        <f>(1-$C$61)^(Q$5-1)</f>
        <v>1</v>
      </c>
      <c r="R108" s="59">
        <f>(1-$C$61)^(R$5-1)</f>
        <v>1</v>
      </c>
      <c r="S108" s="59">
        <f>(1-$C$61)^(S$5-1)</f>
        <v>1</v>
      </c>
      <c r="T108" s="59">
        <f>(1-$C$61)^(T$5-1)</f>
        <v>1</v>
      </c>
      <c r="U108" s="59">
        <f>(1-$C$61)^(U$5-1)</f>
        <v>1</v>
      </c>
      <c r="V108" s="59">
        <f>(1-$C$61)^(V$5-1)</f>
        <v>1</v>
      </c>
      <c r="W108" s="59">
        <f>(1-$C$61)^(W$5-1)</f>
        <v>1</v>
      </c>
      <c r="X108" s="59">
        <f>(1-$C$61)^(X$5-1)</f>
        <v>1</v>
      </c>
      <c r="Y108" s="59">
        <f>(1-$C$61)^(Y$5-1)</f>
        <v>1</v>
      </c>
      <c r="Z108" s="59">
        <f>(1-$C$61)^(Z$5-1)</f>
        <v>1</v>
      </c>
      <c r="AA108" s="59">
        <f>(1-$C$61)^(AA$5-1)</f>
        <v>1</v>
      </c>
      <c r="AB108" s="59">
        <f>(1-$C$61)^(AB$5-1)</f>
        <v>1</v>
      </c>
      <c r="AC108" s="59">
        <f>(1-$C$61)^(AC$5-1)</f>
        <v>1</v>
      </c>
    </row>
    <row r="109" spans="1:29" x14ac:dyDescent="0.25">
      <c r="A109" s="33" t="s">
        <v>191</v>
      </c>
      <c r="B109" s="26" t="s">
        <v>88</v>
      </c>
      <c r="E109" s="59">
        <f>1/(1+$C$68)^E$5</f>
        <v>0.9090909090909091</v>
      </c>
      <c r="F109" s="59">
        <f>1/(1+$C$68)^F$5</f>
        <v>0.8264462809917354</v>
      </c>
      <c r="G109" s="59">
        <f>1/(1+$C$68)^G$5</f>
        <v>0.7513148009015775</v>
      </c>
      <c r="H109" s="59">
        <f>1/(1+$C$68)^H$5</f>
        <v>0.6830134553650704</v>
      </c>
      <c r="I109" s="59">
        <f>1/(1+$C$68)^I$5</f>
        <v>0.6209213230591549</v>
      </c>
      <c r="J109" s="59">
        <f>1/(1+$C$68)^J$5</f>
        <v>0.5644739300537772</v>
      </c>
      <c r="K109" s="59">
        <f>1/(1+$C$68)^K$5</f>
        <v>0.5131581182307065</v>
      </c>
      <c r="L109" s="59">
        <f>1/(1+$C$68)^L$5</f>
        <v>0.4665073802097331</v>
      </c>
      <c r="M109" s="59">
        <f>1/(1+$C$68)^M$5</f>
        <v>0.42409761837248455</v>
      </c>
      <c r="N109" s="59">
        <f>1/(1+$C$68)^N$5</f>
        <v>0.3855432894295314</v>
      </c>
      <c r="O109" s="59">
        <f>1/(1+$C$68)^O$5</f>
        <v>0.3504938994813922</v>
      </c>
      <c r="P109" s="59">
        <f>1/(1+$C$68)^P$5</f>
        <v>0.3186308177103565</v>
      </c>
      <c r="Q109" s="59">
        <f>1/(1+$C$68)^Q$5</f>
        <v>0.2896643797366877</v>
      </c>
      <c r="R109" s="59">
        <f>1/(1+$C$68)^R$5</f>
        <v>0.26333125430607973</v>
      </c>
      <c r="S109" s="59">
        <f>1/(1+$C$68)^S$5</f>
        <v>0.23939204936916333</v>
      </c>
      <c r="T109" s="59">
        <f>1/(1+$C$68)^T$5</f>
        <v>0.2176291357901485</v>
      </c>
      <c r="U109" s="59">
        <f>1/(1+$C$68)^U$5</f>
        <v>0.19784466890013497</v>
      </c>
      <c r="V109" s="59">
        <f>1/(1+$C$68)^V$5</f>
        <v>0.17985878990921358</v>
      </c>
      <c r="W109" s="59">
        <f>1/(1+$C$68)^W$5</f>
        <v>0.16350799082655781</v>
      </c>
      <c r="X109" s="59">
        <f>1/(1+$C$68)^X$5</f>
        <v>0.14864362802414344</v>
      </c>
      <c r="Y109" s="59">
        <f>1/(1+$C$68)^Y$5</f>
        <v>0.13513057093103947</v>
      </c>
      <c r="Z109" s="59">
        <f>1/(1+$C$68)^Z$5</f>
        <v>0.12284597357367225</v>
      </c>
      <c r="AA109" s="59">
        <f>1/(1+$C$68)^AA$5</f>
        <v>0.11167815779424749</v>
      </c>
      <c r="AB109" s="59">
        <f>1/(1+$C$68)^AB$5</f>
        <v>0.10152559799477044</v>
      </c>
      <c r="AC109" s="59">
        <f>1/(1+$C$68)^AC$5</f>
        <v>0.09229599817706403</v>
      </c>
    </row>
    <row r="111" ht="20" customHeight="1" spans="1:29" x14ac:dyDescent="0.25">
      <c r="A111" s="21" t="s">
        <v>192</v>
      </c>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row>
    <row r="112" spans="1:29" x14ac:dyDescent="0.25">
      <c r="A112" s="33" t="s">
        <v>100</v>
      </c>
      <c r="B112" s="26" t="s">
        <v>82</v>
      </c>
      <c r="E112" s="29">
        <f>$C$29*E105</f>
        <v>7.523313468327059</v>
      </c>
      <c r="F112" s="29">
        <f>$C$29*F105</f>
        <v>7.523313468327059</v>
      </c>
      <c r="G112" s="29">
        <f>$C$29*G105</f>
        <v>7.523313468327059</v>
      </c>
      <c r="H112" s="29">
        <f>$C$29*H105</f>
        <v>7.523313468327059</v>
      </c>
      <c r="I112" s="29">
        <f>$C$29*I105</f>
        <v>7.523313468327059</v>
      </c>
      <c r="J112" s="29">
        <f>$C$29*J105</f>
        <v>7.523313468327059</v>
      </c>
      <c r="K112" s="29">
        <f>$C$29*K105</f>
        <v>7.523313468327059</v>
      </c>
      <c r="L112" s="29">
        <f>$C$29*L105</f>
        <v>7.523313468327059</v>
      </c>
      <c r="M112" s="29">
        <f>$C$29*M105</f>
        <v>7.523313468327059</v>
      </c>
      <c r="N112" s="29">
        <f>$C$29*N105</f>
        <v>7.523313468327059</v>
      </c>
      <c r="O112" s="29">
        <f>$C$29*O105</f>
        <v>7.523313468327059</v>
      </c>
      <c r="P112" s="29">
        <f>$C$29*P105</f>
        <v>7.523313468327059</v>
      </c>
      <c r="Q112" s="29">
        <f>$C$29*Q105</f>
        <v>7.523313468327059</v>
      </c>
      <c r="R112" s="29">
        <f>$C$29*R105</f>
        <v>7.523313468327059</v>
      </c>
      <c r="S112" s="29">
        <f>$C$29*S105</f>
        <v>7.523313468327059</v>
      </c>
      <c r="T112" s="29">
        <f>$C$29*T105</f>
        <v>7.523313468327059</v>
      </c>
      <c r="U112" s="29">
        <f>$C$29*U105</f>
        <v>7.523313468327059</v>
      </c>
      <c r="V112" s="29">
        <f>$C$29*V105</f>
        <v>7.523313468327059</v>
      </c>
      <c r="W112" s="29">
        <f>$C$29*W105</f>
        <v>7.523313468327059</v>
      </c>
      <c r="X112" s="29">
        <f>$C$29*X105</f>
        <v>7.523313468327059</v>
      </c>
      <c r="Y112" s="29">
        <f>$C$29*Y105</f>
        <v>7.523313468327059</v>
      </c>
      <c r="Z112" s="29">
        <f>$C$29*Z105</f>
        <v>7.523313468327059</v>
      </c>
      <c r="AA112" s="29">
        <f>$C$29*AA105</f>
        <v>7.523313468327059</v>
      </c>
      <c r="AB112" s="29">
        <f>$C$29*AB105</f>
        <v>7.523313468327059</v>
      </c>
      <c r="AC112" s="29">
        <f>$C$29*AC105</f>
        <v>7.523313468327059</v>
      </c>
    </row>
    <row r="113" spans="1:29" x14ac:dyDescent="0.25">
      <c r="A113" s="33" t="s">
        <v>193</v>
      </c>
      <c r="B113" s="26" t="s">
        <v>86</v>
      </c>
      <c r="C113" s="56">
        <f>SUM(E113:AC113)</f>
        <v>72107.64460755348</v>
      </c>
      <c r="E113" s="37">
        <f>E97*E112/10</f>
        <v>2972.64530863654</v>
      </c>
      <c r="F113" s="37">
        <f>F97*F112/10</f>
        <v>2965.2836816086733</v>
      </c>
      <c r="G113" s="37">
        <f>G97*G112/10</f>
        <v>2957.9220545808066</v>
      </c>
      <c r="H113" s="37">
        <f>H97*H112/10</f>
        <v>2950.5604275529395</v>
      </c>
      <c r="I113" s="37">
        <f>I97*I112/10</f>
        <v>2943.198800525073</v>
      </c>
      <c r="J113" s="37">
        <f>J97*J112/10</f>
        <v>2935.837173497206</v>
      </c>
      <c r="K113" s="37">
        <f>K97*K112/10</f>
        <v>2928.4755464693394</v>
      </c>
      <c r="L113" s="37">
        <f>L97*L112/10</f>
        <v>2921.1139194414727</v>
      </c>
      <c r="M113" s="37">
        <f>M97*M112/10</f>
        <v>2913.7522924136056</v>
      </c>
      <c r="N113" s="37">
        <f>N97*N112/10</f>
        <v>2906.390665385739</v>
      </c>
      <c r="O113" s="37">
        <f>O97*O112/10</f>
        <v>2899.029038357872</v>
      </c>
      <c r="P113" s="37">
        <f>P97*P112/10</f>
        <v>2891.667411330006</v>
      </c>
      <c r="Q113" s="37">
        <f>Q97*Q112/10</f>
        <v>2884.305784302139</v>
      </c>
      <c r="R113" s="37">
        <f>R97*R112/10</f>
        <v>2876.944157274272</v>
      </c>
      <c r="S113" s="37">
        <f>S97*S112/10</f>
        <v>2869.5825302464054</v>
      </c>
      <c r="T113" s="37">
        <f>T97*T112/10</f>
        <v>2862.2209032185388</v>
      </c>
      <c r="U113" s="37">
        <f>U97*U112/10</f>
        <v>2854.859276190672</v>
      </c>
      <c r="V113" s="37">
        <f>V97*V112/10</f>
        <v>2847.4976491628054</v>
      </c>
      <c r="W113" s="37">
        <f>W97*W112/10</f>
        <v>2840.1360221349382</v>
      </c>
      <c r="X113" s="37">
        <f>X97*X112/10</f>
        <v>2832.7743951070715</v>
      </c>
      <c r="Y113" s="37">
        <f>Y97*Y112/10</f>
        <v>2825.412768079205</v>
      </c>
      <c r="Z113" s="37">
        <f>Z97*Z112/10</f>
        <v>2818.051141051338</v>
      </c>
      <c r="AA113" s="37">
        <f>AA97*AA112/10</f>
        <v>2810.689514023472</v>
      </c>
      <c r="AB113" s="37">
        <f>AB97*AB112/10</f>
        <v>2803.3278869956043</v>
      </c>
      <c r="AC113" s="37">
        <f>AC97*AC112/10</f>
        <v>2795.966259967738</v>
      </c>
    </row>
    <row r="114" spans="1:29" x14ac:dyDescent="0.25">
      <c r="A114" s="33" t="s">
        <v>194</v>
      </c>
      <c r="B114" s="26" t="s">
        <v>86</v>
      </c>
      <c r="C114" s="56">
        <f>SUM(E114:AC114)</f>
        <v>0</v>
      </c>
      <c r="E114" s="37">
        <f>IF($C$53="Yes",E100*E101/10,0)</f>
        <v>0</v>
      </c>
      <c r="F114" s="37">
        <f>IF($C$53="Yes",F100*F101/10,0)</f>
        <v>0</v>
      </c>
      <c r="G114" s="37">
        <f>IF($C$53="Yes",G100*G101/10,0)</f>
        <v>0</v>
      </c>
      <c r="H114" s="37">
        <f>IF($C$53="Yes",H100*H101/10,0)</f>
        <v>0</v>
      </c>
      <c r="I114" s="37">
        <f>IF($C$53="Yes",I100*I101/10,0)</f>
        <v>0</v>
      </c>
      <c r="J114" s="37">
        <f>IF($C$53="Yes",J100*J101/10,0)</f>
        <v>0</v>
      </c>
      <c r="K114" s="37">
        <f>IF($C$53="Yes",K100*K101/10,0)</f>
        <v>0</v>
      </c>
      <c r="L114" s="37">
        <f>IF($C$53="Yes",L100*L101/10,0)</f>
        <v>0</v>
      </c>
      <c r="M114" s="37">
        <f>IF($C$53="Yes",M100*M101/10,0)</f>
        <v>0</v>
      </c>
      <c r="N114" s="37">
        <f>IF($C$53="Yes",N100*N101/10,0)</f>
        <v>0</v>
      </c>
      <c r="O114" s="37">
        <f>IF($C$53="Yes",O100*O101/10,0)</f>
        <v>0</v>
      </c>
      <c r="P114" s="37">
        <f>IF($C$53="Yes",P100*P101/10,0)</f>
        <v>0</v>
      </c>
      <c r="Q114" s="37">
        <f>IF($C$53="Yes",Q100*Q101/10,0)</f>
        <v>0</v>
      </c>
      <c r="R114" s="37">
        <f>IF($C$53="Yes",R100*R101/10,0)</f>
        <v>0</v>
      </c>
      <c r="S114" s="37">
        <f>IF($C$53="Yes",S100*S101/10,0)</f>
        <v>0</v>
      </c>
      <c r="T114" s="37">
        <f>IF($C$53="Yes",T100*T101/10,0)</f>
        <v>0</v>
      </c>
      <c r="U114" s="37">
        <f>IF($C$53="Yes",U100*U101/10,0)</f>
        <v>0</v>
      </c>
      <c r="V114" s="37">
        <f>IF($C$53="Yes",V100*V101/10,0)</f>
        <v>0</v>
      </c>
      <c r="W114" s="37">
        <f>IF($C$53="Yes",W100*W101/10,0)</f>
        <v>0</v>
      </c>
      <c r="X114" s="37">
        <f>IF($C$53="Yes",X100*X101/10,0)</f>
        <v>0</v>
      </c>
      <c r="Y114" s="37">
        <f>IF($C$53="Yes",Y100*Y101/10,0)</f>
        <v>0</v>
      </c>
      <c r="Z114" s="37">
        <f>IF($C$53="Yes",Z100*Z101/10,0)</f>
        <v>0</v>
      </c>
      <c r="AA114" s="37">
        <f>IF($C$53="Yes",AA100*AA101/10,0)</f>
        <v>0</v>
      </c>
      <c r="AB114" s="37">
        <f>IF($C$53="Yes",AB100*AB101/10,0)</f>
        <v>0</v>
      </c>
      <c r="AC114" s="37">
        <f>IF($C$53="Yes",AC100*AC101/10,0)</f>
        <v>0</v>
      </c>
    </row>
    <row r="115" spans="1:29" x14ac:dyDescent="0.25">
      <c r="A115" s="33" t="s">
        <v>141</v>
      </c>
      <c r="B115" s="26" t="s">
        <v>86</v>
      </c>
      <c r="C115" s="56">
        <f>SUM(E115:AC115)</f>
        <v>0</v>
      </c>
      <c r="E115" s="37">
        <f>E99*$C$56/10</f>
        <v>0</v>
      </c>
      <c r="F115" s="37">
        <f>F99*$C$56/10</f>
        <v>0</v>
      </c>
      <c r="G115" s="37">
        <f>G99*$C$56/10</f>
        <v>0</v>
      </c>
      <c r="H115" s="37">
        <f>H99*$C$56/10</f>
        <v>0</v>
      </c>
      <c r="I115" s="37">
        <f>I99*$C$56/10</f>
        <v>0</v>
      </c>
      <c r="J115" s="37">
        <f>J99*$C$56/10</f>
        <v>0</v>
      </c>
      <c r="K115" s="37">
        <f>K99*$C$56/10</f>
        <v>0</v>
      </c>
      <c r="L115" s="37">
        <f>L99*$C$56/10</f>
        <v>0</v>
      </c>
      <c r="M115" s="37">
        <f>M99*$C$56/10</f>
        <v>0</v>
      </c>
      <c r="N115" s="37">
        <f>N99*$C$56/10</f>
        <v>0</v>
      </c>
      <c r="O115" s="37">
        <f>O99*$C$56/10</f>
        <v>0</v>
      </c>
      <c r="P115" s="37">
        <f>P99*$C$56/10</f>
        <v>0</v>
      </c>
      <c r="Q115" s="37">
        <f>Q99*$C$56/10</f>
        <v>0</v>
      </c>
      <c r="R115" s="37">
        <f>R99*$C$56/10</f>
        <v>0</v>
      </c>
      <c r="S115" s="37">
        <f>S99*$C$56/10</f>
        <v>0</v>
      </c>
      <c r="T115" s="37">
        <f>T99*$C$56/10</f>
        <v>0</v>
      </c>
      <c r="U115" s="37">
        <f>U99*$C$56/10</f>
        <v>0</v>
      </c>
      <c r="V115" s="37">
        <f>V99*$C$56/10</f>
        <v>0</v>
      </c>
      <c r="W115" s="37">
        <f>W99*$C$56/10</f>
        <v>0</v>
      </c>
      <c r="X115" s="37">
        <f>X99*$C$56/10</f>
        <v>0</v>
      </c>
      <c r="Y115" s="37">
        <f>Y99*$C$56/10</f>
        <v>0</v>
      </c>
      <c r="Z115" s="37">
        <f>Z99*$C$56/10</f>
        <v>0</v>
      </c>
      <c r="AA115" s="37">
        <f>AA99*$C$56/10</f>
        <v>0</v>
      </c>
      <c r="AB115" s="37">
        <f>AB99*$C$56/10</f>
        <v>0</v>
      </c>
      <c r="AC115" s="37">
        <f>AC99*$C$56/10</f>
        <v>0</v>
      </c>
    </row>
    <row r="116" spans="1:29" x14ac:dyDescent="0.25">
      <c r="A116" s="60" t="s">
        <v>195</v>
      </c>
      <c r="B116" s="61" t="s">
        <v>86</v>
      </c>
      <c r="C116" s="62">
        <f>SUM(E116:AC116)</f>
        <v>72107.64460755348</v>
      </c>
      <c r="D116" s="63"/>
      <c r="E116" s="62">
        <f>E113+E114-E115</f>
        <v>2972.64530863654</v>
      </c>
      <c r="F116" s="62">
        <f>F113+F114-F115</f>
        <v>2965.2836816086733</v>
      </c>
      <c r="G116" s="62">
        <f>G113+G114-G115</f>
        <v>2957.9220545808066</v>
      </c>
      <c r="H116" s="62">
        <f>H113+H114-H115</f>
        <v>2950.5604275529395</v>
      </c>
      <c r="I116" s="62">
        <f>I113+I114-I115</f>
        <v>2943.198800525073</v>
      </c>
      <c r="J116" s="62">
        <f>J113+J114-J115</f>
        <v>2935.837173497206</v>
      </c>
      <c r="K116" s="62">
        <f>K113+K114-K115</f>
        <v>2928.4755464693394</v>
      </c>
      <c r="L116" s="62">
        <f>L113+L114-L115</f>
        <v>2921.1139194414727</v>
      </c>
      <c r="M116" s="62">
        <f>M113+M114-M115</f>
        <v>2913.7522924136056</v>
      </c>
      <c r="N116" s="62">
        <f>N113+N114-N115</f>
        <v>2906.390665385739</v>
      </c>
      <c r="O116" s="62">
        <f>O113+O114-O115</f>
        <v>2899.029038357872</v>
      </c>
      <c r="P116" s="62">
        <f>P113+P114-P115</f>
        <v>2891.667411330006</v>
      </c>
      <c r="Q116" s="62">
        <f>Q113+Q114-Q115</f>
        <v>2884.305784302139</v>
      </c>
      <c r="R116" s="62">
        <f>R113+R114-R115</f>
        <v>2876.944157274272</v>
      </c>
      <c r="S116" s="62">
        <f>S113+S114-S115</f>
        <v>2869.5825302464054</v>
      </c>
      <c r="T116" s="62">
        <f>T113+T114-T115</f>
        <v>2862.2209032185388</v>
      </c>
      <c r="U116" s="62">
        <f>U113+U114-U115</f>
        <v>2854.859276190672</v>
      </c>
      <c r="V116" s="62">
        <f>V113+V114-V115</f>
        <v>2847.4976491628054</v>
      </c>
      <c r="W116" s="62">
        <f>W113+W114-W115</f>
        <v>2840.1360221349382</v>
      </c>
      <c r="X116" s="62">
        <f>X113+X114-X115</f>
        <v>2832.7743951070715</v>
      </c>
      <c r="Y116" s="62">
        <f>Y113+Y114-Y115</f>
        <v>2825.412768079205</v>
      </c>
      <c r="Z116" s="62">
        <f>Z113+Z114-Z115</f>
        <v>2818.051141051338</v>
      </c>
      <c r="AA116" s="62">
        <f>AA113+AA114-AA115</f>
        <v>2810.689514023472</v>
      </c>
      <c r="AB116" s="62">
        <f>AB113+AB114-AB115</f>
        <v>2803.3278869956043</v>
      </c>
      <c r="AC116" s="62">
        <f>AC113+AC114-AC115</f>
        <v>2795.966259967738</v>
      </c>
    </row>
    <row r="118" ht="20" customHeight="1" spans="1:29" x14ac:dyDescent="0.25">
      <c r="A118" s="21" t="s">
        <v>196</v>
      </c>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row>
    <row r="119" spans="1:29" x14ac:dyDescent="0.25">
      <c r="A119" s="33" t="s">
        <v>120</v>
      </c>
      <c r="B119" s="26" t="s">
        <v>86</v>
      </c>
      <c r="C119" s="56">
        <f>SUM(E119:AC119)</f>
        <v>2833.8105447354856</v>
      </c>
      <c r="E119" s="37">
        <f>$C$32*$C$44/100*E106</f>
        <v>59.375294432676874</v>
      </c>
      <c r="F119" s="37">
        <f>$C$32*$C$44/100*F106</f>
        <v>62.34405915431072</v>
      </c>
      <c r="G119" s="37">
        <f>$C$32*$C$44/100*G106</f>
        <v>65.46126211202626</v>
      </c>
      <c r="H119" s="37">
        <f>$C$32*$C$44/100*H106</f>
        <v>68.73432521762757</v>
      </c>
      <c r="I119" s="37">
        <f>$C$32*$C$44/100*I106</f>
        <v>72.17104147850895</v>
      </c>
      <c r="J119" s="37">
        <f>$C$32*$C$44/100*J106</f>
        <v>75.7795935524344</v>
      </c>
      <c r="K119" s="37">
        <f>$C$32*$C$44/100*K106</f>
        <v>79.56857323005613</v>
      </c>
      <c r="L119" s="37">
        <f>$C$32*$C$44/100*L106</f>
        <v>83.54700189155895</v>
      </c>
      <c r="M119" s="37">
        <f>$C$32*$C$44/100*M106</f>
        <v>87.7243519861369</v>
      </c>
      <c r="N119" s="37">
        <f>$C$32*$C$44/100*N106</f>
        <v>92.11056958544374</v>
      </c>
      <c r="O119" s="37">
        <f>$C$32*$C$44/100*O106</f>
        <v>96.71609806471594</v>
      </c>
      <c r="P119" s="37">
        <f>$C$32*$C$44/100*P106</f>
        <v>101.55190296795173</v>
      </c>
      <c r="Q119" s="37">
        <f>$C$32*$C$44/100*Q106</f>
        <v>106.62949811634932</v>
      </c>
      <c r="R119" s="37">
        <f>$C$32*$C$44/100*R106</f>
        <v>111.9609730221668</v>
      </c>
      <c r="S119" s="37">
        <f>$C$32*$C$44/100*S106</f>
        <v>117.55902167327514</v>
      </c>
      <c r="T119" s="37">
        <f>$C$32*$C$44/100*T106</f>
        <v>123.43697275693891</v>
      </c>
      <c r="U119" s="37">
        <f>$C$32*$C$44/100*U106</f>
        <v>129.60882139478585</v>
      </c>
      <c r="V119" s="37">
        <f>$C$32*$C$44/100*V106</f>
        <v>136.08926246452515</v>
      </c>
      <c r="W119" s="37">
        <f>$C$32*$C$44/100*W106</f>
        <v>142.89372558775142</v>
      </c>
      <c r="X119" s="37">
        <f>$C$32*$C$44/100*X106</f>
        <v>150.038411867139</v>
      </c>
      <c r="Y119" s="37">
        <f>$C$32*$C$44/100*Y106</f>
        <v>157.54033246049593</v>
      </c>
      <c r="Z119" s="37">
        <f>$C$32*$C$44/100*Z106</f>
        <v>165.41734908352075</v>
      </c>
      <c r="AA119" s="37">
        <f>$C$32*$C$44/100*AA106</f>
        <v>173.6882165376968</v>
      </c>
      <c r="AB119" s="37">
        <f>$C$32*$C$44/100*AB106</f>
        <v>182.37262736458163</v>
      </c>
      <c r="AC119" s="37">
        <f>$C$32*$C$44/100*AC106</f>
        <v>191.49125873281073</v>
      </c>
    </row>
    <row r="120" spans="1:29" x14ac:dyDescent="0.25">
      <c r="A120" s="33" t="s">
        <v>122</v>
      </c>
      <c r="B120" s="26" t="s">
        <v>86</v>
      </c>
      <c r="C120" s="56">
        <f>SUM(E120:AC120)</f>
        <v>2762.236699431087</v>
      </c>
      <c r="E120" s="37">
        <f>$C$35*$C$45/100*E106</f>
        <v>57.87564649519479</v>
      </c>
      <c r="F120" s="37">
        <f>$C$35*$C$45/100*F106</f>
        <v>60.769428819954534</v>
      </c>
      <c r="G120" s="37">
        <f>$C$35*$C$45/100*G106</f>
        <v>63.80790026095226</v>
      </c>
      <c r="H120" s="37">
        <f>$C$35*$C$45/100*H106</f>
        <v>66.99829527399989</v>
      </c>
      <c r="I120" s="37">
        <f>$C$35*$C$45/100*I106</f>
        <v>70.34821003769989</v>
      </c>
      <c r="J120" s="37">
        <f>$C$35*$C$45/100*J106</f>
        <v>73.86562053958488</v>
      </c>
      <c r="K120" s="37">
        <f>$C$35*$C$45/100*K106</f>
        <v>77.55890156656413</v>
      </c>
      <c r="L120" s="37">
        <f>$C$35*$C$45/100*L106</f>
        <v>81.43684664489234</v>
      </c>
      <c r="M120" s="37">
        <f>$C$35*$C$45/100*M106</f>
        <v>85.50868897713696</v>
      </c>
      <c r="N120" s="37">
        <f>$C$35*$C$45/100*N106</f>
        <v>89.7841234259938</v>
      </c>
      <c r="O120" s="37">
        <f>$C$35*$C$45/100*O106</f>
        <v>94.27332959729351</v>
      </c>
      <c r="P120" s="37">
        <f>$C$35*$C$45/100*P106</f>
        <v>98.98699607715817</v>
      </c>
      <c r="Q120" s="37">
        <f>$C$35*$C$45/100*Q106</f>
        <v>103.9363458810161</v>
      </c>
      <c r="R120" s="37">
        <f>$C$35*$C$45/100*R106</f>
        <v>109.1331631750669</v>
      </c>
      <c r="S120" s="37">
        <f>$C$35*$C$45/100*S106</f>
        <v>114.58982133382025</v>
      </c>
      <c r="T120" s="37">
        <f>$C$35*$C$45/100*T106</f>
        <v>120.31931240051128</v>
      </c>
      <c r="U120" s="37">
        <f>$C$35*$C$45/100*U106</f>
        <v>126.33527802053682</v>
      </c>
      <c r="V120" s="37">
        <f>$C$35*$C$45/100*V106</f>
        <v>132.6520419215637</v>
      </c>
      <c r="W120" s="37">
        <f>$C$35*$C$45/100*W106</f>
        <v>139.28464401764188</v>
      </c>
      <c r="X120" s="37">
        <f>$C$35*$C$45/100*X106</f>
        <v>146.24887621852398</v>
      </c>
      <c r="Y120" s="37">
        <f>$C$35*$C$45/100*Y106</f>
        <v>153.56132002945017</v>
      </c>
      <c r="Z120" s="37">
        <f>$C$35*$C$45/100*Z106</f>
        <v>161.2393860309227</v>
      </c>
      <c r="AA120" s="37">
        <f>$C$35*$C$45/100*AA106</f>
        <v>169.30135533246883</v>
      </c>
      <c r="AB120" s="37">
        <f>$C$35*$C$45/100*AB106</f>
        <v>177.7664230990923</v>
      </c>
      <c r="AC120" s="37">
        <f>$C$35*$C$45/100*AC106</f>
        <v>186.6547442540469</v>
      </c>
    </row>
    <row r="121" spans="1:29" x14ac:dyDescent="0.25">
      <c r="A121" s="33" t="s">
        <v>124</v>
      </c>
      <c r="B121" s="26" t="s">
        <v>86</v>
      </c>
      <c r="C121" s="56">
        <f>SUM(E121:AC121)</f>
        <v>3247.853816091747</v>
      </c>
      <c r="E121" s="37">
        <f>$C$33*$C$46/100*E106</f>
        <v>68.05051839580229</v>
      </c>
      <c r="F121" s="37">
        <f>$C$33*$C$46/100*F106</f>
        <v>71.45304431559241</v>
      </c>
      <c r="G121" s="37">
        <f>$C$33*$C$46/100*G106</f>
        <v>75.02569653137202</v>
      </c>
      <c r="H121" s="37">
        <f>$C$33*$C$46/100*H106</f>
        <v>78.77698135794063</v>
      </c>
      <c r="I121" s="37">
        <f>$C$33*$C$46/100*I106</f>
        <v>82.71583042583767</v>
      </c>
      <c r="J121" s="37">
        <f>$C$33*$C$46/100*J106</f>
        <v>86.85162194712956</v>
      </c>
      <c r="K121" s="37">
        <f>$C$33*$C$46/100*K106</f>
        <v>91.19420304448604</v>
      </c>
      <c r="L121" s="37">
        <f>$C$33*$C$46/100*L106</f>
        <v>95.75391319671034</v>
      </c>
      <c r="M121" s="37">
        <f>$C$33*$C$46/100*M106</f>
        <v>100.54160885654586</v>
      </c>
      <c r="N121" s="37">
        <f>$C$33*$C$46/100*N106</f>
        <v>105.56868929937316</v>
      </c>
      <c r="O121" s="37">
        <f>$C$33*$C$46/100*O106</f>
        <v>110.84712376434183</v>
      </c>
      <c r="P121" s="37">
        <f>$C$33*$C$46/100*P106</f>
        <v>116.38947995255891</v>
      </c>
      <c r="Q121" s="37">
        <f>$C$33*$C$46/100*Q106</f>
        <v>122.20895395018687</v>
      </c>
      <c r="R121" s="37">
        <f>$C$33*$C$46/100*R106</f>
        <v>128.31940164769622</v>
      </c>
      <c r="S121" s="37">
        <f>$C$33*$C$46/100*S106</f>
        <v>134.73537173008103</v>
      </c>
      <c r="T121" s="37">
        <f>$C$33*$C$46/100*T106</f>
        <v>141.4721403165851</v>
      </c>
      <c r="U121" s="37">
        <f>$C$33*$C$46/100*U106</f>
        <v>148.54574733241435</v>
      </c>
      <c r="V121" s="37">
        <f>$C$33*$C$46/100*V106</f>
        <v>155.97303469903508</v>
      </c>
      <c r="W121" s="37">
        <f>$C$33*$C$46/100*W106</f>
        <v>163.77168643398684</v>
      </c>
      <c r="X121" s="37">
        <f>$C$33*$C$46/100*X106</f>
        <v>171.9602707556862</v>
      </c>
      <c r="Y121" s="37">
        <f>$C$33*$C$46/100*Y106</f>
        <v>180.55828429347048</v>
      </c>
      <c r="Z121" s="37">
        <f>$C$33*$C$46/100*Z106</f>
        <v>189.58619850814404</v>
      </c>
      <c r="AA121" s="37">
        <f>$C$33*$C$46/100*AA106</f>
        <v>199.06550843355126</v>
      </c>
      <c r="AB121" s="37">
        <f>$C$33*$C$46/100*AB106</f>
        <v>209.0187838552288</v>
      </c>
      <c r="AC121" s="37">
        <f>$C$33*$C$46/100*AC106</f>
        <v>219.46972304799024</v>
      </c>
    </row>
    <row r="122" spans="1:29" x14ac:dyDescent="0.25">
      <c r="A122" s="33" t="s">
        <v>126</v>
      </c>
      <c r="B122" s="26" t="s">
        <v>86</v>
      </c>
      <c r="C122" s="56">
        <f>SUM(E122:AC122)</f>
        <v>968.6983623535276</v>
      </c>
      <c r="E122" s="37">
        <f>$C$83*$C$48</f>
        <v>38.74793449414112</v>
      </c>
      <c r="F122" s="37">
        <f>$C$83*$C$48</f>
        <v>38.74793449414112</v>
      </c>
      <c r="G122" s="37">
        <f>$C$83*$C$48</f>
        <v>38.74793449414112</v>
      </c>
      <c r="H122" s="37">
        <f>$C$83*$C$48</f>
        <v>38.74793449414112</v>
      </c>
      <c r="I122" s="37">
        <f>$C$83*$C$48</f>
        <v>38.74793449414112</v>
      </c>
      <c r="J122" s="37">
        <f>$C$83*$C$48</f>
        <v>38.74793449414112</v>
      </c>
      <c r="K122" s="37">
        <f>$C$83*$C$48</f>
        <v>38.74793449414112</v>
      </c>
      <c r="L122" s="37">
        <f>$C$83*$C$48</f>
        <v>38.74793449414112</v>
      </c>
      <c r="M122" s="37">
        <f>$C$83*$C$48</f>
        <v>38.74793449414112</v>
      </c>
      <c r="N122" s="37">
        <f>$C$83*$C$48</f>
        <v>38.74793449414112</v>
      </c>
      <c r="O122" s="37">
        <f>$C$83*$C$48</f>
        <v>38.74793449414112</v>
      </c>
      <c r="P122" s="37">
        <f>$C$83*$C$48</f>
        <v>38.74793449414112</v>
      </c>
      <c r="Q122" s="37">
        <f>$C$83*$C$48</f>
        <v>38.74793449414112</v>
      </c>
      <c r="R122" s="37">
        <f>$C$83*$C$48</f>
        <v>38.74793449414112</v>
      </c>
      <c r="S122" s="37">
        <f>$C$83*$C$48</f>
        <v>38.74793449414112</v>
      </c>
      <c r="T122" s="37">
        <f>$C$83*$C$48</f>
        <v>38.74793449414112</v>
      </c>
      <c r="U122" s="37">
        <f>$C$83*$C$48</f>
        <v>38.74793449414112</v>
      </c>
      <c r="V122" s="37">
        <f>$C$83*$C$48</f>
        <v>38.74793449414112</v>
      </c>
      <c r="W122" s="37">
        <f>$C$83*$C$48</f>
        <v>38.74793449414112</v>
      </c>
      <c r="X122" s="37">
        <f>$C$83*$C$48</f>
        <v>38.74793449414112</v>
      </c>
      <c r="Y122" s="37">
        <f>$C$83*$C$48</f>
        <v>38.74793449414112</v>
      </c>
      <c r="Z122" s="37">
        <f>$C$83*$C$48</f>
        <v>38.74793449414112</v>
      </c>
      <c r="AA122" s="37">
        <f>$C$83*$C$48</f>
        <v>38.74793449414112</v>
      </c>
      <c r="AB122" s="37">
        <f>$C$83*$C$48</f>
        <v>38.74793449414112</v>
      </c>
      <c r="AC122" s="37">
        <f>$C$83*$C$48</f>
        <v>38.74793449414112</v>
      </c>
    </row>
    <row r="123" spans="1:29" x14ac:dyDescent="0.25">
      <c r="A123" s="33" t="s">
        <v>128</v>
      </c>
      <c r="B123" s="26" t="s">
        <v>86</v>
      </c>
      <c r="C123" s="56">
        <f>SUM(E123:AC123)</f>
        <v>0</v>
      </c>
      <c r="E123" s="37">
        <f>$C$49*E106</f>
        <v>0</v>
      </c>
      <c r="F123" s="37">
        <f>$C$49*F106</f>
        <v>0</v>
      </c>
      <c r="G123" s="37">
        <f>$C$49*G106</f>
        <v>0</v>
      </c>
      <c r="H123" s="37">
        <f>$C$49*H106</f>
        <v>0</v>
      </c>
      <c r="I123" s="37">
        <f>$C$49*I106</f>
        <v>0</v>
      </c>
      <c r="J123" s="37">
        <f>$C$49*J106</f>
        <v>0</v>
      </c>
      <c r="K123" s="37">
        <f>$C$49*K106</f>
        <v>0</v>
      </c>
      <c r="L123" s="37">
        <f>$C$49*L106</f>
        <v>0</v>
      </c>
      <c r="M123" s="37">
        <f>$C$49*M106</f>
        <v>0</v>
      </c>
      <c r="N123" s="37">
        <f>$C$49*N106</f>
        <v>0</v>
      </c>
      <c r="O123" s="37">
        <f>$C$49*O106</f>
        <v>0</v>
      </c>
      <c r="P123" s="37">
        <f>$C$49*P106</f>
        <v>0</v>
      </c>
      <c r="Q123" s="37">
        <f>$C$49*Q106</f>
        <v>0</v>
      </c>
      <c r="R123" s="37">
        <f>$C$49*R106</f>
        <v>0</v>
      </c>
      <c r="S123" s="37">
        <f>$C$49*S106</f>
        <v>0</v>
      </c>
      <c r="T123" s="37">
        <f>$C$49*T106</f>
        <v>0</v>
      </c>
      <c r="U123" s="37">
        <f>$C$49*U106</f>
        <v>0</v>
      </c>
      <c r="V123" s="37">
        <f>$C$49*V106</f>
        <v>0</v>
      </c>
      <c r="W123" s="37">
        <f>$C$49*W106</f>
        <v>0</v>
      </c>
      <c r="X123" s="37">
        <f>$C$49*X106</f>
        <v>0</v>
      </c>
      <c r="Y123" s="37">
        <f>$C$49*Y106</f>
        <v>0</v>
      </c>
      <c r="Z123" s="37">
        <f>$C$49*Z106</f>
        <v>0</v>
      </c>
      <c r="AA123" s="37">
        <f>$C$49*AA106</f>
        <v>0</v>
      </c>
      <c r="AB123" s="37">
        <f>$C$49*AB106</f>
        <v>0</v>
      </c>
      <c r="AC123" s="37">
        <f>$C$49*AC106</f>
        <v>0</v>
      </c>
    </row>
    <row r="124" spans="1:29" x14ac:dyDescent="0.25">
      <c r="A124" s="33" t="s">
        <v>131</v>
      </c>
      <c r="B124" s="26" t="s">
        <v>86</v>
      </c>
      <c r="C124" s="56">
        <f>SUM(E124:AC124)</f>
        <v>24727.679203370295</v>
      </c>
      <c r="E124" s="37">
        <f>E102*$C$50*E107/10</f>
        <v>536.5102870326114</v>
      </c>
      <c r="F124" s="37">
        <f>F102*$C$50*F107/10</f>
        <v>562.0008627684299</v>
      </c>
      <c r="G124" s="37">
        <f>G102*$C$50*G107/10</f>
        <v>588.6992203602488</v>
      </c>
      <c r="H124" s="37">
        <f>H102*$C$50*H107/10</f>
        <v>616.6624115543287</v>
      </c>
      <c r="I124" s="37">
        <f>I102*$C$50*I107/10</f>
        <v>645.9501738169158</v>
      </c>
      <c r="J124" s="37">
        <f>J102*$C$50*J107/10</f>
        <v>676.6250562768757</v>
      </c>
      <c r="K124" s="37">
        <f>K102*$C$50*K107/10</f>
        <v>708.7525515482896</v>
      </c>
      <c r="L124" s="37">
        <f>L102*$C$50*L107/10</f>
        <v>742.4012337061524</v>
      </c>
      <c r="M124" s="37">
        <f>M102*$C$50*M107/10</f>
        <v>777.642902700931</v>
      </c>
      <c r="N124" s="37">
        <f>N102*$C$50*N107/10</f>
        <v>814.5527355109217</v>
      </c>
      <c r="O124" s="37">
        <f>O102*$C$50*O107/10</f>
        <v>853.2094443451597</v>
      </c>
      <c r="P124" s="37">
        <f>P102*$C$50*P107/10</f>
        <v>893.6954422240439</v>
      </c>
      <c r="Q124" s="37">
        <f>Q102*$C$50*Q107/10</f>
        <v>936.0970162799533</v>
      </c>
      <c r="R124" s="37">
        <f>R102*$C$50*R107/10</f>
        <v>980.504509135894</v>
      </c>
      <c r="S124" s="37">
        <f>S102*$C$50*S107/10</f>
        <v>1027.012508736729</v>
      </c>
      <c r="T124" s="37">
        <f>T102*$C$50*T107/10</f>
        <v>1075.7200470248072</v>
      </c>
      <c r="U124" s="37">
        <f>U102*$C$50*U107/10</f>
        <v>1126.7308078698518</v>
      </c>
      <c r="V124" s="37">
        <f>V102*$C$50*V107/10</f>
        <v>1180.1533446818387</v>
      </c>
      <c r="W124" s="37">
        <f>W102*$C$50*W107/10</f>
        <v>1236.1013081553494</v>
      </c>
      <c r="X124" s="37">
        <f>X102*$C$50*X107/10</f>
        <v>1294.6936846145074</v>
      </c>
      <c r="Y124" s="37">
        <f>Y102*$C$50*Y107/10</f>
        <v>1356.055045449192</v>
      </c>
      <c r="Z124" s="37">
        <f>Z102*$C$50*Z107/10</f>
        <v>1420.315808155809</v>
      </c>
      <c r="AA124" s="37">
        <f>AA102*$C$50*AA107/10</f>
        <v>1487.6125095194645</v>
      </c>
      <c r="AB124" s="37">
        <f>AB102*$C$50*AB107/10</f>
        <v>1558.088091499097</v>
      </c>
      <c r="AC124" s="37">
        <f>AC102*$C$50*AC107/10</f>
        <v>1631.892200402893</v>
      </c>
    </row>
    <row r="125" spans="1:29" x14ac:dyDescent="0.25">
      <c r="A125" s="60" t="s">
        <v>197</v>
      </c>
      <c r="B125" s="61" t="s">
        <v>86</v>
      </c>
      <c r="C125" s="62">
        <f>SUM(E125:AC125)</f>
        <v>34540.278625982144</v>
      </c>
      <c r="D125" s="63"/>
      <c r="E125" s="62">
        <f>SUM(E119:E124)</f>
        <v>760.5596808504265</v>
      </c>
      <c r="F125" s="62">
        <f>SUM(F119:F124)</f>
        <v>795.3153295524287</v>
      </c>
      <c r="G125" s="62">
        <f>SUM(G119:G124)</f>
        <v>831.7420137587404</v>
      </c>
      <c r="H125" s="62">
        <f>SUM(H119:H124)</f>
        <v>869.9199478980379</v>
      </c>
      <c r="I125" s="62">
        <f>SUM(I119:I124)</f>
        <v>909.9331902531035</v>
      </c>
      <c r="J125" s="62">
        <f>SUM(J119:J124)</f>
        <v>951.8698268101657</v>
      </c>
      <c r="K125" s="62">
        <f>SUM(K119:K124)</f>
        <v>995.8221638835371</v>
      </c>
      <c r="L125" s="62">
        <f>SUM(L119:L124)</f>
        <v>1041.8869299334551</v>
      </c>
      <c r="M125" s="62">
        <f>SUM(M119:M124)</f>
        <v>1090.1654870148918</v>
      </c>
      <c r="N125" s="62">
        <f>SUM(N119:N124)</f>
        <v>1140.7640523158734</v>
      </c>
      <c r="O125" s="62">
        <f>SUM(O119:O124)</f>
        <v>1193.793930265652</v>
      </c>
      <c r="P125" s="62">
        <f>SUM(P119:P124)</f>
        <v>1249.3717557158539</v>
      </c>
      <c r="Q125" s="62">
        <f>SUM(Q119:Q124)</f>
        <v>1307.6197487216468</v>
      </c>
      <c r="R125" s="62">
        <f>SUM(R119:R124)</f>
        <v>1368.665981474965</v>
      </c>
      <c r="S125" s="62">
        <f>SUM(S119:S124)</f>
        <v>1432.6446579680464</v>
      </c>
      <c r="T125" s="62">
        <f>SUM(T119:T124)</f>
        <v>1499.6964069929836</v>
      </c>
      <c r="U125" s="62">
        <f>SUM(U119:U124)</f>
        <v>1569.96858911173</v>
      </c>
      <c r="V125" s="62">
        <f>SUM(V119:V124)</f>
        <v>1643.6156182611037</v>
      </c>
      <c r="W125" s="62">
        <f>SUM(W119:W124)</f>
        <v>1720.7992986888707</v>
      </c>
      <c r="X125" s="62">
        <f>SUM(X119:X124)</f>
        <v>1801.6891779499977</v>
      </c>
      <c r="Y125" s="62">
        <f>SUM(Y119:Y124)</f>
        <v>1886.4629167267497</v>
      </c>
      <c r="Z125" s="62">
        <f>SUM(Z119:Z124)</f>
        <v>1975.3066762725375</v>
      </c>
      <c r="AA125" s="62">
        <f>SUM(AA119:AA124)</f>
        <v>2068.4155243173227</v>
      </c>
      <c r="AB125" s="62">
        <f>SUM(AB119:AB124)</f>
        <v>2165.993860312141</v>
      </c>
      <c r="AC125" s="62">
        <f>SUM(AC119:AC124)</f>
        <v>2268.255860931882</v>
      </c>
    </row>
    <row r="126" spans="1:29" x14ac:dyDescent="0.25">
      <c r="A126" s="60" t="s">
        <v>198</v>
      </c>
      <c r="B126" s="61" t="s">
        <v>86</v>
      </c>
      <c r="C126" s="62">
        <f>SUM(E126:AC126)</f>
        <v>37567.36598157133</v>
      </c>
      <c r="D126" s="63"/>
      <c r="E126" s="62">
        <f>E116-E125</f>
        <v>2212.0856277861135</v>
      </c>
      <c r="F126" s="62">
        <f>F116-F125</f>
        <v>2169.968352056245</v>
      </c>
      <c r="G126" s="62">
        <f>G116-G125</f>
        <v>2126.180040822066</v>
      </c>
      <c r="H126" s="62">
        <f>H116-H125</f>
        <v>2080.6404796549014</v>
      </c>
      <c r="I126" s="62">
        <f>I116-I125</f>
        <v>2033.2656102719693</v>
      </c>
      <c r="J126" s="62">
        <f>J116-J125</f>
        <v>1983.9673466870404</v>
      </c>
      <c r="K126" s="62">
        <f>K116-K125</f>
        <v>1932.6533825858023</v>
      </c>
      <c r="L126" s="62">
        <f>L116-L125</f>
        <v>1879.2269895080176</v>
      </c>
      <c r="M126" s="62">
        <f>M116-M125</f>
        <v>1823.5868053987138</v>
      </c>
      <c r="N126" s="62">
        <f>N116-N125</f>
        <v>1765.6266130698655</v>
      </c>
      <c r="O126" s="62">
        <f>O116-O125</f>
        <v>1705.2351080922201</v>
      </c>
      <c r="P126" s="62">
        <f>P116-P125</f>
        <v>1642.295655614152</v>
      </c>
      <c r="Q126" s="62">
        <f>Q116-Q125</f>
        <v>1576.686035580492</v>
      </c>
      <c r="R126" s="62">
        <f>R116-R125</f>
        <v>1508.278175799307</v>
      </c>
      <c r="S126" s="62">
        <f>S116-S125</f>
        <v>1436.937872278359</v>
      </c>
      <c r="T126" s="62">
        <f>T116-T125</f>
        <v>1362.5244962255551</v>
      </c>
      <c r="U126" s="62">
        <f>U116-U125</f>
        <v>1284.8906870789422</v>
      </c>
      <c r="V126" s="62">
        <f>V116-V125</f>
        <v>1203.8820309017017</v>
      </c>
      <c r="W126" s="62">
        <f>W116-W125</f>
        <v>1119.3367234460675</v>
      </c>
      <c r="X126" s="62">
        <f>X116-X125</f>
        <v>1031.0852171570739</v>
      </c>
      <c r="Y126" s="62">
        <f>Y116-Y125</f>
        <v>938.9498513524552</v>
      </c>
      <c r="Z126" s="62">
        <f>Z116-Z125</f>
        <v>842.7444647788006</v>
      </c>
      <c r="AA126" s="62">
        <f>AA116-AA125</f>
        <v>742.2739897061492</v>
      </c>
      <c r="AB126" s="62">
        <f>AB116-AB125</f>
        <v>637.3340266834634</v>
      </c>
      <c r="AC126" s="62">
        <f>AC116-AC125</f>
        <v>527.710399035856</v>
      </c>
    </row>
    <row r="127" spans="1:29" x14ac:dyDescent="0.25">
      <c r="A127" s="33" t="s">
        <v>199</v>
      </c>
      <c r="B127" s="26" t="s">
        <v>83</v>
      </c>
      <c r="E127" s="32">
        <f>IF(E116&lt;&gt;0,E126/E116,"")</f>
        <v>0.7441471814209575</v>
      </c>
      <c r="F127" s="32">
        <f>IF(F116&lt;&gt;0,F126/F116,"")</f>
        <v>0.7317911488586589</v>
      </c>
      <c r="G127" s="32">
        <f>IF(G116&lt;&gt;0,G126/G116,"")</f>
        <v>0.7188086777098613</v>
      </c>
      <c r="H127" s="32">
        <f>IF(H116&lt;&gt;0,H126/H116,"")</f>
        <v>0.7051678929282225</v>
      </c>
      <c r="I127" s="32">
        <f>IF(I116&lt;&gt;0,I126/I116,"")</f>
        <v>0.69083529454729</v>
      </c>
      <c r="J127" s="32">
        <f>IF(J116&lt;&gt;0,J126/J116,"")</f>
        <v>0.6757756746855663</v>
      </c>
      <c r="K127" s="32">
        <f>IF(K116&lt;&gt;0,K126/K116,"")</f>
        <v>0.6599520303032302</v>
      </c>
      <c r="L127" s="32">
        <f>IF(L116&lt;&gt;0,L126/L116,"")</f>
        <v>0.6433254714925094</v>
      </c>
      <c r="M127" s="32">
        <f>IF(M116&lt;&gt;0,M126/M116,"")</f>
        <v>0.6258551250724702</v>
      </c>
      <c r="N127" s="32">
        <f>IF(N116&lt;&gt;0,N126/N116,"")</f>
        <v>0.6074980332472028</v>
      </c>
      <c r="O127" s="32">
        <f>IF(O116&lt;&gt;0,O126/O116,"")</f>
        <v>0.5882090470739592</v>
      </c>
      <c r="P127" s="32">
        <f>IF(P116&lt;&gt;0,P126/P116,"")</f>
        <v>0.567940714474763</v>
      </c>
      <c r="Q127" s="32">
        <f>IF(Q116&lt;&gt;0,Q126/Q116,"")</f>
        <v>0.5466431625112775</v>
      </c>
      <c r="R127" s="32">
        <f>IF(R116&lt;&gt;0,R126/R116,"")</f>
        <v>0.5242639736282918</v>
      </c>
      <c r="S127" s="32">
        <f>IF(S116&lt;&gt;0,S126/S116,"")</f>
        <v>0.5007480555560018</v>
      </c>
      <c r="T127" s="32">
        <f>IF(T116&lt;&gt;0,T126/T116,"")</f>
        <v>0.4760375045453026</v>
      </c>
      <c r="U127" s="32">
        <f>IF(U116&lt;&gt;0,U126/U116,"")</f>
        <v>0.45007146159351574</v>
      </c>
      <c r="V127" s="32">
        <f>IF(V116&lt;&gt;0,V126/V116,"")</f>
        <v>0.4227859613003213</v>
      </c>
      <c r="W127" s="32">
        <f>IF(W116&lt;&gt;0,W126/W116,"")</f>
        <v>0.39411377297509115</v>
      </c>
      <c r="X127" s="32">
        <f>IF(X116&lt;&gt;0,X126/X116,"")</f>
        <v>0.3639842335972899</v>
      </c>
      <c r="Y127" s="32">
        <f>IF(Y116&lt;&gt;0,Y126/Y116,"")</f>
        <v>0.3323230722110666</v>
      </c>
      <c r="Z127" s="32">
        <f>IF(Z116&lt;&gt;0,Z126/Z116,"")</f>
        <v>0.29905222531355324</v>
      </c>
      <c r="AA127" s="32">
        <f>IF(AA116&lt;&gt;0,AA126/AA116,"")</f>
        <v>0.2640896427736666</v>
      </c>
      <c r="AB127" s="32">
        <f>IF(AB116&lt;&gt;0,AB126/AB116,"")</f>
        <v>0.22734908379430066</v>
      </c>
      <c r="AC127" s="32">
        <f>IF(AC116&lt;&gt;0,AC126/AC116,"")</f>
        <v>0.18873990240566962</v>
      </c>
    </row>
    <row r="129" ht="20" customHeight="1" spans="1:29" x14ac:dyDescent="0.25">
      <c r="A129" s="21" t="s">
        <v>200</v>
      </c>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row>
    <row r="130" spans="1:29" x14ac:dyDescent="0.25">
      <c r="A130" s="33" t="s">
        <v>143</v>
      </c>
      <c r="B130" s="26" t="s">
        <v>86</v>
      </c>
      <c r="C130" s="56">
        <f>SUM(E130:AC130)</f>
        <v>2778.0310317693506</v>
      </c>
      <c r="E130" s="37">
        <f>IF($C$58="annual",IF(E$5&gt;=2,$C$35*$C$59*$C$39*E108,0),IF(AND($C$58="oneTime",E$5=$C$60,$C$60&gt;1,$C$60&lt;=$C$88),$C$35*MIN(0.6,$C$59*(E$5-1))*$C$39*E108,0))</f>
        <v>0</v>
      </c>
      <c r="F130" s="37">
        <f>IF($C$58="annual",IF(F$5&gt;=2,$C$35*$C$59*$C$39*F108,0),IF(AND($C$58="oneTime",F$5=$C$60,$C$60&gt;1,$C$60&lt;=$C$88),$C$35*MIN(0.6,$C$59*(F$5-1))*$C$39*F108,0))</f>
        <v>115.7512929903896</v>
      </c>
      <c r="G130" s="37">
        <f>IF($C$58="annual",IF(G$5&gt;=2,$C$35*$C$59*$C$39*G108,0),IF(AND($C$58="oneTime",G$5=$C$60,$C$60&gt;1,$C$60&lt;=$C$88),$C$35*MIN(0.6,$C$59*(G$5-1))*$C$39*G108,0))</f>
        <v>115.7512929903896</v>
      </c>
      <c r="H130" s="37">
        <f>IF($C$58="annual",IF(H$5&gt;=2,$C$35*$C$59*$C$39*H108,0),IF(AND($C$58="oneTime",H$5=$C$60,$C$60&gt;1,$C$60&lt;=$C$88),$C$35*MIN(0.6,$C$59*(H$5-1))*$C$39*H108,0))</f>
        <v>115.7512929903896</v>
      </c>
      <c r="I130" s="37">
        <f>IF($C$58="annual",IF(I$5&gt;=2,$C$35*$C$59*$C$39*I108,0),IF(AND($C$58="oneTime",I$5=$C$60,$C$60&gt;1,$C$60&lt;=$C$88),$C$35*MIN(0.6,$C$59*(I$5-1))*$C$39*I108,0))</f>
        <v>115.7512929903896</v>
      </c>
      <c r="J130" s="37">
        <f>IF($C$58="annual",IF(J$5&gt;=2,$C$35*$C$59*$C$39*J108,0),IF(AND($C$58="oneTime",J$5=$C$60,$C$60&gt;1,$C$60&lt;=$C$88),$C$35*MIN(0.6,$C$59*(J$5-1))*$C$39*J108,0))</f>
        <v>115.7512929903896</v>
      </c>
      <c r="K130" s="37">
        <f>IF($C$58="annual",IF(K$5&gt;=2,$C$35*$C$59*$C$39*K108,0),IF(AND($C$58="oneTime",K$5=$C$60,$C$60&gt;1,$C$60&lt;=$C$88),$C$35*MIN(0.6,$C$59*(K$5-1))*$C$39*K108,0))</f>
        <v>115.7512929903896</v>
      </c>
      <c r="L130" s="37">
        <f>IF($C$58="annual",IF(L$5&gt;=2,$C$35*$C$59*$C$39*L108,0),IF(AND($C$58="oneTime",L$5=$C$60,$C$60&gt;1,$C$60&lt;=$C$88),$C$35*MIN(0.6,$C$59*(L$5-1))*$C$39*L108,0))</f>
        <v>115.7512929903896</v>
      </c>
      <c r="M130" s="37">
        <f>IF($C$58="annual",IF(M$5&gt;=2,$C$35*$C$59*$C$39*M108,0),IF(AND($C$58="oneTime",M$5=$C$60,$C$60&gt;1,$C$60&lt;=$C$88),$C$35*MIN(0.6,$C$59*(M$5-1))*$C$39*M108,0))</f>
        <v>115.7512929903896</v>
      </c>
      <c r="N130" s="37">
        <f>IF($C$58="annual",IF(N$5&gt;=2,$C$35*$C$59*$C$39*N108,0),IF(AND($C$58="oneTime",N$5=$C$60,$C$60&gt;1,$C$60&lt;=$C$88),$C$35*MIN(0.6,$C$59*(N$5-1))*$C$39*N108,0))</f>
        <v>115.7512929903896</v>
      </c>
      <c r="O130" s="37">
        <f>IF($C$58="annual",IF(O$5&gt;=2,$C$35*$C$59*$C$39*O108,0),IF(AND($C$58="oneTime",O$5=$C$60,$C$60&gt;1,$C$60&lt;=$C$88),$C$35*MIN(0.6,$C$59*(O$5-1))*$C$39*O108,0))</f>
        <v>115.7512929903896</v>
      </c>
      <c r="P130" s="37">
        <f>IF($C$58="annual",IF(P$5&gt;=2,$C$35*$C$59*$C$39*P108,0),IF(AND($C$58="oneTime",P$5=$C$60,$C$60&gt;1,$C$60&lt;=$C$88),$C$35*MIN(0.6,$C$59*(P$5-1))*$C$39*P108,0))</f>
        <v>115.7512929903896</v>
      </c>
      <c r="Q130" s="37">
        <f>IF($C$58="annual",IF(Q$5&gt;=2,$C$35*$C$59*$C$39*Q108,0),IF(AND($C$58="oneTime",Q$5=$C$60,$C$60&gt;1,$C$60&lt;=$C$88),$C$35*MIN(0.6,$C$59*(Q$5-1))*$C$39*Q108,0))</f>
        <v>115.7512929903896</v>
      </c>
      <c r="R130" s="37">
        <f>IF($C$58="annual",IF(R$5&gt;=2,$C$35*$C$59*$C$39*R108,0),IF(AND($C$58="oneTime",R$5=$C$60,$C$60&gt;1,$C$60&lt;=$C$88),$C$35*MIN(0.6,$C$59*(R$5-1))*$C$39*R108,0))</f>
        <v>115.7512929903896</v>
      </c>
      <c r="S130" s="37">
        <f>IF($C$58="annual",IF(S$5&gt;=2,$C$35*$C$59*$C$39*S108,0),IF(AND($C$58="oneTime",S$5=$C$60,$C$60&gt;1,$C$60&lt;=$C$88),$C$35*MIN(0.6,$C$59*(S$5-1))*$C$39*S108,0))</f>
        <v>115.7512929903896</v>
      </c>
      <c r="T130" s="37">
        <f>IF($C$58="annual",IF(T$5&gt;=2,$C$35*$C$59*$C$39*T108,0),IF(AND($C$58="oneTime",T$5=$C$60,$C$60&gt;1,$C$60&lt;=$C$88),$C$35*MIN(0.6,$C$59*(T$5-1))*$C$39*T108,0))</f>
        <v>115.7512929903896</v>
      </c>
      <c r="U130" s="37">
        <f>IF($C$58="annual",IF(U$5&gt;=2,$C$35*$C$59*$C$39*U108,0),IF(AND($C$58="oneTime",U$5=$C$60,$C$60&gt;1,$C$60&lt;=$C$88),$C$35*MIN(0.6,$C$59*(U$5-1))*$C$39*U108,0))</f>
        <v>115.7512929903896</v>
      </c>
      <c r="V130" s="37">
        <f>IF($C$58="annual",IF(V$5&gt;=2,$C$35*$C$59*$C$39*V108,0),IF(AND($C$58="oneTime",V$5=$C$60,$C$60&gt;1,$C$60&lt;=$C$88),$C$35*MIN(0.6,$C$59*(V$5-1))*$C$39*V108,0))</f>
        <v>115.7512929903896</v>
      </c>
      <c r="W130" s="37">
        <f>IF($C$58="annual",IF(W$5&gt;=2,$C$35*$C$59*$C$39*W108,0),IF(AND($C$58="oneTime",W$5=$C$60,$C$60&gt;1,$C$60&lt;=$C$88),$C$35*MIN(0.6,$C$59*(W$5-1))*$C$39*W108,0))</f>
        <v>115.7512929903896</v>
      </c>
      <c r="X130" s="37">
        <f>IF($C$58="annual",IF(X$5&gt;=2,$C$35*$C$59*$C$39*X108,0),IF(AND($C$58="oneTime",X$5=$C$60,$C$60&gt;1,$C$60&lt;=$C$88),$C$35*MIN(0.6,$C$59*(X$5-1))*$C$39*X108,0))</f>
        <v>115.7512929903896</v>
      </c>
      <c r="Y130" s="37">
        <f>IF($C$58="annual",IF(Y$5&gt;=2,$C$35*$C$59*$C$39*Y108,0),IF(AND($C$58="oneTime",Y$5=$C$60,$C$60&gt;1,$C$60&lt;=$C$88),$C$35*MIN(0.6,$C$59*(Y$5-1))*$C$39*Y108,0))</f>
        <v>115.7512929903896</v>
      </c>
      <c r="Z130" s="37">
        <f>IF($C$58="annual",IF(Z$5&gt;=2,$C$35*$C$59*$C$39*Z108,0),IF(AND($C$58="oneTime",Z$5=$C$60,$C$60&gt;1,$C$60&lt;=$C$88),$C$35*MIN(0.6,$C$59*(Z$5-1))*$C$39*Z108,0))</f>
        <v>115.7512929903896</v>
      </c>
      <c r="AA130" s="37">
        <f>IF($C$58="annual",IF(AA$5&gt;=2,$C$35*$C$59*$C$39*AA108,0),IF(AND($C$58="oneTime",AA$5=$C$60,$C$60&gt;1,$C$60&lt;=$C$88),$C$35*MIN(0.6,$C$59*(AA$5-1))*$C$39*AA108,0))</f>
        <v>115.7512929903896</v>
      </c>
      <c r="AB130" s="37">
        <f>IF($C$58="annual",IF(AB$5&gt;=2,$C$35*$C$59*$C$39*AB108,0),IF(AND($C$58="oneTime",AB$5=$C$60,$C$60&gt;1,$C$60&lt;=$C$88),$C$35*MIN(0.6,$C$59*(AB$5-1))*$C$39*AB108,0))</f>
        <v>115.7512929903896</v>
      </c>
      <c r="AC130" s="37">
        <f>IF($C$58="annual",IF(AC$5&gt;=2,$C$35*$C$59*$C$39*AC108,0),IF(AND($C$58="oneTime",AC$5=$C$60,$C$60&gt;1,$C$60&lt;=$C$88),$C$35*MIN(0.6,$C$59*(AC$5-1))*$C$39*AC108,0))</f>
        <v>115.7512929903896</v>
      </c>
    </row>
    <row r="132" ht="20" customHeight="1" spans="1:29" x14ac:dyDescent="0.25">
      <c r="A132" s="21" t="s">
        <v>201</v>
      </c>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row>
    <row r="133" spans="1:29" x14ac:dyDescent="0.25">
      <c r="A133" s="33" t="s">
        <v>202</v>
      </c>
      <c r="B133" s="26" t="s">
        <v>86</v>
      </c>
      <c r="C133" s="56">
        <f>SUM(E133:AC133)</f>
        <v>12205.599365654458</v>
      </c>
      <c r="E133" s="37">
        <f>IF(E$5&lt;=$C$73,$C$93,0)</f>
        <v>488.2239746261781</v>
      </c>
      <c r="F133" s="37">
        <f>IF(F$5&lt;=$C$73,$C$93,0)</f>
        <v>488.2239746261781</v>
      </c>
      <c r="G133" s="37">
        <f>IF(G$5&lt;=$C$73,$C$93,0)</f>
        <v>488.2239746261781</v>
      </c>
      <c r="H133" s="37">
        <f>IF(H$5&lt;=$C$73,$C$93,0)</f>
        <v>488.2239746261781</v>
      </c>
      <c r="I133" s="37">
        <f>IF(I$5&lt;=$C$73,$C$93,0)</f>
        <v>488.2239746261781</v>
      </c>
      <c r="J133" s="37">
        <f>IF(J$5&lt;=$C$73,$C$93,0)</f>
        <v>488.2239746261781</v>
      </c>
      <c r="K133" s="37">
        <f>IF(K$5&lt;=$C$73,$C$93,0)</f>
        <v>488.2239746261781</v>
      </c>
      <c r="L133" s="37">
        <f>IF(L$5&lt;=$C$73,$C$93,0)</f>
        <v>488.2239746261781</v>
      </c>
      <c r="M133" s="37">
        <f>IF(M$5&lt;=$C$73,$C$93,0)</f>
        <v>488.2239746261781</v>
      </c>
      <c r="N133" s="37">
        <f>IF(N$5&lt;=$C$73,$C$93,0)</f>
        <v>488.2239746261781</v>
      </c>
      <c r="O133" s="37">
        <f>IF(O$5&lt;=$C$73,$C$93,0)</f>
        <v>488.2239746261781</v>
      </c>
      <c r="P133" s="37">
        <f>IF(P$5&lt;=$C$73,$C$93,0)</f>
        <v>488.2239746261781</v>
      </c>
      <c r="Q133" s="37">
        <f>IF(Q$5&lt;=$C$73,$C$93,0)</f>
        <v>488.2239746261781</v>
      </c>
      <c r="R133" s="37">
        <f>IF(R$5&lt;=$C$73,$C$93,0)</f>
        <v>488.2239746261781</v>
      </c>
      <c r="S133" s="37">
        <f>IF(S$5&lt;=$C$73,$C$93,0)</f>
        <v>488.2239746261781</v>
      </c>
      <c r="T133" s="37">
        <f>IF(T$5&lt;=$C$73,$C$93,0)</f>
        <v>488.2239746261781</v>
      </c>
      <c r="U133" s="37">
        <f>IF(U$5&lt;=$C$73,$C$93,0)</f>
        <v>488.2239746261781</v>
      </c>
      <c r="V133" s="37">
        <f>IF(V$5&lt;=$C$73,$C$93,0)</f>
        <v>488.2239746261781</v>
      </c>
      <c r="W133" s="37">
        <f>IF(W$5&lt;=$C$73,$C$93,0)</f>
        <v>488.2239746261781</v>
      </c>
      <c r="X133" s="37">
        <f>IF(X$5&lt;=$C$73,$C$93,0)</f>
        <v>488.2239746261781</v>
      </c>
      <c r="Y133" s="37">
        <f>IF(Y$5&lt;=$C$73,$C$93,0)</f>
        <v>488.2239746261781</v>
      </c>
      <c r="Z133" s="37">
        <f>IF(Z$5&lt;=$C$73,$C$93,0)</f>
        <v>488.2239746261781</v>
      </c>
      <c r="AA133" s="37">
        <f>IF(AA$5&lt;=$C$73,$C$93,0)</f>
        <v>488.2239746261781</v>
      </c>
      <c r="AB133" s="37">
        <f>IF(AB$5&lt;=$C$73,$C$93,0)</f>
        <v>488.2239746261781</v>
      </c>
      <c r="AC133" s="37">
        <f>IF(AC$5&lt;=$C$73,$C$93,0)</f>
        <v>488.2239746261781</v>
      </c>
    </row>
    <row r="134" spans="1:29" x14ac:dyDescent="0.25">
      <c r="A134" s="33" t="s">
        <v>203</v>
      </c>
      <c r="B134" s="26" t="s">
        <v>86</v>
      </c>
      <c r="E134" s="37">
        <f>E130/MAX(1,$C$88-E$5+1)</f>
        <v>0</v>
      </c>
      <c r="F134" s="37">
        <f>F130/MAX(1,$C$88-F$5+1)</f>
        <v>4.822970541266233</v>
      </c>
      <c r="G134" s="37">
        <f>G130/MAX(1,$C$88-G$5+1)</f>
        <v>5.032664912625635</v>
      </c>
      <c r="H134" s="37">
        <f>H130/MAX(1,$C$88-H$5+1)</f>
        <v>5.261422408654073</v>
      </c>
      <c r="I134" s="37">
        <f>I130/MAX(1,$C$88-I$5+1)</f>
        <v>5.511966332875695</v>
      </c>
      <c r="J134" s="37">
        <f>J130/MAX(1,$C$88-J$5+1)</f>
        <v>5.78756464951948</v>
      </c>
      <c r="K134" s="37">
        <f>K130/MAX(1,$C$88-K$5+1)</f>
        <v>6.092173315283663</v>
      </c>
      <c r="L134" s="37">
        <f>L130/MAX(1,$C$88-L$5+1)</f>
        <v>6.430627388354978</v>
      </c>
      <c r="M134" s="37">
        <f>M130/MAX(1,$C$88-M$5+1)</f>
        <v>6.808899587669977</v>
      </c>
      <c r="N134" s="37">
        <f>N130/MAX(1,$C$88-N$5+1)</f>
        <v>7.23445581189935</v>
      </c>
      <c r="O134" s="37">
        <f>O130/MAX(1,$C$88-O$5+1)</f>
        <v>7.716752866025973</v>
      </c>
      <c r="P134" s="37">
        <f>P130/MAX(1,$C$88-P$5+1)</f>
        <v>8.267949499313543</v>
      </c>
      <c r="Q134" s="37">
        <f>Q130/MAX(1,$C$88-Q$5+1)</f>
        <v>8.903945614645354</v>
      </c>
      <c r="R134" s="37">
        <f>R130/MAX(1,$C$88-R$5+1)</f>
        <v>9.645941082532467</v>
      </c>
      <c r="S134" s="37">
        <f>S130/MAX(1,$C$88-S$5+1)</f>
        <v>10.522844817308146</v>
      </c>
      <c r="T134" s="37">
        <f>T130/MAX(1,$C$88-T$5+1)</f>
        <v>11.57512929903896</v>
      </c>
      <c r="U134" s="37">
        <f>U130/MAX(1,$C$88-U$5+1)</f>
        <v>12.861254776709956</v>
      </c>
      <c r="V134" s="37">
        <f>V130/MAX(1,$C$88-V$5+1)</f>
        <v>14.4689116237987</v>
      </c>
      <c r="W134" s="37">
        <f>W130/MAX(1,$C$88-W$5+1)</f>
        <v>16.535898998627086</v>
      </c>
      <c r="X134" s="37">
        <f>X130/MAX(1,$C$88-X$5+1)</f>
        <v>19.291882165064933</v>
      </c>
      <c r="Y134" s="37">
        <f>Y130/MAX(1,$C$88-Y$5+1)</f>
        <v>23.15025859807792</v>
      </c>
      <c r="Z134" s="37">
        <f>Z130/MAX(1,$C$88-Z$5+1)</f>
        <v>28.9378232475974</v>
      </c>
      <c r="AA134" s="37">
        <f>AA130/MAX(1,$C$88-AA$5+1)</f>
        <v>38.58376433012987</v>
      </c>
      <c r="AB134" s="37">
        <f>AB130/MAX(1,$C$88-AB$5+1)</f>
        <v>57.8756464951948</v>
      </c>
      <c r="AC134" s="37">
        <f>AC130/MAX(1,$C$88-AC$5+1)</f>
        <v>115.7512929903896</v>
      </c>
    </row>
    <row r="135" spans="1:29" x14ac:dyDescent="0.25">
      <c r="A135" s="33" t="s">
        <v>204</v>
      </c>
      <c r="B135" s="26" t="s">
        <v>86</v>
      </c>
      <c r="C135" s="56">
        <f>SUM(E135:AC135)</f>
        <v>2778.03103176935</v>
      </c>
      <c r="E135" s="37">
        <f>E134</f>
        <v>0</v>
      </c>
      <c r="F135" s="37">
        <f>E135+F134</f>
        <v>4.822970541266233</v>
      </c>
      <c r="G135" s="37">
        <f>F135+G134</f>
        <v>9.855635453891868</v>
      </c>
      <c r="H135" s="37">
        <f>G135+H134</f>
        <v>15.117057862545941</v>
      </c>
      <c r="I135" s="37">
        <f>H135+I134</f>
        <v>20.629024195421636</v>
      </c>
      <c r="J135" s="37">
        <f>I135+J134</f>
        <v>26.416588844941117</v>
      </c>
      <c r="K135" s="37">
        <f>J135+K134</f>
        <v>32.50876216022478</v>
      </c>
      <c r="L135" s="37">
        <f>K135+L134</f>
        <v>38.939389548579754</v>
      </c>
      <c r="M135" s="37">
        <f>L135+M134</f>
        <v>45.74828913624973</v>
      </c>
      <c r="N135" s="37">
        <f>M135+N134</f>
        <v>52.98274494814908</v>
      </c>
      <c r="O135" s="37">
        <f>N135+O134</f>
        <v>60.699497814175054</v>
      </c>
      <c r="P135" s="37">
        <f>O135+P134</f>
        <v>68.96744731348859</v>
      </c>
      <c r="Q135" s="37">
        <f>P135+Q134</f>
        <v>77.87139292813394</v>
      </c>
      <c r="R135" s="37">
        <f>Q135+R134</f>
        <v>87.51733401066642</v>
      </c>
      <c r="S135" s="37">
        <f>R135+S134</f>
        <v>98.04017882797456</v>
      </c>
      <c r="T135" s="37">
        <f>S135+T134</f>
        <v>109.61530812701352</v>
      </c>
      <c r="U135" s="37">
        <f>T135+U134</f>
        <v>122.47656290372348</v>
      </c>
      <c r="V135" s="37">
        <f>U135+V134</f>
        <v>136.94547452752218</v>
      </c>
      <c r="W135" s="37">
        <f>V135+W134</f>
        <v>153.48137352614927</v>
      </c>
      <c r="X135" s="37">
        <f>W135+X134</f>
        <v>172.77325569121422</v>
      </c>
      <c r="Y135" s="37">
        <f>X135+Y134</f>
        <v>195.92351428929214</v>
      </c>
      <c r="Z135" s="37">
        <f>Y135+Z134</f>
        <v>224.86133753688955</v>
      </c>
      <c r="AA135" s="37">
        <f>Z135+AA134</f>
        <v>263.4451018670194</v>
      </c>
      <c r="AB135" s="37">
        <f>AA135+AB134</f>
        <v>321.3207483622142</v>
      </c>
      <c r="AC135" s="37">
        <f>AB135+AC134</f>
        <v>437.07204135260383</v>
      </c>
    </row>
    <row r="136" spans="1:29" x14ac:dyDescent="0.25">
      <c r="A136" s="60" t="s">
        <v>201</v>
      </c>
      <c r="B136" s="61" t="s">
        <v>86</v>
      </c>
      <c r="C136" s="62">
        <f>SUM(E136:AC136)</f>
        <v>14983.630397423802</v>
      </c>
      <c r="D136" s="63"/>
      <c r="E136" s="62">
        <f>E133+E135</f>
        <v>488.2239746261781</v>
      </c>
      <c r="F136" s="62">
        <f>F133+F135</f>
        <v>493.04694516744433</v>
      </c>
      <c r="G136" s="62">
        <f>G133+G135</f>
        <v>498.07961008007</v>
      </c>
      <c r="H136" s="62">
        <f>H133+H135</f>
        <v>503.34103248872407</v>
      </c>
      <c r="I136" s="62">
        <f>I133+I135</f>
        <v>508.8529988215997</v>
      </c>
      <c r="J136" s="62">
        <f>J133+J135</f>
        <v>514.6405634711192</v>
      </c>
      <c r="K136" s="62">
        <f>K133+K135</f>
        <v>520.7327367864029</v>
      </c>
      <c r="L136" s="62">
        <f>L133+L135</f>
        <v>527.1633641747578</v>
      </c>
      <c r="M136" s="62">
        <f>M133+M135</f>
        <v>533.9722637624278</v>
      </c>
      <c r="N136" s="62">
        <f>N133+N135</f>
        <v>541.2067195743272</v>
      </c>
      <c r="O136" s="62">
        <f>O133+O135</f>
        <v>548.9234724403532</v>
      </c>
      <c r="P136" s="62">
        <f>P133+P135</f>
        <v>557.1914219396667</v>
      </c>
      <c r="Q136" s="62">
        <f>Q133+Q135</f>
        <v>566.095367554312</v>
      </c>
      <c r="R136" s="62">
        <f>R133+R135</f>
        <v>575.7413086368446</v>
      </c>
      <c r="S136" s="62">
        <f>S133+S135</f>
        <v>586.2641534541526</v>
      </c>
      <c r="T136" s="62">
        <f>T133+T135</f>
        <v>597.8392827531916</v>
      </c>
      <c r="U136" s="62">
        <f>U133+U135</f>
        <v>610.7005375299016</v>
      </c>
      <c r="V136" s="62">
        <f>V133+V135</f>
        <v>625.1694491537003</v>
      </c>
      <c r="W136" s="62">
        <f>W133+W135</f>
        <v>641.7053481523274</v>
      </c>
      <c r="X136" s="62">
        <f>X133+X135</f>
        <v>660.9972303173923</v>
      </c>
      <c r="Y136" s="62">
        <f>Y133+Y135</f>
        <v>684.1474889154703</v>
      </c>
      <c r="Z136" s="62">
        <f>Z133+Z135</f>
        <v>713.0853121630677</v>
      </c>
      <c r="AA136" s="62">
        <f>AA133+AA135</f>
        <v>751.6690764931975</v>
      </c>
      <c r="AB136" s="62">
        <f>AB133+AB135</f>
        <v>809.5447229883923</v>
      </c>
      <c r="AC136" s="62">
        <f>AC133+AC135</f>
        <v>925.296015978782</v>
      </c>
    </row>
    <row r="138" ht="20" customHeight="1" spans="1:29" x14ac:dyDescent="0.25">
      <c r="A138" s="21" t="s">
        <v>94</v>
      </c>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row>
    <row r="139" spans="1:29" x14ac:dyDescent="0.25">
      <c r="A139" s="33" t="s">
        <v>205</v>
      </c>
      <c r="B139" s="26" t="s">
        <v>86</v>
      </c>
      <c r="E139" s="37">
        <f>$C$86</f>
        <v>9493.243951064573</v>
      </c>
      <c r="F139" s="37">
        <f>E142</f>
        <v>8860.361020993601</v>
      </c>
      <c r="G139" s="37">
        <f>F142</f>
        <v>8227.47809092263</v>
      </c>
      <c r="H139" s="37">
        <f>G142</f>
        <v>7594.595160851659</v>
      </c>
      <c r="I139" s="37">
        <f>H142</f>
        <v>6961.712230780688</v>
      </c>
      <c r="J139" s="37">
        <f>I142</f>
        <v>6328.829300709716</v>
      </c>
      <c r="K139" s="37">
        <f>J142</f>
        <v>5695.946370638745</v>
      </c>
      <c r="L139" s="37">
        <f>K142</f>
        <v>5063.063440567774</v>
      </c>
      <c r="M139" s="37">
        <f>L142</f>
        <v>4430.1805104968025</v>
      </c>
      <c r="N139" s="37">
        <f>M142</f>
        <v>3797.2975804258313</v>
      </c>
      <c r="O139" s="37">
        <f>N142</f>
        <v>3164.41465035486</v>
      </c>
      <c r="P139" s="37">
        <f>O142</f>
        <v>2531.5317202838887</v>
      </c>
      <c r="Q139" s="37">
        <f>P142</f>
        <v>1898.6487902129172</v>
      </c>
      <c r="R139" s="37">
        <f>Q142</f>
        <v>1265.7658601419457</v>
      </c>
      <c r="S139" s="37">
        <f>R142</f>
        <v>632.8829300709742</v>
      </c>
      <c r="T139" s="37">
        <f>S142</f>
        <v>2.7284841053187847e-12</v>
      </c>
      <c r="U139" s="37">
        <f>T142</f>
        <v>2.7284841053187847e-12</v>
      </c>
      <c r="V139" s="37">
        <f>U142</f>
        <v>2.7284841053187847e-12</v>
      </c>
      <c r="W139" s="37">
        <f>V142</f>
        <v>2.7284841053187847e-12</v>
      </c>
      <c r="X139" s="37">
        <f>W142</f>
        <v>2.7284841053187847e-12</v>
      </c>
      <c r="Y139" s="37">
        <f>X142</f>
        <v>2.7284841053187847e-12</v>
      </c>
      <c r="Z139" s="37">
        <f>Y142</f>
        <v>2.7284841053187847e-12</v>
      </c>
      <c r="AA139" s="37">
        <f>Z142</f>
        <v>2.7284841053187847e-12</v>
      </c>
      <c r="AB139" s="37">
        <f>AA142</f>
        <v>2.7284841053187847e-12</v>
      </c>
      <c r="AC139" s="37">
        <f>AB142</f>
        <v>2.7284841053187847e-12</v>
      </c>
    </row>
    <row r="140" spans="1:29" x14ac:dyDescent="0.25">
      <c r="A140" s="33" t="s">
        <v>206</v>
      </c>
      <c r="B140" s="26" t="s">
        <v>86</v>
      </c>
      <c r="C140" s="56">
        <f>SUM(E140:AC140)</f>
        <v>6835.135644766491</v>
      </c>
      <c r="E140" s="37">
        <f>E139*$C$64</f>
        <v>854.3919555958115</v>
      </c>
      <c r="F140" s="37">
        <f>F139*$C$64</f>
        <v>797.4324918894241</v>
      </c>
      <c r="G140" s="37">
        <f>G139*$C$64</f>
        <v>740.4730281830367</v>
      </c>
      <c r="H140" s="37">
        <f>H139*$C$64</f>
        <v>683.5135644766493</v>
      </c>
      <c r="I140" s="37">
        <f>I139*$C$64</f>
        <v>626.5541007702618</v>
      </c>
      <c r="J140" s="37">
        <f>J139*$C$64</f>
        <v>569.5946370638744</v>
      </c>
      <c r="K140" s="37">
        <f>K139*$C$64</f>
        <v>512.635173357487</v>
      </c>
      <c r="L140" s="37">
        <f>L139*$C$64</f>
        <v>455.6757096510996</v>
      </c>
      <c r="M140" s="37">
        <f>M139*$C$64</f>
        <v>398.7162459447122</v>
      </c>
      <c r="N140" s="37">
        <f>N139*$C$64</f>
        <v>341.7567822383248</v>
      </c>
      <c r="O140" s="37">
        <f>O139*$C$64</f>
        <v>284.7973185319374</v>
      </c>
      <c r="P140" s="37">
        <f>P139*$C$64</f>
        <v>227.83785482554998</v>
      </c>
      <c r="Q140" s="37">
        <f>Q139*$C$64</f>
        <v>170.87839111916253</v>
      </c>
      <c r="R140" s="37">
        <f>R139*$C$64</f>
        <v>113.9189274127751</v>
      </c>
      <c r="S140" s="37">
        <f>S139*$C$64</f>
        <v>56.95946370638768</v>
      </c>
      <c r="T140" s="37">
        <f>T139*$C$64</f>
        <v>2.4556356947869064e-13</v>
      </c>
      <c r="U140" s="37">
        <f>U139*$C$64</f>
        <v>2.4556356947869064e-13</v>
      </c>
      <c r="V140" s="37">
        <f>V139*$C$64</f>
        <v>2.4556356947869064e-13</v>
      </c>
      <c r="W140" s="37">
        <f>W139*$C$64</f>
        <v>2.4556356947869064e-13</v>
      </c>
      <c r="X140" s="37">
        <f>X139*$C$64</f>
        <v>2.4556356947869064e-13</v>
      </c>
      <c r="Y140" s="37">
        <f>Y139*$C$64</f>
        <v>2.4556356947869064e-13</v>
      </c>
      <c r="Z140" s="37">
        <f>Z139*$C$64</f>
        <v>2.4556356947869064e-13</v>
      </c>
      <c r="AA140" s="37">
        <f>AA139*$C$64</f>
        <v>2.4556356947869064e-13</v>
      </c>
      <c r="AB140" s="37">
        <f>AB139*$C$64</f>
        <v>2.4556356947869064e-13</v>
      </c>
      <c r="AC140" s="37">
        <f>AC139*$C$64</f>
        <v>2.4556356947869064e-13</v>
      </c>
    </row>
    <row r="141" spans="1:29" x14ac:dyDescent="0.25">
      <c r="A141" s="33" t="s">
        <v>207</v>
      </c>
      <c r="B141" s="26" t="s">
        <v>86</v>
      </c>
      <c r="C141" s="56">
        <f>SUM(E141:AC141)</f>
        <v>9493.24395106457</v>
      </c>
      <c r="E141" s="37">
        <f>IF(AND(E$5&lt;=$C$89,E139&gt;1E-9),IF($C$66="annuity",MIN(E139,$C$90-E140),MIN(E139,$C$91)),0)</f>
        <v>632.8829300709715</v>
      </c>
      <c r="F141" s="37">
        <f>IF(AND(F$5&lt;=$C$89,F139&gt;1E-9),IF($C$66="annuity",MIN(F139,$C$90-F140),MIN(F139,$C$91)),0)</f>
        <v>632.8829300709715</v>
      </c>
      <c r="G141" s="37">
        <f>IF(AND(G$5&lt;=$C$89,G139&gt;1E-9),IF($C$66="annuity",MIN(G139,$C$90-G140),MIN(G139,$C$91)),0)</f>
        <v>632.8829300709715</v>
      </c>
      <c r="H141" s="37">
        <f>IF(AND(H$5&lt;=$C$89,H139&gt;1E-9),IF($C$66="annuity",MIN(H139,$C$90-H140),MIN(H139,$C$91)),0)</f>
        <v>632.8829300709715</v>
      </c>
      <c r="I141" s="37">
        <f>IF(AND(I$5&lt;=$C$89,I139&gt;1E-9),IF($C$66="annuity",MIN(I139,$C$90-I140),MIN(I139,$C$91)),0)</f>
        <v>632.8829300709715</v>
      </c>
      <c r="J141" s="37">
        <f>IF(AND(J$5&lt;=$C$89,J139&gt;1E-9),IF($C$66="annuity",MIN(J139,$C$90-J140),MIN(J139,$C$91)),0)</f>
        <v>632.8829300709715</v>
      </c>
      <c r="K141" s="37">
        <f>IF(AND(K$5&lt;=$C$89,K139&gt;1E-9),IF($C$66="annuity",MIN(K139,$C$90-K140),MIN(K139,$C$91)),0)</f>
        <v>632.8829300709715</v>
      </c>
      <c r="L141" s="37">
        <f>IF(AND(L$5&lt;=$C$89,L139&gt;1E-9),IF($C$66="annuity",MIN(L139,$C$90-L140),MIN(L139,$C$91)),0)</f>
        <v>632.8829300709715</v>
      </c>
      <c r="M141" s="37">
        <f>IF(AND(M$5&lt;=$C$89,M139&gt;1E-9),IF($C$66="annuity",MIN(M139,$C$90-M140),MIN(M139,$C$91)),0)</f>
        <v>632.8829300709715</v>
      </c>
      <c r="N141" s="37">
        <f>IF(AND(N$5&lt;=$C$89,N139&gt;1E-9),IF($C$66="annuity",MIN(N139,$C$90-N140),MIN(N139,$C$91)),0)</f>
        <v>632.8829300709715</v>
      </c>
      <c r="O141" s="37">
        <f>IF(AND(O$5&lt;=$C$89,O139&gt;1E-9),IF($C$66="annuity",MIN(O139,$C$90-O140),MIN(O139,$C$91)),0)</f>
        <v>632.8829300709715</v>
      </c>
      <c r="P141" s="37">
        <f>IF(AND(P$5&lt;=$C$89,P139&gt;1E-9),IF($C$66="annuity",MIN(P139,$C$90-P140),MIN(P139,$C$91)),0)</f>
        <v>632.8829300709715</v>
      </c>
      <c r="Q141" s="37">
        <f>IF(AND(Q$5&lt;=$C$89,Q139&gt;1E-9),IF($C$66="annuity",MIN(Q139,$C$90-Q140),MIN(Q139,$C$91)),0)</f>
        <v>632.8829300709715</v>
      </c>
      <c r="R141" s="37">
        <f>IF(AND(R$5&lt;=$C$89,R139&gt;1E-9),IF($C$66="annuity",MIN(R139,$C$90-R140),MIN(R139,$C$91)),0)</f>
        <v>632.8829300709715</v>
      </c>
      <c r="S141" s="37">
        <f>IF(AND(S$5&lt;=$C$89,S139&gt;1E-9),IF($C$66="annuity",MIN(S139,$C$90-S140),MIN(S139,$C$91)),0)</f>
        <v>632.8829300709715</v>
      </c>
      <c r="T141" s="37">
        <f>IF(AND(T$5&lt;=$C$89,T139&gt;1E-9),IF($C$66="annuity",MIN(T139,$C$90-T140),MIN(T139,$C$91)),0)</f>
        <v>0</v>
      </c>
      <c r="U141" s="37">
        <f>IF(AND(U$5&lt;=$C$89,U139&gt;1E-9),IF($C$66="annuity",MIN(U139,$C$90-U140),MIN(U139,$C$91)),0)</f>
        <v>0</v>
      </c>
      <c r="V141" s="37">
        <f>IF(AND(V$5&lt;=$C$89,V139&gt;1E-9),IF($C$66="annuity",MIN(V139,$C$90-V140),MIN(V139,$C$91)),0)</f>
        <v>0</v>
      </c>
      <c r="W141" s="37">
        <f>IF(AND(W$5&lt;=$C$89,W139&gt;1E-9),IF($C$66="annuity",MIN(W139,$C$90-W140),MIN(W139,$C$91)),0)</f>
        <v>0</v>
      </c>
      <c r="X141" s="37">
        <f>IF(AND(X$5&lt;=$C$89,X139&gt;1E-9),IF($C$66="annuity",MIN(X139,$C$90-X140),MIN(X139,$C$91)),0)</f>
        <v>0</v>
      </c>
      <c r="Y141" s="37">
        <f>IF(AND(Y$5&lt;=$C$89,Y139&gt;1E-9),IF($C$66="annuity",MIN(Y139,$C$90-Y140),MIN(Y139,$C$91)),0)</f>
        <v>0</v>
      </c>
      <c r="Z141" s="37">
        <f>IF(AND(Z$5&lt;=$C$89,Z139&gt;1E-9),IF($C$66="annuity",MIN(Z139,$C$90-Z140),MIN(Z139,$C$91)),0)</f>
        <v>0</v>
      </c>
      <c r="AA141" s="37">
        <f>IF(AND(AA$5&lt;=$C$89,AA139&gt;1E-9),IF($C$66="annuity",MIN(AA139,$C$90-AA140),MIN(AA139,$C$91)),0)</f>
        <v>0</v>
      </c>
      <c r="AB141" s="37">
        <f>IF(AND(AB$5&lt;=$C$89,AB139&gt;1E-9),IF($C$66="annuity",MIN(AB139,$C$90-AB140),MIN(AB139,$C$91)),0)</f>
        <v>0</v>
      </c>
      <c r="AC141" s="37">
        <f>IF(AND(AC$5&lt;=$C$89,AC139&gt;1E-9),IF($C$66="annuity",MIN(AC139,$C$90-AC140),MIN(AC139,$C$91)),0)</f>
        <v>0</v>
      </c>
    </row>
    <row r="142" spans="1:29" x14ac:dyDescent="0.25">
      <c r="A142" s="33" t="s">
        <v>208</v>
      </c>
      <c r="B142" s="26" t="s">
        <v>86</v>
      </c>
      <c r="E142" s="37">
        <f>E139-E141</f>
        <v>8860.361020993601</v>
      </c>
      <c r="F142" s="37">
        <f>F139-F141</f>
        <v>8227.47809092263</v>
      </c>
      <c r="G142" s="37">
        <f>G139-G141</f>
        <v>7594.595160851659</v>
      </c>
      <c r="H142" s="37">
        <f>H139-H141</f>
        <v>6961.712230780688</v>
      </c>
      <c r="I142" s="37">
        <f>I139-I141</f>
        <v>6328.829300709716</v>
      </c>
      <c r="J142" s="37">
        <f>J139-J141</f>
        <v>5695.946370638745</v>
      </c>
      <c r="K142" s="37">
        <f>K139-K141</f>
        <v>5063.063440567774</v>
      </c>
      <c r="L142" s="37">
        <f>L139-L141</f>
        <v>4430.1805104968025</v>
      </c>
      <c r="M142" s="37">
        <f>M139-M141</f>
        <v>3797.2975804258313</v>
      </c>
      <c r="N142" s="37">
        <f>N139-N141</f>
        <v>3164.41465035486</v>
      </c>
      <c r="O142" s="37">
        <f>O139-O141</f>
        <v>2531.5317202838887</v>
      </c>
      <c r="P142" s="37">
        <f>P139-P141</f>
        <v>1898.6487902129172</v>
      </c>
      <c r="Q142" s="37">
        <f>Q139-Q141</f>
        <v>1265.7658601419457</v>
      </c>
      <c r="R142" s="37">
        <f>R139-R141</f>
        <v>632.8829300709742</v>
      </c>
      <c r="S142" s="37">
        <f>S139-S141</f>
        <v>2.7284841053187847e-12</v>
      </c>
      <c r="T142" s="37">
        <f>T139-T141</f>
        <v>2.7284841053187847e-12</v>
      </c>
      <c r="U142" s="37">
        <f>U139-U141</f>
        <v>2.7284841053187847e-12</v>
      </c>
      <c r="V142" s="37">
        <f>V139-V141</f>
        <v>2.7284841053187847e-12</v>
      </c>
      <c r="W142" s="37">
        <f>W139-W141</f>
        <v>2.7284841053187847e-12</v>
      </c>
      <c r="X142" s="37">
        <f>X139-X141</f>
        <v>2.7284841053187847e-12</v>
      </c>
      <c r="Y142" s="37">
        <f>Y139-Y141</f>
        <v>2.7284841053187847e-12</v>
      </c>
      <c r="Z142" s="37">
        <f>Z139-Z141</f>
        <v>2.7284841053187847e-12</v>
      </c>
      <c r="AA142" s="37">
        <f>AA139-AA141</f>
        <v>2.7284841053187847e-12</v>
      </c>
      <c r="AB142" s="37">
        <f>AB139-AB141</f>
        <v>2.7284841053187847e-12</v>
      </c>
      <c r="AC142" s="37">
        <f>AC139-AC141</f>
        <v>2.7284841053187847e-12</v>
      </c>
    </row>
    <row r="143" spans="1:29" x14ac:dyDescent="0.25">
      <c r="A143" s="60" t="s">
        <v>209</v>
      </c>
      <c r="B143" s="61" t="s">
        <v>86</v>
      </c>
      <c r="C143" s="62">
        <f>SUM(E143:AC143)</f>
        <v>16328.379595831062</v>
      </c>
      <c r="D143" s="63"/>
      <c r="E143" s="62">
        <f>E140+E141</f>
        <v>1487.2748856667831</v>
      </c>
      <c r="F143" s="62">
        <f>F140+F141</f>
        <v>1430.3154219603957</v>
      </c>
      <c r="G143" s="62">
        <f>G140+G141</f>
        <v>1373.3559582540083</v>
      </c>
      <c r="H143" s="62">
        <f>H140+H141</f>
        <v>1316.396494547621</v>
      </c>
      <c r="I143" s="62">
        <f>I140+I141</f>
        <v>1259.4370308412333</v>
      </c>
      <c r="J143" s="62">
        <f>J140+J141</f>
        <v>1202.477567134846</v>
      </c>
      <c r="K143" s="62">
        <f>K140+K141</f>
        <v>1145.5181034284585</v>
      </c>
      <c r="L143" s="62">
        <f>L140+L141</f>
        <v>1088.5586397220711</v>
      </c>
      <c r="M143" s="62">
        <f>M140+M141</f>
        <v>1031.5991760156837</v>
      </c>
      <c r="N143" s="62">
        <f>N140+N141</f>
        <v>974.6397123092963</v>
      </c>
      <c r="O143" s="62">
        <f>O140+O141</f>
        <v>917.6802486029089</v>
      </c>
      <c r="P143" s="62">
        <f>P140+P141</f>
        <v>860.7207848965215</v>
      </c>
      <c r="Q143" s="62">
        <f>Q140+Q141</f>
        <v>803.761321190134</v>
      </c>
      <c r="R143" s="62">
        <f>R140+R141</f>
        <v>746.8018574837466</v>
      </c>
      <c r="S143" s="62">
        <f>S140+S141</f>
        <v>689.8423937773591</v>
      </c>
      <c r="T143" s="62">
        <f>T140+T141</f>
        <v>2.4556356947869064e-13</v>
      </c>
      <c r="U143" s="62">
        <f>U140+U141</f>
        <v>2.4556356947869064e-13</v>
      </c>
      <c r="V143" s="62">
        <f>V140+V141</f>
        <v>2.4556356947869064e-13</v>
      </c>
      <c r="W143" s="62">
        <f>W140+W141</f>
        <v>2.4556356947869064e-13</v>
      </c>
      <c r="X143" s="62">
        <f>X140+X141</f>
        <v>2.4556356947869064e-13</v>
      </c>
      <c r="Y143" s="62">
        <f>Y140+Y141</f>
        <v>2.4556356947869064e-13</v>
      </c>
      <c r="Z143" s="62">
        <f>Z140+Z141</f>
        <v>2.4556356947869064e-13</v>
      </c>
      <c r="AA143" s="62">
        <f>AA140+AA141</f>
        <v>2.4556356947869064e-13</v>
      </c>
      <c r="AB143" s="62">
        <f>AB140+AB141</f>
        <v>2.4556356947869064e-13</v>
      </c>
      <c r="AC143" s="62">
        <f>AC140+AC141</f>
        <v>2.4556356947869064e-13</v>
      </c>
    </row>
    <row r="145" ht="20" customHeight="1" spans="1:29" x14ac:dyDescent="0.25">
      <c r="A145" s="21" t="s">
        <v>163</v>
      </c>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row>
    <row r="146" spans="1:29" x14ac:dyDescent="0.25">
      <c r="A146" s="33" t="s">
        <v>210</v>
      </c>
      <c r="B146" s="26" t="s">
        <v>86</v>
      </c>
      <c r="E146" s="37">
        <f>$C$85</f>
        <v>13561.777072949391</v>
      </c>
      <c r="F146" s="37">
        <f>E149</f>
        <v>8137.066243769635</v>
      </c>
      <c r="G146" s="37">
        <f>F149</f>
        <v>4951.690522056014</v>
      </c>
      <c r="H146" s="37">
        <f>G149</f>
        <v>3040.4650890278417</v>
      </c>
      <c r="I146" s="37">
        <f>H149</f>
        <v>1893.7298292109388</v>
      </c>
      <c r="J146" s="37">
        <f>I149</f>
        <v>1205.688673320797</v>
      </c>
      <c r="K146" s="37">
        <f>J149</f>
        <v>792.863979786712</v>
      </c>
      <c r="L146" s="37">
        <f>K149</f>
        <v>545.1691636662609</v>
      </c>
      <c r="M146" s="37">
        <f>L149</f>
        <v>396.55227399399035</v>
      </c>
      <c r="N146" s="37">
        <f>M149</f>
        <v>307.382140190628</v>
      </c>
      <c r="O146" s="37">
        <f>N149</f>
        <v>253.88005990861055</v>
      </c>
      <c r="P146" s="37">
        <f>O149</f>
        <v>221.77881173940008</v>
      </c>
      <c r="Q146" s="37">
        <f>P149</f>
        <v>202.5180628378738</v>
      </c>
      <c r="R146" s="37">
        <f>Q149</f>
        <v>190.96161349695805</v>
      </c>
      <c r="S146" s="37">
        <f>R149</f>
        <v>184.02774389240858</v>
      </c>
      <c r="T146" s="37">
        <f>S149</f>
        <v>179.8674221296789</v>
      </c>
      <c r="U146" s="37">
        <f>T149</f>
        <v>177.3712290720411</v>
      </c>
      <c r="V146" s="37">
        <f>U149</f>
        <v>175.87351323745838</v>
      </c>
      <c r="W146" s="37">
        <f>V149</f>
        <v>174.97488373670882</v>
      </c>
      <c r="X146" s="37">
        <f>W149</f>
        <v>174.43570603625903</v>
      </c>
      <c r="Y146" s="37">
        <f>X149</f>
        <v>174.1121994159892</v>
      </c>
      <c r="Z146" s="37">
        <f>Y149</f>
        <v>173.91809544382727</v>
      </c>
      <c r="AA146" s="37">
        <f>Z149</f>
        <v>173.80163306053015</v>
      </c>
      <c r="AB146" s="37">
        <f>AA149</f>
        <v>173.73175563055185</v>
      </c>
      <c r="AC146" s="37">
        <f>AB149</f>
        <v>173.68982917256483</v>
      </c>
    </row>
    <row r="147" spans="1:29" x14ac:dyDescent="0.25">
      <c r="A147" s="33" t="s">
        <v>211</v>
      </c>
      <c r="B147" s="26" t="s">
        <v>86</v>
      </c>
      <c r="C147" s="56">
        <f>SUM(E147:AC147)</f>
        <v>2778.0310317693506</v>
      </c>
      <c r="E147" s="37">
        <f>E130</f>
        <v>0</v>
      </c>
      <c r="F147" s="37">
        <f>F130</f>
        <v>115.7512929903896</v>
      </c>
      <c r="G147" s="37">
        <f>G130</f>
        <v>115.7512929903896</v>
      </c>
      <c r="H147" s="37">
        <f>H130</f>
        <v>115.7512929903896</v>
      </c>
      <c r="I147" s="37">
        <f>I130</f>
        <v>115.7512929903896</v>
      </c>
      <c r="J147" s="37">
        <f>J130</f>
        <v>115.7512929903896</v>
      </c>
      <c r="K147" s="37">
        <f>K130</f>
        <v>115.7512929903896</v>
      </c>
      <c r="L147" s="37">
        <f>L130</f>
        <v>115.7512929903896</v>
      </c>
      <c r="M147" s="37">
        <f>M130</f>
        <v>115.7512929903896</v>
      </c>
      <c r="N147" s="37">
        <f>N130</f>
        <v>115.7512929903896</v>
      </c>
      <c r="O147" s="37">
        <f>O130</f>
        <v>115.7512929903896</v>
      </c>
      <c r="P147" s="37">
        <f>P130</f>
        <v>115.7512929903896</v>
      </c>
      <c r="Q147" s="37">
        <f>Q130</f>
        <v>115.7512929903896</v>
      </c>
      <c r="R147" s="37">
        <f>R130</f>
        <v>115.7512929903896</v>
      </c>
      <c r="S147" s="37">
        <f>S130</f>
        <v>115.7512929903896</v>
      </c>
      <c r="T147" s="37">
        <f>T130</f>
        <v>115.7512929903896</v>
      </c>
      <c r="U147" s="37">
        <f>U130</f>
        <v>115.7512929903896</v>
      </c>
      <c r="V147" s="37">
        <f>V130</f>
        <v>115.7512929903896</v>
      </c>
      <c r="W147" s="37">
        <f>W130</f>
        <v>115.7512929903896</v>
      </c>
      <c r="X147" s="37">
        <f>X130</f>
        <v>115.7512929903896</v>
      </c>
      <c r="Y147" s="37">
        <f>Y130</f>
        <v>115.7512929903896</v>
      </c>
      <c r="Z147" s="37">
        <f>Z130</f>
        <v>115.7512929903896</v>
      </c>
      <c r="AA147" s="37">
        <f>AA130</f>
        <v>115.7512929903896</v>
      </c>
      <c r="AB147" s="37">
        <f>AB130</f>
        <v>115.7512929903896</v>
      </c>
      <c r="AC147" s="37">
        <f>AC130</f>
        <v>115.7512929903896</v>
      </c>
    </row>
    <row r="148" spans="1:29" x14ac:dyDescent="0.25">
      <c r="A148" s="60" t="s">
        <v>163</v>
      </c>
      <c r="B148" s="61" t="s">
        <v>86</v>
      </c>
      <c r="C148" s="62">
        <f>SUM(E148:AC148)</f>
        <v>16166.143431420967</v>
      </c>
      <c r="D148" s="63"/>
      <c r="E148" s="62">
        <f>IF($C$71="wdv",(E146+E147)*$C$72,E136)</f>
        <v>5424.710829179757</v>
      </c>
      <c r="F148" s="62">
        <f>IF($C$71="wdv",(F146+F147)*$C$72,F136)</f>
        <v>3301.1270147040095</v>
      </c>
      <c r="G148" s="62">
        <f>IF($C$71="wdv",(G146+G147)*$C$72,G136)</f>
        <v>2026.9767260185615</v>
      </c>
      <c r="H148" s="62">
        <f>IF($C$71="wdv",(H146+H147)*$C$72,H136)</f>
        <v>1262.4865528072926</v>
      </c>
      <c r="I148" s="62">
        <f>IF($C$71="wdv",(I146+I147)*$C$72,I136)</f>
        <v>803.7924488805314</v>
      </c>
      <c r="J148" s="62">
        <f>IF($C$71="wdv",(J146+J147)*$C$72,J136)</f>
        <v>528.5759865244747</v>
      </c>
      <c r="K148" s="62">
        <f>IF($C$71="wdv",(K146+K147)*$C$72,K136)</f>
        <v>363.44610911084067</v>
      </c>
      <c r="L148" s="62">
        <f>IF($C$71="wdv",(L146+L147)*$C$72,L136)</f>
        <v>264.3681826626602</v>
      </c>
      <c r="M148" s="62">
        <f>IF($C$71="wdv",(M146+M147)*$C$72,M136)</f>
        <v>204.92142679375198</v>
      </c>
      <c r="N148" s="62">
        <f>IF($C$71="wdv",(N146+N147)*$C$72,N136)</f>
        <v>169.25337327240706</v>
      </c>
      <c r="O148" s="62">
        <f>IF($C$71="wdv",(O146+O147)*$C$72,O136)</f>
        <v>147.85254115960007</v>
      </c>
      <c r="P148" s="62">
        <f>IF($C$71="wdv",(P146+P147)*$C$72,P136)</f>
        <v>135.01204189191589</v>
      </c>
      <c r="Q148" s="62">
        <f>IF($C$71="wdv",(Q146+Q147)*$C$72,Q136)</f>
        <v>127.30774233130538</v>
      </c>
      <c r="R148" s="62">
        <f>IF($C$71="wdv",(R146+R147)*$C$72,R136)</f>
        <v>122.68516259493907</v>
      </c>
      <c r="S148" s="62">
        <f>IF($C$71="wdv",(S146+S147)*$C$72,S136)</f>
        <v>119.9116147531193</v>
      </c>
      <c r="T148" s="62">
        <f>IF($C$71="wdv",(T146+T147)*$C$72,T136)</f>
        <v>118.2474860480274</v>
      </c>
      <c r="U148" s="62">
        <f>IF($C$71="wdv",(U146+U147)*$C$72,U136)</f>
        <v>117.24900882497228</v>
      </c>
      <c r="V148" s="62">
        <f>IF($C$71="wdv",(V146+V147)*$C$72,V136)</f>
        <v>116.64992249113921</v>
      </c>
      <c r="W148" s="62">
        <f>IF($C$71="wdv",(W146+W147)*$C$72,W136)</f>
        <v>116.29047069083936</v>
      </c>
      <c r="X148" s="62">
        <f>IF($C$71="wdv",(X146+X147)*$C$72,X136)</f>
        <v>116.07479961065947</v>
      </c>
      <c r="Y148" s="62">
        <f>IF($C$71="wdv",(Y146+Y147)*$C$72,Y136)</f>
        <v>115.94539696255151</v>
      </c>
      <c r="Z148" s="62">
        <f>IF($C$71="wdv",(Z146+Z147)*$C$72,Z136)</f>
        <v>115.86775537368676</v>
      </c>
      <c r="AA148" s="62">
        <f>IF($C$71="wdv",(AA146+AA147)*$C$72,AA136)</f>
        <v>115.82117042036789</v>
      </c>
      <c r="AB148" s="62">
        <f>IF($C$71="wdv",(AB146+AB147)*$C$72,AB136)</f>
        <v>115.79321944837658</v>
      </c>
      <c r="AC148" s="62">
        <f>IF($C$71="wdv",(AC146+AC147)*$C$72,AC136)</f>
        <v>115.77644886518179</v>
      </c>
    </row>
    <row r="149" spans="1:29" x14ac:dyDescent="0.25">
      <c r="A149" s="33" t="s">
        <v>212</v>
      </c>
      <c r="B149" s="26" t="s">
        <v>86</v>
      </c>
      <c r="E149" s="37">
        <f>E146+E147-IF($C$71="wdv",E148,0)</f>
        <v>8137.066243769635</v>
      </c>
      <c r="F149" s="37">
        <f>F146+F147-IF($C$71="wdv",F148,0)</f>
        <v>4951.690522056014</v>
      </c>
      <c r="G149" s="37">
        <f>G146+G147-IF($C$71="wdv",G148,0)</f>
        <v>3040.4650890278417</v>
      </c>
      <c r="H149" s="37">
        <f>H146+H147-IF($C$71="wdv",H148,0)</f>
        <v>1893.7298292109388</v>
      </c>
      <c r="I149" s="37">
        <f>I146+I147-IF($C$71="wdv",I148,0)</f>
        <v>1205.688673320797</v>
      </c>
      <c r="J149" s="37">
        <f>J146+J147-IF($C$71="wdv",J148,0)</f>
        <v>792.863979786712</v>
      </c>
      <c r="K149" s="37">
        <f>K146+K147-IF($C$71="wdv",K148,0)</f>
        <v>545.1691636662609</v>
      </c>
      <c r="L149" s="37">
        <f>L146+L147-IF($C$71="wdv",L148,0)</f>
        <v>396.55227399399035</v>
      </c>
      <c r="M149" s="37">
        <f>M146+M147-IF($C$71="wdv",M148,0)</f>
        <v>307.382140190628</v>
      </c>
      <c r="N149" s="37">
        <f>N146+N147-IF($C$71="wdv",N148,0)</f>
        <v>253.88005990861055</v>
      </c>
      <c r="O149" s="37">
        <f>O146+O147-IF($C$71="wdv",O148,0)</f>
        <v>221.77881173940008</v>
      </c>
      <c r="P149" s="37">
        <f>P146+P147-IF($C$71="wdv",P148,0)</f>
        <v>202.5180628378738</v>
      </c>
      <c r="Q149" s="37">
        <f>Q146+Q147-IF($C$71="wdv",Q148,0)</f>
        <v>190.96161349695805</v>
      </c>
      <c r="R149" s="37">
        <f>R146+R147-IF($C$71="wdv",R148,0)</f>
        <v>184.02774389240858</v>
      </c>
      <c r="S149" s="37">
        <f>S146+S147-IF($C$71="wdv",S148,0)</f>
        <v>179.8674221296789</v>
      </c>
      <c r="T149" s="37">
        <f>T146+T147-IF($C$71="wdv",T148,0)</f>
        <v>177.3712290720411</v>
      </c>
      <c r="U149" s="37">
        <f>U146+U147-IF($C$71="wdv",U148,0)</f>
        <v>175.87351323745838</v>
      </c>
      <c r="V149" s="37">
        <f>V146+V147-IF($C$71="wdv",V148,0)</f>
        <v>174.97488373670882</v>
      </c>
      <c r="W149" s="37">
        <f>W146+W147-IF($C$71="wdv",W148,0)</f>
        <v>174.43570603625903</v>
      </c>
      <c r="X149" s="37">
        <f>X146+X147-IF($C$71="wdv",X148,0)</f>
        <v>174.1121994159892</v>
      </c>
      <c r="Y149" s="37">
        <f>Y146+Y147-IF($C$71="wdv",Y148,0)</f>
        <v>173.91809544382727</v>
      </c>
      <c r="Z149" s="37">
        <f>Z146+Z147-IF($C$71="wdv",Z148,0)</f>
        <v>173.80163306053015</v>
      </c>
      <c r="AA149" s="37">
        <f>AA146+AA147-IF($C$71="wdv",AA148,0)</f>
        <v>173.73175563055185</v>
      </c>
      <c r="AB149" s="37">
        <f>AB146+AB147-IF($C$71="wdv",AB148,0)</f>
        <v>173.68982917256483</v>
      </c>
      <c r="AC149" s="37">
        <f>AC146+AC147-IF($C$71="wdv",AC148,0)</f>
        <v>173.66467329777265</v>
      </c>
    </row>
    <row r="151" ht="20" customHeight="1" spans="1:29" x14ac:dyDescent="0.25">
      <c r="A151" s="21" t="s">
        <v>213</v>
      </c>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spans="1:29" x14ac:dyDescent="0.25">
      <c r="A152" s="33" t="s">
        <v>198</v>
      </c>
      <c r="B152" s="26" t="s">
        <v>86</v>
      </c>
      <c r="C152" s="56">
        <f>SUM(E152:AC152)</f>
        <v>37567.36598157133</v>
      </c>
      <c r="E152" s="37">
        <f>E126</f>
        <v>2212.0856277861135</v>
      </c>
      <c r="F152" s="37">
        <f>F126</f>
        <v>2169.968352056245</v>
      </c>
      <c r="G152" s="37">
        <f>G126</f>
        <v>2126.180040822066</v>
      </c>
      <c r="H152" s="37">
        <f>H126</f>
        <v>2080.6404796549014</v>
      </c>
      <c r="I152" s="37">
        <f>I126</f>
        <v>2033.2656102719693</v>
      </c>
      <c r="J152" s="37">
        <f>J126</f>
        <v>1983.9673466870404</v>
      </c>
      <c r="K152" s="37">
        <f>K126</f>
        <v>1932.6533825858023</v>
      </c>
      <c r="L152" s="37">
        <f>L126</f>
        <v>1879.2269895080176</v>
      </c>
      <c r="M152" s="37">
        <f>M126</f>
        <v>1823.5868053987138</v>
      </c>
      <c r="N152" s="37">
        <f>N126</f>
        <v>1765.6266130698655</v>
      </c>
      <c r="O152" s="37">
        <f>O126</f>
        <v>1705.2351080922201</v>
      </c>
      <c r="P152" s="37">
        <f>P126</f>
        <v>1642.295655614152</v>
      </c>
      <c r="Q152" s="37">
        <f>Q126</f>
        <v>1576.686035580492</v>
      </c>
      <c r="R152" s="37">
        <f>R126</f>
        <v>1508.278175799307</v>
      </c>
      <c r="S152" s="37">
        <f>S126</f>
        <v>1436.937872278359</v>
      </c>
      <c r="T152" s="37">
        <f>T126</f>
        <v>1362.5244962255551</v>
      </c>
      <c r="U152" s="37">
        <f>U126</f>
        <v>1284.8906870789422</v>
      </c>
      <c r="V152" s="37">
        <f>V126</f>
        <v>1203.8820309017017</v>
      </c>
      <c r="W152" s="37">
        <f>W126</f>
        <v>1119.3367234460675</v>
      </c>
      <c r="X152" s="37">
        <f>X126</f>
        <v>1031.0852171570739</v>
      </c>
      <c r="Y152" s="37">
        <f>Y126</f>
        <v>938.9498513524552</v>
      </c>
      <c r="Z152" s="37">
        <f>Z126</f>
        <v>842.7444647788006</v>
      </c>
      <c r="AA152" s="37">
        <f>AA126</f>
        <v>742.2739897061492</v>
      </c>
      <c r="AB152" s="37">
        <f>AB126</f>
        <v>637.3340266834634</v>
      </c>
      <c r="AC152" s="37">
        <f>AC126</f>
        <v>527.710399035856</v>
      </c>
    </row>
    <row r="153" spans="1:29" x14ac:dyDescent="0.25">
      <c r="A153" s="33" t="s">
        <v>214</v>
      </c>
      <c r="B153" s="26" t="s">
        <v>86</v>
      </c>
      <c r="C153" s="56">
        <f>SUM(E153:AC153)</f>
        <v>14983.630397423802</v>
      </c>
      <c r="E153" s="37">
        <f>E136</f>
        <v>488.2239746261781</v>
      </c>
      <c r="F153" s="37">
        <f>F136</f>
        <v>493.04694516744433</v>
      </c>
      <c r="G153" s="37">
        <f>G136</f>
        <v>498.07961008007</v>
      </c>
      <c r="H153" s="37">
        <f>H136</f>
        <v>503.34103248872407</v>
      </c>
      <c r="I153" s="37">
        <f>I136</f>
        <v>508.8529988215997</v>
      </c>
      <c r="J153" s="37">
        <f>J136</f>
        <v>514.6405634711192</v>
      </c>
      <c r="K153" s="37">
        <f>K136</f>
        <v>520.7327367864029</v>
      </c>
      <c r="L153" s="37">
        <f>L136</f>
        <v>527.1633641747578</v>
      </c>
      <c r="M153" s="37">
        <f>M136</f>
        <v>533.9722637624278</v>
      </c>
      <c r="N153" s="37">
        <f>N136</f>
        <v>541.2067195743272</v>
      </c>
      <c r="O153" s="37">
        <f>O136</f>
        <v>548.9234724403532</v>
      </c>
      <c r="P153" s="37">
        <f>P136</f>
        <v>557.1914219396667</v>
      </c>
      <c r="Q153" s="37">
        <f>Q136</f>
        <v>566.095367554312</v>
      </c>
      <c r="R153" s="37">
        <f>R136</f>
        <v>575.7413086368446</v>
      </c>
      <c r="S153" s="37">
        <f>S136</f>
        <v>586.2641534541526</v>
      </c>
      <c r="T153" s="37">
        <f>T136</f>
        <v>597.8392827531916</v>
      </c>
      <c r="U153" s="37">
        <f>U136</f>
        <v>610.7005375299016</v>
      </c>
      <c r="V153" s="37">
        <f>V136</f>
        <v>625.1694491537003</v>
      </c>
      <c r="W153" s="37">
        <f>W136</f>
        <v>641.7053481523274</v>
      </c>
      <c r="X153" s="37">
        <f>X136</f>
        <v>660.9972303173923</v>
      </c>
      <c r="Y153" s="37">
        <f>Y136</f>
        <v>684.1474889154703</v>
      </c>
      <c r="Z153" s="37">
        <f>Z136</f>
        <v>713.0853121630677</v>
      </c>
      <c r="AA153" s="37">
        <f>AA136</f>
        <v>751.6690764931975</v>
      </c>
      <c r="AB153" s="37">
        <f>AB136</f>
        <v>809.5447229883923</v>
      </c>
      <c r="AC153" s="37">
        <f>AC136</f>
        <v>925.296015978782</v>
      </c>
    </row>
    <row r="154" spans="1:29" x14ac:dyDescent="0.25">
      <c r="A154" s="33" t="s">
        <v>215</v>
      </c>
      <c r="B154" s="26" t="s">
        <v>86</v>
      </c>
      <c r="C154" s="56">
        <f>SUM(E154:AC154)</f>
        <v>6835.135644766491</v>
      </c>
      <c r="E154" s="37">
        <f>E140</f>
        <v>854.3919555958115</v>
      </c>
      <c r="F154" s="37">
        <f>F140</f>
        <v>797.4324918894241</v>
      </c>
      <c r="G154" s="37">
        <f>G140</f>
        <v>740.4730281830367</v>
      </c>
      <c r="H154" s="37">
        <f>H140</f>
        <v>683.5135644766493</v>
      </c>
      <c r="I154" s="37">
        <f>I140</f>
        <v>626.5541007702618</v>
      </c>
      <c r="J154" s="37">
        <f>J140</f>
        <v>569.5946370638744</v>
      </c>
      <c r="K154" s="37">
        <f>K140</f>
        <v>512.635173357487</v>
      </c>
      <c r="L154" s="37">
        <f>L140</f>
        <v>455.6757096510996</v>
      </c>
      <c r="M154" s="37">
        <f>M140</f>
        <v>398.7162459447122</v>
      </c>
      <c r="N154" s="37">
        <f>N140</f>
        <v>341.7567822383248</v>
      </c>
      <c r="O154" s="37">
        <f>O140</f>
        <v>284.7973185319374</v>
      </c>
      <c r="P154" s="37">
        <f>P140</f>
        <v>227.83785482554998</v>
      </c>
      <c r="Q154" s="37">
        <f>Q140</f>
        <v>170.87839111916253</v>
      </c>
      <c r="R154" s="37">
        <f>R140</f>
        <v>113.9189274127751</v>
      </c>
      <c r="S154" s="37">
        <f>S140</f>
        <v>56.95946370638768</v>
      </c>
      <c r="T154" s="37">
        <f>T140</f>
        <v>2.4556356947869064e-13</v>
      </c>
      <c r="U154" s="37">
        <f>U140</f>
        <v>2.4556356947869064e-13</v>
      </c>
      <c r="V154" s="37">
        <f>V140</f>
        <v>2.4556356947869064e-13</v>
      </c>
      <c r="W154" s="37">
        <f>W140</f>
        <v>2.4556356947869064e-13</v>
      </c>
      <c r="X154" s="37">
        <f>X140</f>
        <v>2.4556356947869064e-13</v>
      </c>
      <c r="Y154" s="37">
        <f>Y140</f>
        <v>2.4556356947869064e-13</v>
      </c>
      <c r="Z154" s="37">
        <f>Z140</f>
        <v>2.4556356947869064e-13</v>
      </c>
      <c r="AA154" s="37">
        <f>AA140</f>
        <v>2.4556356947869064e-13</v>
      </c>
      <c r="AB154" s="37">
        <f>AB140</f>
        <v>2.4556356947869064e-13</v>
      </c>
      <c r="AC154" s="37">
        <f>AC140</f>
        <v>2.4556356947869064e-13</v>
      </c>
    </row>
    <row r="155" spans="1:29" x14ac:dyDescent="0.25">
      <c r="A155" s="60" t="s">
        <v>216</v>
      </c>
      <c r="B155" s="61" t="s">
        <v>86</v>
      </c>
      <c r="C155" s="62">
        <f>SUM(E155:AC155)</f>
        <v>15748.59993938103</v>
      </c>
      <c r="D155" s="63"/>
      <c r="E155" s="62">
        <f>E152-E153-E154</f>
        <v>869.469697564124</v>
      </c>
      <c r="F155" s="62">
        <f>F152-F153-F154</f>
        <v>879.4889149993763</v>
      </c>
      <c r="G155" s="62">
        <f>G152-G153-G154</f>
        <v>887.6274025589595</v>
      </c>
      <c r="H155" s="62">
        <f>H152-H153-H154</f>
        <v>893.785882689528</v>
      </c>
      <c r="I155" s="62">
        <f>I152-I153-I154</f>
        <v>897.8585106801079</v>
      </c>
      <c r="J155" s="62">
        <f>J152-J153-J154</f>
        <v>899.7321461520469</v>
      </c>
      <c r="K155" s="62">
        <f>K152-K153-K154</f>
        <v>899.2854724419124</v>
      </c>
      <c r="L155" s="62">
        <f>L152-L153-L154</f>
        <v>896.3879156821602</v>
      </c>
      <c r="M155" s="62">
        <f>M152-M153-M154</f>
        <v>890.8982956915738</v>
      </c>
      <c r="N155" s="62">
        <f>N152-N153-N154</f>
        <v>882.6631112572136</v>
      </c>
      <c r="O155" s="62">
        <f>O152-O153-O154</f>
        <v>871.5143171199295</v>
      </c>
      <c r="P155" s="62">
        <f>P152-P153-P154</f>
        <v>857.2663788489353</v>
      </c>
      <c r="Q155" s="62">
        <f>Q152-Q153-Q154</f>
        <v>839.7122769070174</v>
      </c>
      <c r="R155" s="62">
        <f>R152-R153-R154</f>
        <v>818.6179397496874</v>
      </c>
      <c r="S155" s="62">
        <f>S152-S153-S154</f>
        <v>793.7142551178188</v>
      </c>
      <c r="T155" s="62">
        <f>T152-T153-T154</f>
        <v>764.6852134723633</v>
      </c>
      <c r="U155" s="62">
        <f>U152-U153-U154</f>
        <v>674.1901495490404</v>
      </c>
      <c r="V155" s="62">
        <f>V152-V153-V154</f>
        <v>578.7125817480012</v>
      </c>
      <c r="W155" s="62">
        <f>W152-W153-W154</f>
        <v>477.6313752937399</v>
      </c>
      <c r="X155" s="62">
        <f>X152-X153-X154</f>
        <v>370.0879868396813</v>
      </c>
      <c r="Y155" s="62">
        <f>Y152-Y153-Y154</f>
        <v>254.80236243698468</v>
      </c>
      <c r="Z155" s="62">
        <f>Z152-Z153-Z154</f>
        <v>129.65915261573272</v>
      </c>
      <c r="AA155" s="62">
        <f>AA152-AA153-AA154</f>
        <v>-9.39508678704853</v>
      </c>
      <c r="AB155" s="62">
        <f>AB152-AB153-AB154</f>
        <v>-172.21069630492914</v>
      </c>
      <c r="AC155" s="62">
        <f>AC152-AC153-AC154</f>
        <v>-397.5856169429262</v>
      </c>
    </row>
    <row r="156" spans="1:29" x14ac:dyDescent="0.25">
      <c r="A156" s="33" t="s">
        <v>217</v>
      </c>
      <c r="B156" s="26" t="s">
        <v>86</v>
      </c>
      <c r="E156" s="37">
        <f>E126-E140-E148</f>
        <v>-4067.0171569894546</v>
      </c>
      <c r="F156" s="37">
        <f>F126-F140-F148</f>
        <v>-1928.5911545371887</v>
      </c>
      <c r="G156" s="37">
        <f>G126-G140-G148</f>
        <v>-641.269713379532</v>
      </c>
      <c r="H156" s="37">
        <f>H126-H140-H148</f>
        <v>134.64036237095956</v>
      </c>
      <c r="I156" s="37">
        <f>I126-I140-I148</f>
        <v>602.9190606211761</v>
      </c>
      <c r="J156" s="37">
        <f>J126-J140-J148</f>
        <v>885.7967230986912</v>
      </c>
      <c r="K156" s="37">
        <f>K126-K140-K148</f>
        <v>1056.5721001174747</v>
      </c>
      <c r="L156" s="37">
        <f>L126-L140-L148</f>
        <v>1159.1830971942577</v>
      </c>
      <c r="M156" s="37">
        <f>M126-M140-M148</f>
        <v>1219.9491326602495</v>
      </c>
      <c r="N156" s="37">
        <f>N126-N140-N148</f>
        <v>1254.6164575591336</v>
      </c>
      <c r="O156" s="37">
        <f>O126-O140-O148</f>
        <v>1272.5852484006825</v>
      </c>
      <c r="P156" s="37">
        <f>P126-P140-P148</f>
        <v>1279.4457588966861</v>
      </c>
      <c r="Q156" s="37">
        <f>Q126-Q140-Q148</f>
        <v>1278.4999021300239</v>
      </c>
      <c r="R156" s="37">
        <f>R126-R140-R148</f>
        <v>1271.674085791593</v>
      </c>
      <c r="S156" s="37">
        <f>S126-S140-S148</f>
        <v>1260.0667938188521</v>
      </c>
      <c r="T156" s="37">
        <f>T126-T140-T148</f>
        <v>1244.2770101775275</v>
      </c>
      <c r="U156" s="37">
        <f>U126-U140-U148</f>
        <v>1167.6416782539698</v>
      </c>
      <c r="V156" s="37">
        <f>V126-V140-V148</f>
        <v>1087.2321084105622</v>
      </c>
      <c r="W156" s="37">
        <f>W126-W140-W148</f>
        <v>1003.0462527552279</v>
      </c>
      <c r="X156" s="37">
        <f>X126-X140-X148</f>
        <v>915.0104175464141</v>
      </c>
      <c r="Y156" s="37">
        <f>Y126-Y140-Y148</f>
        <v>823.0044543899035</v>
      </c>
      <c r="Z156" s="37">
        <f>Z126-Z140-Z148</f>
        <v>726.8767094051136</v>
      </c>
      <c r="AA156" s="37">
        <f>AA126-AA140-AA148</f>
        <v>626.4528192857811</v>
      </c>
      <c r="AB156" s="37">
        <f>AB126-AB140-AB148</f>
        <v>521.5408072350866</v>
      </c>
      <c r="AC156" s="37">
        <f>AC126-AC140-AC148</f>
        <v>411.93395017067394</v>
      </c>
    </row>
    <row r="157" spans="1:29" x14ac:dyDescent="0.25">
      <c r="A157" s="33" t="s">
        <v>218</v>
      </c>
      <c r="B157" s="26" t="s">
        <v>86</v>
      </c>
      <c r="E157" s="37">
        <f>0</f>
        <v>0</v>
      </c>
      <c r="F157" s="37">
        <f>E160</f>
        <v>4067.0171569894546</v>
      </c>
      <c r="G157" s="37">
        <f>F160</f>
        <v>5995.608311526643</v>
      </c>
      <c r="H157" s="37">
        <f>G160</f>
        <v>6636.878024906175</v>
      </c>
      <c r="I157" s="37">
        <f>H160</f>
        <v>6502.237662535215</v>
      </c>
      <c r="J157" s="37">
        <f>I160</f>
        <v>5899.318601914039</v>
      </c>
      <c r="K157" s="37">
        <f>J160</f>
        <v>5013.521878815348</v>
      </c>
      <c r="L157" s="37">
        <f>K160</f>
        <v>3956.949778697873</v>
      </c>
      <c r="M157" s="37">
        <f>L160</f>
        <v>2797.7666815036155</v>
      </c>
      <c r="N157" s="37">
        <f>M160</f>
        <v>1577.817548843366</v>
      </c>
      <c r="O157" s="37">
        <f>N160</f>
        <v>323.20109128423246</v>
      </c>
      <c r="P157" s="37">
        <f>O160</f>
        <v>0</v>
      </c>
      <c r="Q157" s="37">
        <f>P160</f>
        <v>0</v>
      </c>
      <c r="R157" s="37">
        <f>Q160</f>
        <v>0</v>
      </c>
      <c r="S157" s="37">
        <f>R160</f>
        <v>0</v>
      </c>
      <c r="T157" s="37">
        <f>S160</f>
        <v>0</v>
      </c>
      <c r="U157" s="37">
        <f>T160</f>
        <v>0</v>
      </c>
      <c r="V157" s="37">
        <f>U160</f>
        <v>0</v>
      </c>
      <c r="W157" s="37">
        <f>V160</f>
        <v>0</v>
      </c>
      <c r="X157" s="37">
        <f>W160</f>
        <v>0</v>
      </c>
      <c r="Y157" s="37">
        <f>X160</f>
        <v>0</v>
      </c>
      <c r="Z157" s="37">
        <f>Y160</f>
        <v>0</v>
      </c>
      <c r="AA157" s="37">
        <f>Z160</f>
        <v>0</v>
      </c>
      <c r="AB157" s="37">
        <f>AA160</f>
        <v>0</v>
      </c>
      <c r="AC157" s="37">
        <f>AB160</f>
        <v>0</v>
      </c>
    </row>
    <row r="158" spans="1:29" x14ac:dyDescent="0.25">
      <c r="A158" s="33" t="s">
        <v>219</v>
      </c>
      <c r="B158" s="26" t="s">
        <v>86</v>
      </c>
      <c r="C158" s="56">
        <f>SUM(E158:AC158)</f>
        <v>6636.878024906175</v>
      </c>
      <c r="E158" s="37">
        <f>IF(E156&gt;0,MIN(E157,E156),0)</f>
        <v>0</v>
      </c>
      <c r="F158" s="37">
        <f>IF(F156&gt;0,MIN(F157,F156),0)</f>
        <v>0</v>
      </c>
      <c r="G158" s="37">
        <f>IF(G156&gt;0,MIN(G157,G156),0)</f>
        <v>0</v>
      </c>
      <c r="H158" s="37">
        <f>IF(H156&gt;0,MIN(H157,H156),0)</f>
        <v>134.64036237095956</v>
      </c>
      <c r="I158" s="37">
        <f>IF(I156&gt;0,MIN(I157,I156),0)</f>
        <v>602.9190606211761</v>
      </c>
      <c r="J158" s="37">
        <f>IF(J156&gt;0,MIN(J157,J156),0)</f>
        <v>885.7967230986912</v>
      </c>
      <c r="K158" s="37">
        <f>IF(K156&gt;0,MIN(K157,K156),0)</f>
        <v>1056.5721001174747</v>
      </c>
      <c r="L158" s="37">
        <f>IF(L156&gt;0,MIN(L157,L156),0)</f>
        <v>1159.1830971942577</v>
      </c>
      <c r="M158" s="37">
        <f>IF(M156&gt;0,MIN(M157,M156),0)</f>
        <v>1219.9491326602495</v>
      </c>
      <c r="N158" s="37">
        <f>IF(N156&gt;0,MIN(N157,N156),0)</f>
        <v>1254.6164575591336</v>
      </c>
      <c r="O158" s="37">
        <f>IF(O156&gt;0,MIN(O157,O156),0)</f>
        <v>323.20109128423246</v>
      </c>
      <c r="P158" s="37">
        <f>IF(P156&gt;0,MIN(P157,P156),0)</f>
        <v>0</v>
      </c>
      <c r="Q158" s="37">
        <f>IF(Q156&gt;0,MIN(Q157,Q156),0)</f>
        <v>0</v>
      </c>
      <c r="R158" s="37">
        <f>IF(R156&gt;0,MIN(R157,R156),0)</f>
        <v>0</v>
      </c>
      <c r="S158" s="37">
        <f>IF(S156&gt;0,MIN(S157,S156),0)</f>
        <v>0</v>
      </c>
      <c r="T158" s="37">
        <f>IF(T156&gt;0,MIN(T157,T156),0)</f>
        <v>0</v>
      </c>
      <c r="U158" s="37">
        <f>IF(U156&gt;0,MIN(U157,U156),0)</f>
        <v>0</v>
      </c>
      <c r="V158" s="37">
        <f>IF(V156&gt;0,MIN(V157,V156),0)</f>
        <v>0</v>
      </c>
      <c r="W158" s="37">
        <f>IF(W156&gt;0,MIN(W157,W156),0)</f>
        <v>0</v>
      </c>
      <c r="X158" s="37">
        <f>IF(X156&gt;0,MIN(X157,X156),0)</f>
        <v>0</v>
      </c>
      <c r="Y158" s="37">
        <f>IF(Y156&gt;0,MIN(Y157,Y156),0)</f>
        <v>0</v>
      </c>
      <c r="Z158" s="37">
        <f>IF(Z156&gt;0,MIN(Z157,Z156),0)</f>
        <v>0</v>
      </c>
      <c r="AA158" s="37">
        <f>IF(AA156&gt;0,MIN(AA157,AA156),0)</f>
        <v>0</v>
      </c>
      <c r="AB158" s="37">
        <f>IF(AB156&gt;0,MIN(AB157,AB156),0)</f>
        <v>0</v>
      </c>
      <c r="AC158" s="37">
        <f>IF(AC156&gt;0,MIN(AC157,AC156),0)</f>
        <v>0</v>
      </c>
    </row>
    <row r="159" spans="1:29" x14ac:dyDescent="0.25">
      <c r="A159" s="33" t="s">
        <v>220</v>
      </c>
      <c r="B159" s="26" t="s">
        <v>86</v>
      </c>
      <c r="C159" s="56">
        <f>SUM(E159:AC159)</f>
        <v>14566.086905383867</v>
      </c>
      <c r="E159" s="37">
        <f>MAX(0,E156-E158)</f>
        <v>0</v>
      </c>
      <c r="F159" s="37">
        <f>MAX(0,F156-F158)</f>
        <v>0</v>
      </c>
      <c r="G159" s="37">
        <f>MAX(0,G156-G158)</f>
        <v>0</v>
      </c>
      <c r="H159" s="37">
        <f>MAX(0,H156-H158)</f>
        <v>0</v>
      </c>
      <c r="I159" s="37">
        <f>MAX(0,I156-I158)</f>
        <v>0</v>
      </c>
      <c r="J159" s="37">
        <f>MAX(0,J156-J158)</f>
        <v>0</v>
      </c>
      <c r="K159" s="37">
        <f>MAX(0,K156-K158)</f>
        <v>0</v>
      </c>
      <c r="L159" s="37">
        <f>MAX(0,L156-L158)</f>
        <v>0</v>
      </c>
      <c r="M159" s="37">
        <f>MAX(0,M156-M158)</f>
        <v>0</v>
      </c>
      <c r="N159" s="37">
        <f>MAX(0,N156-N158)</f>
        <v>0</v>
      </c>
      <c r="O159" s="37">
        <f>MAX(0,O156-O158)</f>
        <v>949.3841571164501</v>
      </c>
      <c r="P159" s="37">
        <f>MAX(0,P156-P158)</f>
        <v>1279.4457588966861</v>
      </c>
      <c r="Q159" s="37">
        <f>MAX(0,Q156-Q158)</f>
        <v>1278.4999021300239</v>
      </c>
      <c r="R159" s="37">
        <f>MAX(0,R156-R158)</f>
        <v>1271.674085791593</v>
      </c>
      <c r="S159" s="37">
        <f>MAX(0,S156-S158)</f>
        <v>1260.0667938188521</v>
      </c>
      <c r="T159" s="37">
        <f>MAX(0,T156-T158)</f>
        <v>1244.2770101775275</v>
      </c>
      <c r="U159" s="37">
        <f>MAX(0,U156-U158)</f>
        <v>1167.6416782539698</v>
      </c>
      <c r="V159" s="37">
        <f>MAX(0,V156-V158)</f>
        <v>1087.2321084105622</v>
      </c>
      <c r="W159" s="37">
        <f>MAX(0,W156-W158)</f>
        <v>1003.0462527552279</v>
      </c>
      <c r="X159" s="37">
        <f>MAX(0,X156-X158)</f>
        <v>915.0104175464141</v>
      </c>
      <c r="Y159" s="37">
        <f>MAX(0,Y156-Y158)</f>
        <v>823.0044543899035</v>
      </c>
      <c r="Z159" s="37">
        <f>MAX(0,Z156-Z158)</f>
        <v>726.8767094051136</v>
      </c>
      <c r="AA159" s="37">
        <f>MAX(0,AA156-AA158)</f>
        <v>626.4528192857811</v>
      </c>
      <c r="AB159" s="37">
        <f>MAX(0,AB156-AB158)</f>
        <v>521.5408072350866</v>
      </c>
      <c r="AC159" s="37">
        <f>MAX(0,AC156-AC158)</f>
        <v>411.93395017067394</v>
      </c>
    </row>
    <row r="160" spans="1:29" x14ac:dyDescent="0.25">
      <c r="A160" s="33" t="s">
        <v>221</v>
      </c>
      <c r="B160" s="26" t="s">
        <v>86</v>
      </c>
      <c r="E160" s="37">
        <f>E157-E158+MAX(0,-E156)</f>
        <v>4067.0171569894546</v>
      </c>
      <c r="F160" s="37">
        <f>F157-F158+MAX(0,-F156)</f>
        <v>5995.608311526643</v>
      </c>
      <c r="G160" s="37">
        <f>G157-G158+MAX(0,-G156)</f>
        <v>6636.878024906175</v>
      </c>
      <c r="H160" s="37">
        <f>H157-H158+MAX(0,-H156)</f>
        <v>6502.237662535215</v>
      </c>
      <c r="I160" s="37">
        <f>I157-I158+MAX(0,-I156)</f>
        <v>5899.318601914039</v>
      </c>
      <c r="J160" s="37">
        <f>J157-J158+MAX(0,-J156)</f>
        <v>5013.521878815348</v>
      </c>
      <c r="K160" s="37">
        <f>K157-K158+MAX(0,-K156)</f>
        <v>3956.949778697873</v>
      </c>
      <c r="L160" s="37">
        <f>L157-L158+MAX(0,-L156)</f>
        <v>2797.7666815036155</v>
      </c>
      <c r="M160" s="37">
        <f>M157-M158+MAX(0,-M156)</f>
        <v>1577.817548843366</v>
      </c>
      <c r="N160" s="37">
        <f>N157-N158+MAX(0,-N156)</f>
        <v>323.20109128423246</v>
      </c>
      <c r="O160" s="37">
        <f>O157-O158+MAX(0,-O156)</f>
        <v>0</v>
      </c>
      <c r="P160" s="37">
        <f>P157-P158+MAX(0,-P156)</f>
        <v>0</v>
      </c>
      <c r="Q160" s="37">
        <f>Q157-Q158+MAX(0,-Q156)</f>
        <v>0</v>
      </c>
      <c r="R160" s="37">
        <f>R157-R158+MAX(0,-R156)</f>
        <v>0</v>
      </c>
      <c r="S160" s="37">
        <f>S157-S158+MAX(0,-S156)</f>
        <v>0</v>
      </c>
      <c r="T160" s="37">
        <f>T157-T158+MAX(0,-T156)</f>
        <v>0</v>
      </c>
      <c r="U160" s="37">
        <f>U157-U158+MAX(0,-U156)</f>
        <v>0</v>
      </c>
      <c r="V160" s="37">
        <f>V157-V158+MAX(0,-V156)</f>
        <v>0</v>
      </c>
      <c r="W160" s="37">
        <f>W157-W158+MAX(0,-W156)</f>
        <v>0</v>
      </c>
      <c r="X160" s="37">
        <f>X157-X158+MAX(0,-X156)</f>
        <v>0</v>
      </c>
      <c r="Y160" s="37">
        <f>Y157-Y158+MAX(0,-Y156)</f>
        <v>0</v>
      </c>
      <c r="Z160" s="37">
        <f>Z157-Z158+MAX(0,-Z156)</f>
        <v>0</v>
      </c>
      <c r="AA160" s="37">
        <f>AA157-AA158+MAX(0,-AA156)</f>
        <v>0</v>
      </c>
      <c r="AB160" s="37">
        <f>AB157-AB158+MAX(0,-AB156)</f>
        <v>0</v>
      </c>
      <c r="AC160" s="37">
        <f>AC157-AC158+MAX(0,-AC156)</f>
        <v>0</v>
      </c>
    </row>
    <row r="161" spans="1:29" x14ac:dyDescent="0.25">
      <c r="A161" s="33" t="s">
        <v>222</v>
      </c>
      <c r="B161" s="26" t="s">
        <v>86</v>
      </c>
      <c r="C161" s="56">
        <f>SUM(E161:AC161)</f>
        <v>3666.284074085118</v>
      </c>
      <c r="E161" s="37">
        <f>E159*$C$70</f>
        <v>0</v>
      </c>
      <c r="F161" s="37">
        <f>F159*$C$70</f>
        <v>0</v>
      </c>
      <c r="G161" s="37">
        <f>G159*$C$70</f>
        <v>0</v>
      </c>
      <c r="H161" s="37">
        <f>H159*$C$70</f>
        <v>0</v>
      </c>
      <c r="I161" s="37">
        <f>I159*$C$70</f>
        <v>0</v>
      </c>
      <c r="J161" s="37">
        <f>J159*$C$70</f>
        <v>0</v>
      </c>
      <c r="K161" s="37">
        <f>K159*$C$70</f>
        <v>0</v>
      </c>
      <c r="L161" s="37">
        <f>L159*$C$70</f>
        <v>0</v>
      </c>
      <c r="M161" s="37">
        <f>M159*$C$70</f>
        <v>0</v>
      </c>
      <c r="N161" s="37">
        <f>N159*$C$70</f>
        <v>0</v>
      </c>
      <c r="O161" s="37">
        <f>O159*$C$70</f>
        <v>238.95999234621047</v>
      </c>
      <c r="P161" s="37">
        <f>P159*$C$70</f>
        <v>322.0364975142959</v>
      </c>
      <c r="Q161" s="37">
        <f>Q159*$C$70</f>
        <v>321.798425366127</v>
      </c>
      <c r="R161" s="37">
        <f>R159*$C$70</f>
        <v>320.0803673937439</v>
      </c>
      <c r="S161" s="37">
        <f>S159*$C$70</f>
        <v>317.15881200420506</v>
      </c>
      <c r="T161" s="37">
        <f>T159*$C$70</f>
        <v>313.1845234616836</v>
      </c>
      <c r="U161" s="37">
        <f>U159*$C$70</f>
        <v>293.89541041652416</v>
      </c>
      <c r="V161" s="37">
        <f>V159*$C$70</f>
        <v>273.6563216869385</v>
      </c>
      <c r="W161" s="37">
        <f>W159*$C$70</f>
        <v>252.46674181849085</v>
      </c>
      <c r="X161" s="37">
        <f>X159*$C$70</f>
        <v>230.3081220964324</v>
      </c>
      <c r="Y161" s="37">
        <f>Y159*$C$70</f>
        <v>207.15022116993867</v>
      </c>
      <c r="Z161" s="37">
        <f>Z159*$C$70</f>
        <v>182.9548677572671</v>
      </c>
      <c r="AA161" s="37">
        <f>AA159*$C$70</f>
        <v>157.67817461423107</v>
      </c>
      <c r="AB161" s="37">
        <f>AB159*$C$70</f>
        <v>131.2718211810713</v>
      </c>
      <c r="AC161" s="37">
        <f>AC159*$C$70</f>
        <v>103.68377525795862</v>
      </c>
    </row>
    <row r="162" spans="1:29" x14ac:dyDescent="0.25">
      <c r="A162" s="60" t="s">
        <v>223</v>
      </c>
      <c r="B162" s="61" t="s">
        <v>86</v>
      </c>
      <c r="C162" s="62">
        <f>SUM(E162:AC162)</f>
        <v>12082.315865295914</v>
      </c>
      <c r="D162" s="63"/>
      <c r="E162" s="62">
        <f>E155-E161</f>
        <v>869.469697564124</v>
      </c>
      <c r="F162" s="62">
        <f>F155-F161</f>
        <v>879.4889149993763</v>
      </c>
      <c r="G162" s="62">
        <f>G155-G161</f>
        <v>887.6274025589595</v>
      </c>
      <c r="H162" s="62">
        <f>H155-H161</f>
        <v>893.785882689528</v>
      </c>
      <c r="I162" s="62">
        <f>I155-I161</f>
        <v>897.8585106801079</v>
      </c>
      <c r="J162" s="62">
        <f>J155-J161</f>
        <v>899.7321461520469</v>
      </c>
      <c r="K162" s="62">
        <f>K155-K161</f>
        <v>899.2854724419124</v>
      </c>
      <c r="L162" s="62">
        <f>L155-L161</f>
        <v>896.3879156821602</v>
      </c>
      <c r="M162" s="62">
        <f>M155-M161</f>
        <v>890.8982956915738</v>
      </c>
      <c r="N162" s="62">
        <f>N155-N161</f>
        <v>882.6631112572136</v>
      </c>
      <c r="O162" s="62">
        <f>O155-O161</f>
        <v>632.554324773719</v>
      </c>
      <c r="P162" s="62">
        <f>P155-P161</f>
        <v>535.2298813346395</v>
      </c>
      <c r="Q162" s="62">
        <f>Q155-Q161</f>
        <v>517.9138515408904</v>
      </c>
      <c r="R162" s="62">
        <f>R155-R161</f>
        <v>498.53757235594344</v>
      </c>
      <c r="S162" s="62">
        <f>S155-S161</f>
        <v>476.5554431136137</v>
      </c>
      <c r="T162" s="62">
        <f>T155-T161</f>
        <v>451.5006900106797</v>
      </c>
      <c r="U162" s="62">
        <f>U155-U161</f>
        <v>380.2947391325162</v>
      </c>
      <c r="V162" s="62">
        <f>V155-V161</f>
        <v>305.0562600610627</v>
      </c>
      <c r="W162" s="62">
        <f>W155-W161</f>
        <v>225.16463347524905</v>
      </c>
      <c r="X162" s="62">
        <f>X155-X161</f>
        <v>139.7798647432489</v>
      </c>
      <c r="Y162" s="62">
        <f>Y155-Y161</f>
        <v>47.652141267046005</v>
      </c>
      <c r="Z162" s="62">
        <f>Z155-Z161</f>
        <v>-53.29571514153437</v>
      </c>
      <c r="AA162" s="62">
        <f>AA155-AA161</f>
        <v>-167.0732614012796</v>
      </c>
      <c r="AB162" s="62">
        <f>AB155-AB161</f>
        <v>-303.48251748600046</v>
      </c>
      <c r="AC162" s="62">
        <f>AC155-AC161</f>
        <v>-501.2693922008848</v>
      </c>
    </row>
    <row r="164" ht="20" customHeight="1" spans="1:29" x14ac:dyDescent="0.25">
      <c r="A164" s="21" t="s">
        <v>224</v>
      </c>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spans="1:29" x14ac:dyDescent="0.25">
      <c r="A165" s="33" t="s">
        <v>225</v>
      </c>
      <c r="B165" s="26" t="s">
        <v>86</v>
      </c>
      <c r="E165" s="37">
        <f>E116*$C$75/365</f>
        <v>366.4905175031351</v>
      </c>
      <c r="F165" s="37">
        <f>F116*$C$75/365</f>
        <v>365.5829196503844</v>
      </c>
      <c r="G165" s="37">
        <f>G116*$C$75/365</f>
        <v>364.6753217976337</v>
      </c>
      <c r="H165" s="37">
        <f>H116*$C$75/365</f>
        <v>363.76772394488296</v>
      </c>
      <c r="I165" s="37">
        <f>I116*$C$75/365</f>
        <v>362.86012609213225</v>
      </c>
      <c r="J165" s="37">
        <f>J116*$C$75/365</f>
        <v>361.95252823938154</v>
      </c>
      <c r="K165" s="37">
        <f>K116*$C$75/365</f>
        <v>361.0449303866309</v>
      </c>
      <c r="L165" s="37">
        <f>L116*$C$75/365</f>
        <v>360.13733253388017</v>
      </c>
      <c r="M165" s="37">
        <f>M116*$C$75/365</f>
        <v>359.2297346811294</v>
      </c>
      <c r="N165" s="37">
        <f>N116*$C$75/365</f>
        <v>358.32213682837875</v>
      </c>
      <c r="O165" s="37">
        <f>O116*$C$75/365</f>
        <v>357.4145389756281</v>
      </c>
      <c r="P165" s="37">
        <f>P116*$C$75/365</f>
        <v>356.50694112287744</v>
      </c>
      <c r="Q165" s="37">
        <f>Q116*$C$75/365</f>
        <v>355.5993432701267</v>
      </c>
      <c r="R165" s="37">
        <f>R116*$C$75/365</f>
        <v>354.691745417376</v>
      </c>
      <c r="S165" s="37">
        <f>S116*$C$75/365</f>
        <v>353.7841475646253</v>
      </c>
      <c r="T165" s="37">
        <f>T116*$C$75/365</f>
        <v>352.87654971187465</v>
      </c>
      <c r="U165" s="37">
        <f>U116*$C$75/365</f>
        <v>351.96895185912393</v>
      </c>
      <c r="V165" s="37">
        <f>V116*$C$75/365</f>
        <v>351.0613540063733</v>
      </c>
      <c r="W165" s="37">
        <f>W116*$C$75/365</f>
        <v>350.1537561536225</v>
      </c>
      <c r="X165" s="37">
        <f>X116*$C$75/365</f>
        <v>349.2461583008718</v>
      </c>
      <c r="Y165" s="37">
        <f>Y116*$C$75/365</f>
        <v>348.33856044812114</v>
      </c>
      <c r="Z165" s="37">
        <f>Z116*$C$75/365</f>
        <v>347.4309625953705</v>
      </c>
      <c r="AA165" s="37">
        <f>AA116*$C$75/365</f>
        <v>346.52336474261983</v>
      </c>
      <c r="AB165" s="37">
        <f>AB116*$C$75/365</f>
        <v>345.615766889869</v>
      </c>
      <c r="AC165" s="37">
        <f>AC116*$C$75/365</f>
        <v>344.7081690371184</v>
      </c>
    </row>
    <row r="166" spans="1:29" x14ac:dyDescent="0.25">
      <c r="A166" s="33" t="s">
        <v>226</v>
      </c>
      <c r="B166" s="26" t="s">
        <v>86</v>
      </c>
      <c r="C166" s="56">
        <f>SUM(E166:AC166)</f>
        <v>344.7081690371184</v>
      </c>
      <c r="E166" s="37">
        <f>E165</f>
        <v>366.4905175031351</v>
      </c>
      <c r="F166" s="37">
        <f>F165-E165</f>
        <v>-0.9075978527507118</v>
      </c>
      <c r="G166" s="37">
        <f>G165-F165</f>
        <v>-0.907597852750655</v>
      </c>
      <c r="H166" s="37">
        <f>H165-G165</f>
        <v>-0.9075978527507687</v>
      </c>
      <c r="I166" s="37">
        <f>I165-H165</f>
        <v>-0.9075978527507118</v>
      </c>
      <c r="J166" s="37">
        <f>J165-I165</f>
        <v>-0.9075978527507118</v>
      </c>
      <c r="K166" s="37">
        <f>K165-J165</f>
        <v>-0.907597852750655</v>
      </c>
      <c r="L166" s="37">
        <f>L165-K165</f>
        <v>-0.9075978527507118</v>
      </c>
      <c r="M166" s="37">
        <f>M165-L165</f>
        <v>-0.9075978527507687</v>
      </c>
      <c r="N166" s="37">
        <f>N165-M165</f>
        <v>-0.907597852750655</v>
      </c>
      <c r="O166" s="37">
        <f>O165-N165</f>
        <v>-0.907597852750655</v>
      </c>
      <c r="P166" s="37">
        <f>P165-O165</f>
        <v>-0.907597852750655</v>
      </c>
      <c r="Q166" s="37">
        <f>Q165-P165</f>
        <v>-0.9075978527507118</v>
      </c>
      <c r="R166" s="37">
        <f>R165-Q165</f>
        <v>-0.9075978527507118</v>
      </c>
      <c r="S166" s="37">
        <f>S165-R165</f>
        <v>-0.9075978527507118</v>
      </c>
      <c r="T166" s="37">
        <f>T165-S165</f>
        <v>-0.907597852750655</v>
      </c>
      <c r="U166" s="37">
        <f>U165-T165</f>
        <v>-0.9075978527507118</v>
      </c>
      <c r="V166" s="37">
        <f>V165-U165</f>
        <v>-0.907597852750655</v>
      </c>
      <c r="W166" s="37">
        <f>W165-V165</f>
        <v>-0.9075978527507687</v>
      </c>
      <c r="X166" s="37">
        <f>X165-W165</f>
        <v>-0.9075978527507118</v>
      </c>
      <c r="Y166" s="37">
        <f>Y165-X165</f>
        <v>-0.907597852750655</v>
      </c>
      <c r="Z166" s="37">
        <f>Z165-Y165</f>
        <v>-0.907597852750655</v>
      </c>
      <c r="AA166" s="37">
        <f>AA165-Z165</f>
        <v>-0.907597852750655</v>
      </c>
      <c r="AB166" s="37">
        <f>AB165-AA165</f>
        <v>-0.9075978527508255</v>
      </c>
      <c r="AC166" s="37">
        <f>AC165-AB165</f>
        <v>-0.9075978527505981</v>
      </c>
    </row>
    <row r="167" spans="1:29" x14ac:dyDescent="0.25">
      <c r="A167" s="60" t="s">
        <v>227</v>
      </c>
      <c r="B167" s="61" t="s">
        <v>86</v>
      </c>
      <c r="C167" s="62">
        <f>SUM(E167:AC167)</f>
        <v>30778.342706679745</v>
      </c>
      <c r="D167" s="63"/>
      <c r="E167" s="62">
        <f>E126-E161-E166-E130</f>
        <v>1845.5951102829783</v>
      </c>
      <c r="F167" s="62">
        <f>F126-F161-F166-F130</f>
        <v>2055.124656918606</v>
      </c>
      <c r="G167" s="62">
        <f>G126-G161-G166-G130</f>
        <v>2011.3363456844272</v>
      </c>
      <c r="H167" s="62">
        <f>H126-H161-H166-H130</f>
        <v>1965.7967845172625</v>
      </c>
      <c r="I167" s="62">
        <f>I126-I161-I166-I130</f>
        <v>1918.4219151343304</v>
      </c>
      <c r="J167" s="62">
        <f>J126-J161-J166-J130</f>
        <v>1869.1236515494015</v>
      </c>
      <c r="K167" s="62">
        <f>K126-K161-K166-K130</f>
        <v>1817.8096874481635</v>
      </c>
      <c r="L167" s="62">
        <f>L126-L161-L166-L130</f>
        <v>1764.3832943703787</v>
      </c>
      <c r="M167" s="62">
        <f>M126-M161-M166-M130</f>
        <v>1708.743110261075</v>
      </c>
      <c r="N167" s="62">
        <f>N126-N161-N166-N130</f>
        <v>1650.7829179322266</v>
      </c>
      <c r="O167" s="62">
        <f>O126-O161-O166-O130</f>
        <v>1351.431420608371</v>
      </c>
      <c r="P167" s="62">
        <f>P126-P161-P166-P130</f>
        <v>1205.4154629622171</v>
      </c>
      <c r="Q167" s="62">
        <f>Q126-Q161-Q166-Q130</f>
        <v>1140.043915076726</v>
      </c>
      <c r="R167" s="62">
        <f>R126-R161-R166-R130</f>
        <v>1073.3541132679243</v>
      </c>
      <c r="S167" s="62">
        <f>S126-S161-S166-S130</f>
        <v>1004.935365136515</v>
      </c>
      <c r="T167" s="62">
        <f>T126-T161-T166-T130</f>
        <v>934.4962776262328</v>
      </c>
      <c r="U167" s="62">
        <f>U126-U161-U166-U130</f>
        <v>876.1515815247792</v>
      </c>
      <c r="V167" s="62">
        <f>V126-V161-V166-V130</f>
        <v>815.3820140771242</v>
      </c>
      <c r="W167" s="62">
        <f>W126-W161-W166-W130</f>
        <v>752.0262864899378</v>
      </c>
      <c r="X167" s="62">
        <f>X126-X161-X166-X130</f>
        <v>685.9333999230025</v>
      </c>
      <c r="Y167" s="62">
        <f>Y126-Y161-Y166-Y130</f>
        <v>616.9559350448775</v>
      </c>
      <c r="Z167" s="62">
        <f>Z126-Z161-Z166-Z130</f>
        <v>544.9459018838946</v>
      </c>
      <c r="AA167" s="62">
        <f>AA126-AA161-AA166-AA130</f>
        <v>469.75211995427924</v>
      </c>
      <c r="AB167" s="62">
        <f>AB126-AB161-AB166-AB130</f>
        <v>391.21851036475334</v>
      </c>
      <c r="AC167" s="62">
        <f>AC126-AC161-AC166-AC130</f>
        <v>309.1829286402584</v>
      </c>
    </row>
    <row r="168" spans="1:29" x14ac:dyDescent="0.25">
      <c r="A168" s="33" t="s">
        <v>228</v>
      </c>
      <c r="B168" s="26" t="s">
        <v>86</v>
      </c>
      <c r="C168" s="56">
        <f>SUM(E168:AC168)</f>
        <v>16328.379595831062</v>
      </c>
      <c r="E168" s="37">
        <f>E143</f>
        <v>1487.2748856667831</v>
      </c>
      <c r="F168" s="37">
        <f>F143</f>
        <v>1430.3154219603957</v>
      </c>
      <c r="G168" s="37">
        <f>G143</f>
        <v>1373.3559582540083</v>
      </c>
      <c r="H168" s="37">
        <f>H143</f>
        <v>1316.396494547621</v>
      </c>
      <c r="I168" s="37">
        <f>I143</f>
        <v>1259.4370308412333</v>
      </c>
      <c r="J168" s="37">
        <f>J143</f>
        <v>1202.477567134846</v>
      </c>
      <c r="K168" s="37">
        <f>K143</f>
        <v>1145.5181034284585</v>
      </c>
      <c r="L168" s="37">
        <f>L143</f>
        <v>1088.5586397220711</v>
      </c>
      <c r="M168" s="37">
        <f>M143</f>
        <v>1031.5991760156837</v>
      </c>
      <c r="N168" s="37">
        <f>N143</f>
        <v>974.6397123092963</v>
      </c>
      <c r="O168" s="37">
        <f>O143</f>
        <v>917.6802486029089</v>
      </c>
      <c r="P168" s="37">
        <f>P143</f>
        <v>860.7207848965215</v>
      </c>
      <c r="Q168" s="37">
        <f>Q143</f>
        <v>803.761321190134</v>
      </c>
      <c r="R168" s="37">
        <f>R143</f>
        <v>746.8018574837466</v>
      </c>
      <c r="S168" s="37">
        <f>S143</f>
        <v>689.8423937773591</v>
      </c>
      <c r="T168" s="37">
        <f>T143</f>
        <v>2.4556356947869064e-13</v>
      </c>
      <c r="U168" s="37">
        <f>U143</f>
        <v>2.4556356947869064e-13</v>
      </c>
      <c r="V168" s="37">
        <f>V143</f>
        <v>2.4556356947869064e-13</v>
      </c>
      <c r="W168" s="37">
        <f>W143</f>
        <v>2.4556356947869064e-13</v>
      </c>
      <c r="X168" s="37">
        <f>X143</f>
        <v>2.4556356947869064e-13</v>
      </c>
      <c r="Y168" s="37">
        <f>Y143</f>
        <v>2.4556356947869064e-13</v>
      </c>
      <c r="Z168" s="37">
        <f>Z143</f>
        <v>2.4556356947869064e-13</v>
      </c>
      <c r="AA168" s="37">
        <f>AA143</f>
        <v>2.4556356947869064e-13</v>
      </c>
      <c r="AB168" s="37">
        <f>AB143</f>
        <v>2.4556356947869064e-13</v>
      </c>
      <c r="AC168" s="37">
        <f>AC143</f>
        <v>2.4556356947869064e-13</v>
      </c>
    </row>
    <row r="169" spans="1:29" x14ac:dyDescent="0.25">
      <c r="A169" s="33" t="s">
        <v>229</v>
      </c>
      <c r="B169" s="26" t="s">
        <v>88</v>
      </c>
      <c r="E169" s="40">
        <f>IF(E143&gt;1E-9,E167/E143,"")</f>
        <v>1.2409240067652667</v>
      </c>
      <c r="F169" s="40">
        <f>IF(F143&gt;1E-9,F167/F143,"")</f>
        <v>1.4368331805454801</v>
      </c>
      <c r="G169" s="40">
        <f>IF(G143&gt;1E-9,G167/G143,"")</f>
        <v>1.4645411727353657</v>
      </c>
      <c r="H169" s="40">
        <f>IF(H143&gt;1E-9,H167/H143,"")</f>
        <v>1.4933166357244119</v>
      </c>
      <c r="I169" s="40">
        <f>IF(I143&gt;1E-9,I167/I143,"")</f>
        <v>1.5232376594905521</v>
      </c>
      <c r="J169" s="40">
        <f>IF(J143&gt;1E-9,J167/J143,"")</f>
        <v>1.5543937805035142</v>
      </c>
      <c r="K169" s="40">
        <f>IF(K143&gt;1E-9,K167/K143,"")</f>
        <v>1.5868886593826685</v>
      </c>
      <c r="L169" s="40">
        <f>IF(L143&gt;1E-9,L167/L143,"")</f>
        <v>1.6208435907695868</v>
      </c>
      <c r="M169" s="40">
        <f>IF(M143&gt;1E-9,M167/M143,"")</f>
        <v>1.656402166644515</v>
      </c>
      <c r="N169" s="40">
        <f>IF(N143&gt;1E-9,N167/N143,"")</f>
        <v>1.6937365644796958</v>
      </c>
      <c r="O169" s="40">
        <f>IF(O143&gt;1E-9,O167/O143,"")</f>
        <v>1.472660463887952</v>
      </c>
      <c r="P169" s="40">
        <f>IF(P143&gt;1E-9,P167/P143,"")</f>
        <v>1.4004721207088497</v>
      </c>
      <c r="Q169" s="40">
        <f>IF(Q143&gt;1E-9,Q167/Q143,"")</f>
        <v>1.418386136556878</v>
      </c>
      <c r="R169" s="40">
        <f>IF(R143&gt;1E-9,R167/R143,"")</f>
        <v>1.4372675998483102</v>
      </c>
      <c r="S169" s="40">
        <f>IF(S143&gt;1E-9,S167/S143,"")</f>
        <v>1.4567608111670352</v>
      </c>
      <c r="T169" s="40" t="str">
        <f>IF(T143&gt;1E-9,T167/T143,"")</f>
        <v/>
      </c>
      <c r="U169" s="40" t="str">
        <f>IF(U143&gt;1E-9,U167/U143,"")</f>
        <v/>
      </c>
      <c r="V169" s="40" t="str">
        <f>IF(V143&gt;1E-9,V167/V143,"")</f>
        <v/>
      </c>
      <c r="W169" s="40" t="str">
        <f>IF(W143&gt;1E-9,W167/W143,"")</f>
        <v/>
      </c>
      <c r="X169" s="40" t="str">
        <f>IF(X143&gt;1E-9,X167/X143,"")</f>
        <v/>
      </c>
      <c r="Y169" s="40" t="str">
        <f>IF(Y143&gt;1E-9,Y167/Y143,"")</f>
        <v/>
      </c>
      <c r="Z169" s="40" t="str">
        <f>IF(Z143&gt;1E-9,Z167/Z143,"")</f>
        <v/>
      </c>
      <c r="AA169" s="40" t="str">
        <f>IF(AA143&gt;1E-9,AA167/AA143,"")</f>
        <v/>
      </c>
      <c r="AB169" s="40" t="str">
        <f>IF(AB143&gt;1E-9,AB167/AB143,"")</f>
        <v/>
      </c>
      <c r="AC169" s="40" t="str">
        <f>IF(AC143&gt;1E-9,AC167/AC143,"")</f>
        <v/>
      </c>
    </row>
    <row r="170" spans="1:29" x14ac:dyDescent="0.25">
      <c r="A170" s="33" t="s">
        <v>230</v>
      </c>
      <c r="B170" s="26" t="s">
        <v>86</v>
      </c>
      <c r="C170" s="56">
        <f>SUM(E170:AC170)</f>
        <v>1700.8858763320577</v>
      </c>
      <c r="E170" s="37">
        <f>IF(E$5=$C$88,$C$85*$C$74+E165,0)</f>
        <v>0</v>
      </c>
      <c r="F170" s="37">
        <f>IF(F$5=$C$88,$C$85*$C$74+F165,0)</f>
        <v>0</v>
      </c>
      <c r="G170" s="37">
        <f>IF(G$5=$C$88,$C$85*$C$74+G165,0)</f>
        <v>0</v>
      </c>
      <c r="H170" s="37">
        <f>IF(H$5=$C$88,$C$85*$C$74+H165,0)</f>
        <v>0</v>
      </c>
      <c r="I170" s="37">
        <f>IF(I$5=$C$88,$C$85*$C$74+I165,0)</f>
        <v>0</v>
      </c>
      <c r="J170" s="37">
        <f>IF(J$5=$C$88,$C$85*$C$74+J165,0)</f>
        <v>0</v>
      </c>
      <c r="K170" s="37">
        <f>IF(K$5=$C$88,$C$85*$C$74+K165,0)</f>
        <v>0</v>
      </c>
      <c r="L170" s="37">
        <f>IF(L$5=$C$88,$C$85*$C$74+L165,0)</f>
        <v>0</v>
      </c>
      <c r="M170" s="37">
        <f>IF(M$5=$C$88,$C$85*$C$74+M165,0)</f>
        <v>0</v>
      </c>
      <c r="N170" s="37">
        <f>IF(N$5=$C$88,$C$85*$C$74+N165,0)</f>
        <v>0</v>
      </c>
      <c r="O170" s="37">
        <f>IF(O$5=$C$88,$C$85*$C$74+O165,0)</f>
        <v>0</v>
      </c>
      <c r="P170" s="37">
        <f>IF(P$5=$C$88,$C$85*$C$74+P165,0)</f>
        <v>0</v>
      </c>
      <c r="Q170" s="37">
        <f>IF(Q$5=$C$88,$C$85*$C$74+Q165,0)</f>
        <v>0</v>
      </c>
      <c r="R170" s="37">
        <f>IF(R$5=$C$88,$C$85*$C$74+R165,0)</f>
        <v>0</v>
      </c>
      <c r="S170" s="37">
        <f>IF(S$5=$C$88,$C$85*$C$74+S165,0)</f>
        <v>0</v>
      </c>
      <c r="T170" s="37">
        <f>IF(T$5=$C$88,$C$85*$C$74+T165,0)</f>
        <v>0</v>
      </c>
      <c r="U170" s="37">
        <f>IF(U$5=$C$88,$C$85*$C$74+U165,0)</f>
        <v>0</v>
      </c>
      <c r="V170" s="37">
        <f>IF(V$5=$C$88,$C$85*$C$74+V165,0)</f>
        <v>0</v>
      </c>
      <c r="W170" s="37">
        <f>IF(W$5=$C$88,$C$85*$C$74+W165,0)</f>
        <v>0</v>
      </c>
      <c r="X170" s="37">
        <f>IF(X$5=$C$88,$C$85*$C$74+X165,0)</f>
        <v>0</v>
      </c>
      <c r="Y170" s="37">
        <f>IF(Y$5=$C$88,$C$85*$C$74+Y165,0)</f>
        <v>0</v>
      </c>
      <c r="Z170" s="37">
        <f>IF(Z$5=$C$88,$C$85*$C$74+Z165,0)</f>
        <v>0</v>
      </c>
      <c r="AA170" s="37">
        <f>IF(AA$5=$C$88,$C$85*$C$74+AA165,0)</f>
        <v>0</v>
      </c>
      <c r="AB170" s="37">
        <f>IF(AB$5=$C$88,$C$85*$C$74+AB165,0)</f>
        <v>0</v>
      </c>
      <c r="AC170" s="37">
        <f>IF(AC$5=$C$88,$C$85*$C$74+AC165,0)</f>
        <v>1700.8858763320577</v>
      </c>
    </row>
    <row r="171" spans="1:29" x14ac:dyDescent="0.25">
      <c r="A171" s="33" t="s">
        <v>231</v>
      </c>
      <c r="B171" s="26" t="s">
        <v>86</v>
      </c>
      <c r="C171" s="56">
        <f>SUM(E171:AC171)</f>
        <v>2.7284841053187847e-12</v>
      </c>
      <c r="E171" s="37">
        <f>IF(E$5=$C$88,E142,0)</f>
        <v>0</v>
      </c>
      <c r="F171" s="37">
        <f>IF(F$5=$C$88,F142,0)</f>
        <v>0</v>
      </c>
      <c r="G171" s="37">
        <f>IF(G$5=$C$88,G142,0)</f>
        <v>0</v>
      </c>
      <c r="H171" s="37">
        <f>IF(H$5=$C$88,H142,0)</f>
        <v>0</v>
      </c>
      <c r="I171" s="37">
        <f>IF(I$5=$C$88,I142,0)</f>
        <v>0</v>
      </c>
      <c r="J171" s="37">
        <f>IF(J$5=$C$88,J142,0)</f>
        <v>0</v>
      </c>
      <c r="K171" s="37">
        <f>IF(K$5=$C$88,K142,0)</f>
        <v>0</v>
      </c>
      <c r="L171" s="37">
        <f>IF(L$5=$C$88,L142,0)</f>
        <v>0</v>
      </c>
      <c r="M171" s="37">
        <f>IF(M$5=$C$88,M142,0)</f>
        <v>0</v>
      </c>
      <c r="N171" s="37">
        <f>IF(N$5=$C$88,N142,0)</f>
        <v>0</v>
      </c>
      <c r="O171" s="37">
        <f>IF(O$5=$C$88,O142,0)</f>
        <v>0</v>
      </c>
      <c r="P171" s="37">
        <f>IF(P$5=$C$88,P142,0)</f>
        <v>0</v>
      </c>
      <c r="Q171" s="37">
        <f>IF(Q$5=$C$88,Q142,0)</f>
        <v>0</v>
      </c>
      <c r="R171" s="37">
        <f>IF(R$5=$C$88,R142,0)</f>
        <v>0</v>
      </c>
      <c r="S171" s="37">
        <f>IF(S$5=$C$88,S142,0)</f>
        <v>0</v>
      </c>
      <c r="T171" s="37">
        <f>IF(T$5=$C$88,T142,0)</f>
        <v>0</v>
      </c>
      <c r="U171" s="37">
        <f>IF(U$5=$C$88,U142,0)</f>
        <v>0</v>
      </c>
      <c r="V171" s="37">
        <f>IF(V$5=$C$88,V142,0)</f>
        <v>0</v>
      </c>
      <c r="W171" s="37">
        <f>IF(W$5=$C$88,W142,0)</f>
        <v>0</v>
      </c>
      <c r="X171" s="37">
        <f>IF(X$5=$C$88,X142,0)</f>
        <v>0</v>
      </c>
      <c r="Y171" s="37">
        <f>IF(Y$5=$C$88,Y142,0)</f>
        <v>0</v>
      </c>
      <c r="Z171" s="37">
        <f>IF(Z$5=$C$88,Z142,0)</f>
        <v>0</v>
      </c>
      <c r="AA171" s="37">
        <f>IF(AA$5=$C$88,AA142,0)</f>
        <v>0</v>
      </c>
      <c r="AB171" s="37">
        <f>IF(AB$5=$C$88,AB142,0)</f>
        <v>0</v>
      </c>
      <c r="AC171" s="37">
        <f>IF(AC$5=$C$88,AC142,0)</f>
        <v>2.7284841053187847e-12</v>
      </c>
    </row>
    <row r="172" spans="1:29" x14ac:dyDescent="0.25">
      <c r="A172" s="60" t="s">
        <v>232</v>
      </c>
      <c r="B172" s="61" t="s">
        <v>86</v>
      </c>
      <c r="C172" s="62">
        <f>SUM(E172:AC172)</f>
        <v>16150.848987180729</v>
      </c>
      <c r="D172" s="62">
        <f>-$C$87</f>
        <v>-4068.5331218848187</v>
      </c>
      <c r="E172" s="62">
        <f>E167-E143+E170-E171</f>
        <v>358.3202246161952</v>
      </c>
      <c r="F172" s="62">
        <f>F167-F143+F170-F171</f>
        <v>624.8092349582103</v>
      </c>
      <c r="G172" s="62">
        <f>G167-G143+G170-G171</f>
        <v>637.9803874304189</v>
      </c>
      <c r="H172" s="62">
        <f>H167-H143+H170-H171</f>
        <v>649.4002899696416</v>
      </c>
      <c r="I172" s="62">
        <f>I167-I143+I170-I171</f>
        <v>658.9848842930971</v>
      </c>
      <c r="J172" s="62">
        <f>J167-J143+J170-J171</f>
        <v>666.6460844145556</v>
      </c>
      <c r="K172" s="62">
        <f>K167-K143+K170-K171</f>
        <v>672.2915840197049</v>
      </c>
      <c r="L172" s="62">
        <f>L167-L143+L170-L171</f>
        <v>675.8246546483076</v>
      </c>
      <c r="M172" s="62">
        <f>M167-M143+M170-M171</f>
        <v>677.1439342453912</v>
      </c>
      <c r="N172" s="62">
        <f>N167-N143+N170-N171</f>
        <v>676.1432056229303</v>
      </c>
      <c r="O172" s="62">
        <f>O167-O143+O170-O171</f>
        <v>433.75117200546197</v>
      </c>
      <c r="P172" s="62">
        <f>P167-P143+P170-P171</f>
        <v>344.6946780656956</v>
      </c>
      <c r="Q172" s="62">
        <f>Q167-Q143+Q170-Q171</f>
        <v>336.28259388659205</v>
      </c>
      <c r="R172" s="62">
        <f>R167-R143+R170-R171</f>
        <v>326.55225578417765</v>
      </c>
      <c r="S172" s="62">
        <f>S167-S143+S170-S171</f>
        <v>315.09297135915585</v>
      </c>
      <c r="T172" s="62">
        <f>T167-T143+T170-T171</f>
        <v>934.4962776262325</v>
      </c>
      <c r="U172" s="62">
        <f>U167-U143+U170-U171</f>
        <v>876.151581524779</v>
      </c>
      <c r="V172" s="62">
        <f>V167-V143+V170-V171</f>
        <v>815.3820140771239</v>
      </c>
      <c r="W172" s="62">
        <f>W167-W143+W170-W171</f>
        <v>752.0262864899375</v>
      </c>
      <c r="X172" s="62">
        <f>X167-X143+X170-X171</f>
        <v>685.9333999230023</v>
      </c>
      <c r="Y172" s="62">
        <f>Y167-Y143+Y170-Y171</f>
        <v>616.9559350448773</v>
      </c>
      <c r="Z172" s="62">
        <f>Z167-Z143+Z170-Z171</f>
        <v>544.9459018838944</v>
      </c>
      <c r="AA172" s="62">
        <f>AA167-AA143+AA170-AA171</f>
        <v>469.752119954279</v>
      </c>
      <c r="AB172" s="62">
        <f>AB167-AB143+AB170-AB171</f>
        <v>391.2185103647531</v>
      </c>
      <c r="AC172" s="62">
        <f>AC167-AC143+AC170-AC171</f>
        <v>2010.068804972313</v>
      </c>
    </row>
    <row r="173" spans="1:29" x14ac:dyDescent="0.25">
      <c r="A173" s="33" t="s">
        <v>233</v>
      </c>
      <c r="B173" s="26" t="s">
        <v>86</v>
      </c>
      <c r="D173" s="37">
        <f>D172</f>
        <v>-4068.5331218848187</v>
      </c>
      <c r="E173" s="37">
        <f>D173+E172</f>
        <v>-3710.2128972686232</v>
      </c>
      <c r="F173" s="37">
        <f>E173+F172</f>
        <v>-3085.403662310413</v>
      </c>
      <c r="G173" s="37">
        <f>F173+G172</f>
        <v>-2447.423274879994</v>
      </c>
      <c r="H173" s="37">
        <f>G173+H172</f>
        <v>-1798.0229849103525</v>
      </c>
      <c r="I173" s="37">
        <f>H173+I172</f>
        <v>-1139.0381006172554</v>
      </c>
      <c r="J173" s="37">
        <f>I173+J172</f>
        <v>-472.3920162026998</v>
      </c>
      <c r="K173" s="37">
        <f>J173+K172</f>
        <v>199.89956781700516</v>
      </c>
      <c r="L173" s="37">
        <f>K173+L172</f>
        <v>875.7242224653128</v>
      </c>
      <c r="M173" s="37">
        <f>L173+M172</f>
        <v>1552.868156710704</v>
      </c>
      <c r="N173" s="37">
        <f>M173+N172</f>
        <v>2229.011362333634</v>
      </c>
      <c r="O173" s="37">
        <f>N173+O172</f>
        <v>2662.7625343390964</v>
      </c>
      <c r="P173" s="37">
        <f>O173+P172</f>
        <v>3007.457212404792</v>
      </c>
      <c r="Q173" s="37">
        <f>P173+Q172</f>
        <v>3343.739806291384</v>
      </c>
      <c r="R173" s="37">
        <f>Q173+R172</f>
        <v>3670.2920620755617</v>
      </c>
      <c r="S173" s="37">
        <f>R173+S172</f>
        <v>3985.3850334347176</v>
      </c>
      <c r="T173" s="37">
        <f>S173+T172</f>
        <v>4919.88131106095</v>
      </c>
      <c r="U173" s="37">
        <f>T173+U172</f>
        <v>5796.032892585728</v>
      </c>
      <c r="V173" s="37">
        <f>U173+V172</f>
        <v>6611.414906662852</v>
      </c>
      <c r="W173" s="37">
        <f>V173+W172</f>
        <v>7363.44119315279</v>
      </c>
      <c r="X173" s="37">
        <f>W173+X172</f>
        <v>8049.374593075792</v>
      </c>
      <c r="Y173" s="37">
        <f>X173+Y172</f>
        <v>8666.33052812067</v>
      </c>
      <c r="Z173" s="37">
        <f>Y173+Z172</f>
        <v>9211.276430004566</v>
      </c>
      <c r="AA173" s="37">
        <f>Z173+AA172</f>
        <v>9681.028549958844</v>
      </c>
      <c r="AB173" s="37">
        <f>AA173+AB172</f>
        <v>10072.247060323598</v>
      </c>
      <c r="AC173" s="37">
        <f>AB173+AC172</f>
        <v>12082.31586529591</v>
      </c>
    </row>
    <row r="174" spans="1:29" x14ac:dyDescent="0.25">
      <c r="A174" s="33" t="s">
        <v>234</v>
      </c>
      <c r="B174" s="26" t="s">
        <v>92</v>
      </c>
      <c r="E174" s="44" t="str">
        <f>IF(E173&gt;=0,E$5,"")</f>
        <v/>
      </c>
      <c r="F174" s="44" t="str">
        <f>IF(F173&gt;=0,F$5,"")</f>
        <v/>
      </c>
      <c r="G174" s="44" t="str">
        <f>IF(G173&gt;=0,G$5,"")</f>
        <v/>
      </c>
      <c r="H174" s="44" t="str">
        <f>IF(H173&gt;=0,H$5,"")</f>
        <v/>
      </c>
      <c r="I174" s="44" t="str">
        <f>IF(I173&gt;=0,I$5,"")</f>
        <v/>
      </c>
      <c r="J174" s="44" t="str">
        <f>IF(J173&gt;=0,J$5,"")</f>
        <v/>
      </c>
      <c r="K174" s="44">
        <f>IF(K173&gt;=0,K$5,"")</f>
        <v>7</v>
      </c>
      <c r="L174" s="44">
        <f>IF(L173&gt;=0,L$5,"")</f>
        <v>8</v>
      </c>
      <c r="M174" s="44">
        <f>IF(M173&gt;=0,M$5,"")</f>
        <v>9</v>
      </c>
      <c r="N174" s="44">
        <f>IF(N173&gt;=0,N$5,"")</f>
        <v>10</v>
      </c>
      <c r="O174" s="44">
        <f>IF(O173&gt;=0,O$5,"")</f>
        <v>11</v>
      </c>
      <c r="P174" s="44">
        <f>IF(P173&gt;=0,P$5,"")</f>
        <v>12</v>
      </c>
      <c r="Q174" s="44">
        <f>IF(Q173&gt;=0,Q$5,"")</f>
        <v>13</v>
      </c>
      <c r="R174" s="44">
        <f>IF(R173&gt;=0,R$5,"")</f>
        <v>14</v>
      </c>
      <c r="S174" s="44">
        <f>IF(S173&gt;=0,S$5,"")</f>
        <v>15</v>
      </c>
      <c r="T174" s="44">
        <f>IF(T173&gt;=0,T$5,"")</f>
        <v>16</v>
      </c>
      <c r="U174" s="44">
        <f>IF(U173&gt;=0,U$5,"")</f>
        <v>17</v>
      </c>
      <c r="V174" s="44">
        <f>IF(V173&gt;=0,V$5,"")</f>
        <v>18</v>
      </c>
      <c r="W174" s="44">
        <f>IF(W173&gt;=0,W$5,"")</f>
        <v>19</v>
      </c>
      <c r="X174" s="44">
        <f>IF(X173&gt;=0,X$5,"")</f>
        <v>20</v>
      </c>
      <c r="Y174" s="44">
        <f>IF(Y173&gt;=0,Y$5,"")</f>
        <v>21</v>
      </c>
      <c r="Z174" s="44">
        <f>IF(Z173&gt;=0,Z$5,"")</f>
        <v>22</v>
      </c>
      <c r="AA174" s="44">
        <f>IF(AA173&gt;=0,AA$5,"")</f>
        <v>23</v>
      </c>
      <c r="AB174" s="44">
        <f>IF(AB173&gt;=0,AB$5,"")</f>
        <v>24</v>
      </c>
      <c r="AC174" s="44">
        <f>IF(AC173&gt;=0,AC$5,"")</f>
        <v>25</v>
      </c>
    </row>
    <row r="175" spans="1:29" x14ac:dyDescent="0.25">
      <c r="A175" s="33" t="s">
        <v>235</v>
      </c>
      <c r="B175" s="26" t="s">
        <v>86</v>
      </c>
      <c r="C175" s="56">
        <f>SUM(E175:AC175)</f>
        <v>6480.0181144520675</v>
      </c>
      <c r="E175" s="37">
        <f>MAX(0,(E126-E148)*$C$70)</f>
        <v>0</v>
      </c>
      <c r="F175" s="37">
        <f>MAX(0,(F126-F148)*$C$70)</f>
        <v>0</v>
      </c>
      <c r="G175" s="37">
        <f>MAX(0,(G126-G148)*$C$70)</f>
        <v>24.969474336042094</v>
      </c>
      <c r="H175" s="37">
        <f>MAX(0,(H126-H148)*$C$70)</f>
        <v>205.9293433875431</v>
      </c>
      <c r="I175" s="37">
        <f>MAX(0,(I126-I148)*$C$70)</f>
        <v>309.45839472222485</v>
      </c>
      <c r="J175" s="37">
        <f>MAX(0,(J126-J148)*$C$70)</f>
        <v>366.32200535291776</v>
      </c>
      <c r="K175" s="37">
        <f>MAX(0,(K126-K148)*$C$70)</f>
        <v>394.9694707336478</v>
      </c>
      <c r="L175" s="37">
        <f>MAX(0,(L126-L148)*$C$70)</f>
        <v>406.4599616829764</v>
      </c>
      <c r="M175" s="37">
        <f>MAX(0,(M126-M148)*$C$70)</f>
        <v>407.4180757948688</v>
      </c>
      <c r="N175" s="37">
        <f>MAX(0,(N126-N148)*$C$70)</f>
        <v>401.80714445702023</v>
      </c>
      <c r="O175" s="37">
        <f>MAX(0,(O126-O148)*$C$70)</f>
        <v>391.9931920969404</v>
      </c>
      <c r="P175" s="37">
        <f>MAX(0,(P126-P148)*$C$70)</f>
        <v>379.38328557388684</v>
      </c>
      <c r="Q175" s="37">
        <f>MAX(0,(Q126-Q148)*$C$70)</f>
        <v>364.80851641082023</v>
      </c>
      <c r="R175" s="37">
        <f>MAX(0,(R126-R148)*$C$70)</f>
        <v>348.7537614235394</v>
      </c>
      <c r="S175" s="37">
        <f>MAX(0,(S126-S148)*$C$70)</f>
        <v>331.4955090191028</v>
      </c>
      <c r="T175" s="37">
        <f>MAX(0,(T126-T148)*$C$70)</f>
        <v>313.1845234616837</v>
      </c>
      <c r="U175" s="37">
        <f>MAX(0,(U126-U148)*$C$70)</f>
        <v>293.8954104165242</v>
      </c>
      <c r="V175" s="37">
        <f>MAX(0,(V126-V148)*$C$70)</f>
        <v>273.65632168693855</v>
      </c>
      <c r="W175" s="37">
        <f>MAX(0,(W126-W148)*$C$70)</f>
        <v>252.4667418184909</v>
      </c>
      <c r="X175" s="37">
        <f>MAX(0,(X126-X148)*$C$70)</f>
        <v>230.30812209643247</v>
      </c>
      <c r="Y175" s="37">
        <f>MAX(0,(Y126-Y148)*$C$70)</f>
        <v>207.15022116993873</v>
      </c>
      <c r="Z175" s="37">
        <f>MAX(0,(Z126-Z148)*$C$70)</f>
        <v>182.95486775726715</v>
      </c>
      <c r="AA175" s="37">
        <f>MAX(0,(AA126-AA148)*$C$70)</f>
        <v>157.67817461423112</v>
      </c>
      <c r="AB175" s="37">
        <f>MAX(0,(AB126-AB148)*$C$70)</f>
        <v>131.27182118107135</v>
      </c>
      <c r="AC175" s="37">
        <f>MAX(0,(AC126-AC148)*$C$70)</f>
        <v>103.68377525795867</v>
      </c>
    </row>
    <row r="176" spans="1:29" x14ac:dyDescent="0.25">
      <c r="A176" s="60" t="s">
        <v>236</v>
      </c>
      <c r="B176" s="61" t="s">
        <v>86</v>
      </c>
      <c r="C176" s="62">
        <f>SUM(E176:AC176)</f>
        <v>29665.494542644854</v>
      </c>
      <c r="D176" s="62">
        <f>-$C$85</f>
        <v>-13561.777072949391</v>
      </c>
      <c r="E176" s="62">
        <f>E126-E175-E166-E130+E170</f>
        <v>1845.5951102829783</v>
      </c>
      <c r="F176" s="62">
        <f>F126-F175-F166-F130+F170</f>
        <v>2055.124656918606</v>
      </c>
      <c r="G176" s="62">
        <f>G126-G175-G166-G130+G170</f>
        <v>1986.3668713483853</v>
      </c>
      <c r="H176" s="62">
        <f>H126-H175-H166-H130+H170</f>
        <v>1759.8674411297193</v>
      </c>
      <c r="I176" s="62">
        <f>I126-I175-I166-I130+I170</f>
        <v>1608.9635204121055</v>
      </c>
      <c r="J176" s="62">
        <f>J126-J175-J166-J130+J170</f>
        <v>1502.8016461964837</v>
      </c>
      <c r="K176" s="62">
        <f>K126-K175-K166-K130+K170</f>
        <v>1422.8402167145155</v>
      </c>
      <c r="L176" s="62">
        <f>L126-L175-L166-L130+L170</f>
        <v>1357.9233326874023</v>
      </c>
      <c r="M176" s="62">
        <f>M126-M175-M166-M130+M170</f>
        <v>1301.325034466206</v>
      </c>
      <c r="N176" s="62">
        <f>N126-N175-N166-N130+N170</f>
        <v>1248.975773475206</v>
      </c>
      <c r="O176" s="62">
        <f>O126-O175-O166-O130+O170</f>
        <v>1198.3982208576408</v>
      </c>
      <c r="P176" s="62">
        <f>P126-P175-P166-P130+P170</f>
        <v>1148.0686749026263</v>
      </c>
      <c r="Q176" s="62">
        <f>Q126-Q175-Q166-Q130+Q170</f>
        <v>1097.033824032033</v>
      </c>
      <c r="R176" s="62">
        <f>R126-R175-R166-R130+R170</f>
        <v>1044.6807192381289</v>
      </c>
      <c r="S176" s="62">
        <f>S126-S175-S166-S130+S170</f>
        <v>990.5986681216173</v>
      </c>
      <c r="T176" s="62">
        <f>T126-T175-T166-T130+T170</f>
        <v>934.4962776262323</v>
      </c>
      <c r="U176" s="62">
        <f>U126-U175-U166-U130+U170</f>
        <v>876.151581524779</v>
      </c>
      <c r="V176" s="62">
        <f>V126-V175-V166-V130+V170</f>
        <v>815.3820140771242</v>
      </c>
      <c r="W176" s="62">
        <f>W126-W175-W166-W130+W170</f>
        <v>752.0262864899378</v>
      </c>
      <c r="X176" s="62">
        <f>X126-X175-X166-X130+X170</f>
        <v>685.9333999230025</v>
      </c>
      <c r="Y176" s="62">
        <f>Y126-Y175-Y166-Y130+Y170</f>
        <v>616.9559350448775</v>
      </c>
      <c r="Z176" s="62">
        <f>Z126-Z175-Z166-Z130+Z170</f>
        <v>544.9459018838945</v>
      </c>
      <c r="AA176" s="62">
        <f>AA126-AA175-AA166-AA130+AA170</f>
        <v>469.7521199542791</v>
      </c>
      <c r="AB176" s="62">
        <f>AB126-AB175-AB166-AB130+AB170</f>
        <v>391.21851036475334</v>
      </c>
      <c r="AC176" s="62">
        <f>AC126-AC175-AC166-AC130+AC170</f>
        <v>2010.068804972316</v>
      </c>
    </row>
    <row r="178" ht="20" customHeight="1" spans="1:29" x14ac:dyDescent="0.25">
      <c r="A178" s="21" t="s">
        <v>237</v>
      </c>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row>
    <row r="179" spans="1:29" x14ac:dyDescent="0.25">
      <c r="A179" s="33" t="s">
        <v>238</v>
      </c>
      <c r="B179" s="26" t="s">
        <v>86</v>
      </c>
      <c r="C179" s="56">
        <f>SUM(E179:AC179)</f>
        <v>37318.309657751495</v>
      </c>
      <c r="E179" s="37">
        <f>E125+E130</f>
        <v>760.5596808504265</v>
      </c>
      <c r="F179" s="37">
        <f>F125+F130</f>
        <v>911.0666225428183</v>
      </c>
      <c r="G179" s="37">
        <f>G125+G130</f>
        <v>947.49330674913</v>
      </c>
      <c r="H179" s="37">
        <f>H125+H130</f>
        <v>985.6712408884275</v>
      </c>
      <c r="I179" s="37">
        <f>I125+I130</f>
        <v>1025.684483243493</v>
      </c>
      <c r="J179" s="37">
        <f>J125+J130</f>
        <v>1067.6211198005553</v>
      </c>
      <c r="K179" s="37">
        <f>K125+K130</f>
        <v>1111.5734568739267</v>
      </c>
      <c r="L179" s="37">
        <f>L125+L130</f>
        <v>1157.6382229238448</v>
      </c>
      <c r="M179" s="37">
        <f>M125+M130</f>
        <v>1205.9167800052815</v>
      </c>
      <c r="N179" s="37">
        <f>N125+N130</f>
        <v>1256.515345306263</v>
      </c>
      <c r="O179" s="37">
        <f>O125+O130</f>
        <v>1309.5452232560417</v>
      </c>
      <c r="P179" s="37">
        <f>P125+P130</f>
        <v>1365.1230487062435</v>
      </c>
      <c r="Q179" s="37">
        <f>Q125+Q130</f>
        <v>1423.3710417120365</v>
      </c>
      <c r="R179" s="37">
        <f>R125+R130</f>
        <v>1484.4172744653547</v>
      </c>
      <c r="S179" s="37">
        <f>S125+S130</f>
        <v>1548.395950958436</v>
      </c>
      <c r="T179" s="37">
        <f>T125+T130</f>
        <v>1615.4476999833732</v>
      </c>
      <c r="U179" s="37">
        <f>U125+U130</f>
        <v>1685.7198821021195</v>
      </c>
      <c r="V179" s="37">
        <f>V125+V130</f>
        <v>1759.3669112514933</v>
      </c>
      <c r="W179" s="37">
        <f>W125+W130</f>
        <v>1836.5505916792604</v>
      </c>
      <c r="X179" s="37">
        <f>X125+X130</f>
        <v>1917.4404709403873</v>
      </c>
      <c r="Y179" s="37">
        <f>Y125+Y130</f>
        <v>2002.2142097171393</v>
      </c>
      <c r="Z179" s="37">
        <f>Z125+Z130</f>
        <v>2091.057969262927</v>
      </c>
      <c r="AA179" s="37">
        <f>AA125+AA130</f>
        <v>2184.1668173077123</v>
      </c>
      <c r="AB179" s="37">
        <f>AB125+AB130</f>
        <v>2281.7451533025305</v>
      </c>
      <c r="AC179" s="37">
        <f>AC125+AC130</f>
        <v>2384.0071539222718</v>
      </c>
    </row>
    <row r="180" spans="1:29" x14ac:dyDescent="0.25">
      <c r="A180" s="33" t="s">
        <v>239</v>
      </c>
      <c r="B180" s="26" t="s">
        <v>86</v>
      </c>
      <c r="C180" s="56">
        <f>SUM(E180:AC180)</f>
        <v>11052.998540878523</v>
      </c>
      <c r="E180" s="37">
        <f>E179*E109</f>
        <v>691.4178916822059</v>
      </c>
      <c r="F180" s="37">
        <f>F179*F109</f>
        <v>752.9476219362134</v>
      </c>
      <c r="G180" s="37">
        <f>G179*G109</f>
        <v>711.8657451158</v>
      </c>
      <c r="H180" s="37">
        <f>H179*H109</f>
        <v>673.2267200931816</v>
      </c>
      <c r="I180" s="37">
        <f>I179*I109</f>
        <v>636.8693663767954</v>
      </c>
      <c r="J180" s="37">
        <f>J179*J109</f>
        <v>602.644289302234</v>
      </c>
      <c r="K180" s="37">
        <f>K179*K109</f>
        <v>570.4129434046256</v>
      </c>
      <c r="L180" s="37">
        <f>L179*L109</f>
        <v>540.0467746068538</v>
      </c>
      <c r="M180" s="37">
        <f>M179*M109</f>
        <v>511.42643435565526</v>
      </c>
      <c r="N180" s="37">
        <f>N179*N109</f>
        <v>484.4410594480602</v>
      </c>
      <c r="O180" s="37">
        <f>O179*O109</f>
        <v>458.9876118462404</v>
      </c>
      <c r="P180" s="37">
        <f>P179*P109</f>
        <v>434.9702732845252</v>
      </c>
      <c r="Q180" s="37">
        <f>Q179*Q109</f>
        <v>412.29988993268006</v>
      </c>
      <c r="R180" s="37">
        <f>R179*R109</f>
        <v>390.8934627985741</v>
      </c>
      <c r="S180" s="37">
        <f>S179*S109</f>
        <v>370.67367993485453</v>
      </c>
      <c r="T180" s="37">
        <f>T179*T109</f>
        <v>351.5684868615646</v>
      </c>
      <c r="U180" s="37">
        <f>U179*U109</f>
        <v>333.5106919328684</v>
      </c>
      <c r="V180" s="37">
        <f>V179*V109</f>
        <v>316.43760366400437</v>
      </c>
      <c r="W180" s="37">
        <f>W179*W109</f>
        <v>300.29069729680185</v>
      </c>
      <c r="X180" s="37">
        <f>X179*X109</f>
        <v>285.01530812090135</v>
      </c>
      <c r="Y180" s="37">
        <f>Y179*Y109</f>
        <v>270.56034928531705</v>
      </c>
      <c r="Z180" s="37">
        <f>Z179*Z109</f>
        <v>256.8780520330903</v>
      </c>
      <c r="AA180" s="37">
        <f>AA179*AA109</f>
        <v>243.92372647225002</v>
      </c>
      <c r="AB180" s="37">
        <f>AB179*AB109</f>
        <v>231.65554116070857</v>
      </c>
      <c r="AC180" s="37">
        <f>AC179*AC109</f>
        <v>220.0343199325176</v>
      </c>
    </row>
    <row r="181" spans="1:29" x14ac:dyDescent="0.25">
      <c r="A181" s="33" t="s">
        <v>240</v>
      </c>
      <c r="B181" s="26" t="s">
        <v>182</v>
      </c>
      <c r="C181" s="57">
        <f>SUM(E181:AC181)</f>
        <v>35203.191898580706</v>
      </c>
      <c r="E181" s="58">
        <f>E97*E109</f>
        <v>3592.040711064702</v>
      </c>
      <c r="F181" s="58">
        <f>F97*F109</f>
        <v>3257.404707471154</v>
      </c>
      <c r="G181" s="58">
        <f>G97*G109</f>
        <v>2953.925326753583</v>
      </c>
      <c r="H181" s="58">
        <f>H97*H109</f>
        <v>2678.7033151956434</v>
      </c>
      <c r="I181" s="58">
        <f>I97*I109</f>
        <v>2429.109063369284</v>
      </c>
      <c r="J181" s="58">
        <f>J97*J109</f>
        <v>2202.7575406750257</v>
      </c>
      <c r="K181" s="58">
        <f>K97*K109</f>
        <v>1997.4855587733653</v>
      </c>
      <c r="L181" s="58">
        <f>L97*L109</f>
        <v>1811.3311476251058</v>
      </c>
      <c r="M181" s="58">
        <f>M97*M109</f>
        <v>1642.5148479354277</v>
      </c>
      <c r="N181" s="58">
        <f>N97*N109</f>
        <v>1489.4227420106076</v>
      </c>
      <c r="O181" s="58">
        <f>O97*O109</f>
        <v>1350.5910615602556</v>
      </c>
      <c r="P181" s="58">
        <f>P97*P109</f>
        <v>1224.6922259685578</v>
      </c>
      <c r="Q181" s="58">
        <f>Q97*Q109</f>
        <v>1110.5221781574967</v>
      </c>
      <c r="R181" s="58">
        <f>R97*R109</f>
        <v>1006.9888975024257</v>
      </c>
      <c r="S181" s="58">
        <f>S97*S109</f>
        <v>913.1019804527601</v>
      </c>
      <c r="T181" s="58">
        <f>T97*T109</f>
        <v>827.963189664171</v>
      </c>
      <c r="U181" s="58">
        <f>U97*U109</f>
        <v>750.7578816598477</v>
      </c>
      <c r="V181" s="58">
        <f>V97*V109</f>
        <v>680.7472313946233</v>
      </c>
      <c r="W181" s="58">
        <f>W97*W109</f>
        <v>617.2611796763003</v>
      </c>
      <c r="X181" s="58">
        <f>X97*X109</f>
        <v>559.6920362754029</v>
      </c>
      <c r="Y181" s="58">
        <f>Y97*Y109</f>
        <v>507.4886777930462</v>
      </c>
      <c r="Z181" s="58">
        <f>Z97*Z109</f>
        <v>460.1512850159495</v>
      </c>
      <c r="AA181" s="58">
        <f>AA97*AA109</f>
        <v>417.2265696215229</v>
      </c>
      <c r="AB181" s="58">
        <f>AB97*AB109</f>
        <v>378.3034447532238</v>
      </c>
      <c r="AC181" s="58">
        <f>AC97*AC109</f>
        <v>343.0090982112145</v>
      </c>
    </row>
    <row r="182" spans="1:29" x14ac:dyDescent="0.25">
      <c r="A182" s="33" t="s">
        <v>241</v>
      </c>
      <c r="B182" s="26" t="s">
        <v>86</v>
      </c>
      <c r="C182" s="56">
        <f>SUM(E182:AC182)</f>
        <v>26484.464773869408</v>
      </c>
      <c r="E182" s="37">
        <f>E113*E109</f>
        <v>2702.404826033218</v>
      </c>
      <c r="F182" s="37">
        <f>F113*F109</f>
        <v>2450.6476707509696</v>
      </c>
      <c r="G182" s="37">
        <f>G113*G109</f>
        <v>2222.330619519764</v>
      </c>
      <c r="H182" s="37">
        <f>H113*H109</f>
        <v>2015.2724728863727</v>
      </c>
      <c r="I182" s="37">
        <f>I113*I109</f>
        <v>1827.494893248146</v>
      </c>
      <c r="J182" s="37">
        <f>J113*J109</f>
        <v>1657.203547321941</v>
      </c>
      <c r="K182" s="37">
        <f>K113*K109</f>
        <v>1502.771000710846</v>
      </c>
      <c r="L182" s="37">
        <f>L113*L109</f>
        <v>1362.7212018528267</v>
      </c>
      <c r="M182" s="37">
        <f>M113*M109</f>
        <v>1235.7154077399773</v>
      </c>
      <c r="N182" s="37">
        <f>N113*N109</f>
        <v>1120.5394175001024</v>
      </c>
      <c r="O182" s="37">
        <f>O113*O109</f>
        <v>1016.0919923638412</v>
      </c>
      <c r="P182" s="37">
        <f>P113*P109</f>
        <v>921.3743518184696</v>
      </c>
      <c r="Q182" s="37">
        <f>Q113*Q109</f>
        <v>835.4806459808195</v>
      </c>
      <c r="R182" s="37">
        <f>R113*R109</f>
        <v>757.5893135035816</v>
      </c>
      <c r="S182" s="37">
        <f>S113*S109</f>
        <v>686.9552427496361</v>
      </c>
      <c r="T182" s="37">
        <f>T113*T109</f>
        <v>622.9026616079489</v>
      </c>
      <c r="U182" s="37">
        <f>U113*U109</f>
        <v>564.8186882544225</v>
      </c>
      <c r="V182" s="37">
        <f>V113*V109</f>
        <v>512.1474814477526</v>
      </c>
      <c r="W182" s="37">
        <f>W113*W109</f>
        <v>464.3849346534159</v>
      </c>
      <c r="X182" s="37">
        <f>X113*X109</f>
        <v>421.0738634626135</v>
      </c>
      <c r="Y182" s="37">
        <f>Y113*Y109</f>
        <v>381.79964046639157</v>
      </c>
      <c r="Z182" s="37">
        <f>Z113*Z109</f>
        <v>346.1862360028496</v>
      </c>
      <c r="AA182" s="37">
        <f>AA113*AA109</f>
        <v>313.8926270577501</v>
      </c>
      <c r="AB182" s="37">
        <f>AB113*AB109</f>
        <v>284.609540102645</v>
      </c>
      <c r="AC182" s="37">
        <f>AC113*AC109</f>
        <v>258.0564968331149</v>
      </c>
    </row>
    <row r="184" ht="20" customHeight="1" spans="1:29" x14ac:dyDescent="0.25">
      <c r="A184" s="21" t="s">
        <v>242</v>
      </c>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row>
    <row r="185" spans="1:3" x14ac:dyDescent="0.25">
      <c r="A185" s="25" t="s">
        <v>7</v>
      </c>
      <c r="B185" s="26" t="s">
        <v>83</v>
      </c>
      <c r="C185" s="64">
        <f>IFERROR(IRR(D172:AC172),"n/a")</f>
        <v>0.1400000000002308</v>
      </c>
    </row>
    <row r="186" spans="1:3" x14ac:dyDescent="0.25">
      <c r="A186" s="33" t="s">
        <v>9</v>
      </c>
      <c r="B186" s="26" t="s">
        <v>83</v>
      </c>
      <c r="C186" s="32">
        <f>IFERROR(IRR(D176:AC176),"n/a")</f>
        <v>0.09450460533598859</v>
      </c>
    </row>
    <row r="187" spans="1:3" x14ac:dyDescent="0.25">
      <c r="A187" s="33" t="s">
        <v>85</v>
      </c>
      <c r="B187" s="26" t="s">
        <v>86</v>
      </c>
      <c r="C187" s="37">
        <f>D172+NPV($C$67,E172:AC172)</f>
        <v>1.5916157281026244e-12</v>
      </c>
    </row>
    <row r="188" spans="1:3" x14ac:dyDescent="0.25">
      <c r="A188" s="33" t="s">
        <v>87</v>
      </c>
      <c r="B188" s="26" t="s">
        <v>86</v>
      </c>
      <c r="C188" s="37">
        <f>D176+NPV($C$68,E176:AC176)</f>
        <v>-454.5771421820848</v>
      </c>
    </row>
    <row r="189" spans="1:3" x14ac:dyDescent="0.25">
      <c r="A189" s="33" t="s">
        <v>11</v>
      </c>
      <c r="B189" s="26" t="s">
        <v>88</v>
      </c>
      <c r="C189" s="40">
        <f>IF(COUNT(E169:AC169)=0,"",MIN(E169:AC169))</f>
        <v>1.2409240067652667</v>
      </c>
    </row>
    <row r="190" spans="1:3" x14ac:dyDescent="0.25">
      <c r="A190" s="33" t="s">
        <v>12</v>
      </c>
      <c r="B190" s="26" t="s">
        <v>88</v>
      </c>
      <c r="C190" s="40">
        <f>IF(COUNT(E169:AC169)=0,"",AVERAGE(E169:AC169))</f>
        <v>1.497110969947339</v>
      </c>
    </row>
    <row r="191" spans="1:3" x14ac:dyDescent="0.25">
      <c r="A191" s="33" t="s">
        <v>243</v>
      </c>
      <c r="B191" s="26" t="s">
        <v>82</v>
      </c>
      <c r="C191" s="29">
        <f>IF(C181&gt;0,($C$85+C180)*10/C181,"")</f>
        <v>6.992199935943966</v>
      </c>
    </row>
    <row r="192" spans="1:3" x14ac:dyDescent="0.25">
      <c r="A192" s="33" t="s">
        <v>90</v>
      </c>
      <c r="B192" s="26" t="s">
        <v>82</v>
      </c>
      <c r="C192" s="29">
        <f>IF(C181&gt;0,C182*10/C181,"")</f>
        <v>7.523313468327055</v>
      </c>
    </row>
    <row r="193" spans="1:3" x14ac:dyDescent="0.25">
      <c r="A193" s="33" t="s">
        <v>91</v>
      </c>
      <c r="B193" s="26" t="s">
        <v>92</v>
      </c>
      <c r="C193" s="44">
        <f>IF(COUNT(E174:AC174)=0,"beyond the term",MIN(E174:AC174))</f>
        <v>7</v>
      </c>
    </row>
    <row r="195" ht="20" customHeight="1" spans="1:29" x14ac:dyDescent="0.25">
      <c r="A195" s="21" t="s">
        <v>244</v>
      </c>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row>
    <row r="196" spans="1:3" x14ac:dyDescent="0.25">
      <c r="A196" s="33" t="s">
        <v>245</v>
      </c>
      <c r="C196" s="65" t="str">
        <f>IF(ABS($C$86+$C$87-$C$85)&lt;0.001,"OK","CHECK")</f>
        <v>OK</v>
      </c>
    </row>
    <row r="197" spans="1:3" x14ac:dyDescent="0.25">
      <c r="A197" s="33" t="s">
        <v>246</v>
      </c>
      <c r="C197" s="65" t="str">
        <f>IF(ABS(INDEX(E142:AC142,1,$C$89))&lt;0.01,"OK","CHECK")</f>
        <v>OK</v>
      </c>
    </row>
    <row r="198" spans="1:3" x14ac:dyDescent="0.25">
      <c r="A198" s="33" t="s">
        <v>247</v>
      </c>
      <c r="C198" s="65" t="str">
        <f>IF(ABS(C116-C125-C126)&lt;0.01,"OK","CHECK")</f>
        <v>OK</v>
      </c>
    </row>
    <row r="199" spans="1:3" x14ac:dyDescent="0.25">
      <c r="A199" s="33" t="s">
        <v>248</v>
      </c>
      <c r="C199" s="65" t="str">
        <f>IF(MIN(E160:AC160)&gt;=-1E-9,"OK","CHECK")</f>
        <v>OK</v>
      </c>
    </row>
    <row r="200" spans="1:3" x14ac:dyDescent="0.25">
      <c r="A200" s="33" t="s">
        <v>249</v>
      </c>
      <c r="C200" s="65" t="str">
        <f>IF(ISNUMBER($C$10),IF($C$10&gt;=$C$67-1E-5,"OK","Below target"),"No IRR")</f>
        <v>OK</v>
      </c>
    </row>
    <row r="201" spans="1:3" x14ac:dyDescent="0.25">
      <c r="A201" s="33" t="s">
        <v>250</v>
      </c>
      <c r="C201" s="65" t="str">
        <f>IF(ISNUMBER($C$15),IF($C$15&gt;=1,"OK","Below 1.0"),"OK")</f>
        <v>OK</v>
      </c>
    </row>
  </sheetData>
  <conditionalFormatting sqref="F9:F24">
    <cfRule type="expression" dxfId="0" priority="1">
      <formula>OR(F9="Yes",F9="OK")</formula>
    </cfRule>
    <cfRule type="expression" dxfId="1" priority="2">
      <formula>OR(F9="Changed",F9="CHECK")</formula>
    </cfRule>
  </conditionalFormatting>
  <conditionalFormatting sqref="C196:C201">
    <cfRule type="expression" dxfId="2" priority="3">
      <formula>C196="OK"</formula>
    </cfRule>
    <cfRule type="expression" dxfId="3" priority="4">
      <formula>C196&lt;&gt;"OK"</formula>
    </cfRule>
  </conditionalFormatting>
  <dataValidations count="4">
    <dataValidation type="list" showErrorMessage="1" errorTitle="Choose from the list" error="One of: Yes, No" sqref="C53">
      <formula1>"Yes,No"</formula1>
    </dataValidation>
    <dataValidation type="list" showErrorMessage="1" errorTitle="Choose from the list" error="One of: annual, oneTime, none" sqref="C58">
      <formula1>"annual,oneTime,none"</formula1>
    </dataValidation>
    <dataValidation type="list" showErrorMessage="1" errorTitle="Choose from the list" error="One of: annuity, equal" sqref="C66">
      <formula1>"annuity,equal"</formula1>
    </dataValidation>
    <dataValidation type="list" showErrorMessage="1" errorTitle="Choose from the list" error="One of: wdv, slm" sqref="C71">
      <formula1>"wdv,slm"</formula1>
    </dataValidation>
  </dataValidations>
  <pageSetup orientation="landscape" fitToWidth="1" fitToHeight="0"/>
  <headerFooter>
    <oddFooter>&amp;L&amp;A&amp;R&amp;P /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40" customWidth="1"/>
    <col min="3" max="3" width="7" customWidth="1"/>
    <col min="4" max="4" width="60" customWidth="1"/>
    <col min="5" max="5" width="44" customWidth="1"/>
    <col min="6" max="6" width="12" customWidth="1"/>
  </cols>
  <sheetData>
    <row r="1" spans="1:6" s="66" customFormat="1" x14ac:dyDescent="0.25">
      <c r="A1" s="66" t="s">
        <v>251</v>
      </c>
      <c r="B1" s="66" t="s">
        <v>252</v>
      </c>
      <c r="C1" s="66" t="s">
        <v>253</v>
      </c>
      <c r="D1" s="66" t="s">
        <v>254</v>
      </c>
      <c r="E1" s="66" t="s">
        <v>255</v>
      </c>
      <c r="F1" s="66" t="s">
        <v>256</v>
      </c>
    </row>
    <row r="2" spans="1:6" s="67" customFormat="1" x14ac:dyDescent="0.25">
      <c r="A2" s="67" t="s">
        <v>257</v>
      </c>
      <c r="B2" s="67" t="s">
        <v>258</v>
      </c>
      <c r="C2" s="67">
        <v>1</v>
      </c>
      <c r="D2" s="67" t="s">
        <v>259</v>
      </c>
      <c r="E2" s="67" t="s">
        <v>260</v>
      </c>
      <c r="F2" s="68" t="s">
        <v>261</v>
      </c>
    </row>
    <row r="3" spans="1:6" s="67" customFormat="1" x14ac:dyDescent="0.25">
      <c r="A3" s="67" t="s">
        <v>262</v>
      </c>
      <c r="B3" s="67" t="s">
        <v>263</v>
      </c>
      <c r="C3" s="67">
        <v>2</v>
      </c>
      <c r="D3" s="67" t="s">
        <v>264</v>
      </c>
      <c r="E3" s="67" t="s">
        <v>265</v>
      </c>
      <c r="F3" s="68" t="s">
        <v>261</v>
      </c>
    </row>
    <row r="4" spans="1:6" s="67" customFormat="1" x14ac:dyDescent="0.25">
      <c r="A4" s="67" t="s">
        <v>28</v>
      </c>
      <c r="B4" s="67" t="s">
        <v>266</v>
      </c>
      <c r="C4" s="67">
        <v>66</v>
      </c>
      <c r="D4" s="67" t="s">
        <v>267</v>
      </c>
      <c r="E4" s="67" t="s">
        <v>268</v>
      </c>
      <c r="F4" s="69" t="s">
        <v>269</v>
      </c>
    </row>
    <row r="5" spans="1:6" s="67" customFormat="1" x14ac:dyDescent="0.25">
      <c r="A5" s="67" t="s">
        <v>270</v>
      </c>
      <c r="B5" s="67" t="s">
        <v>271</v>
      </c>
      <c r="C5" s="67">
        <v>10</v>
      </c>
      <c r="D5" s="67" t="s">
        <v>272</v>
      </c>
      <c r="E5" s="67" t="s">
        <v>273</v>
      </c>
      <c r="F5" s="68" t="s">
        <v>261</v>
      </c>
    </row>
    <row r="6" spans="1:6" s="67" customFormat="1" x14ac:dyDescent="0.25">
      <c r="A6" s="67" t="s">
        <v>274</v>
      </c>
      <c r="B6" s="67" t="s">
        <v>275</v>
      </c>
      <c r="C6" s="67">
        <v>21</v>
      </c>
      <c r="D6" s="67" t="s">
        <v>276</v>
      </c>
      <c r="E6" s="67" t="s">
        <v>277</v>
      </c>
      <c r="F6" s="68" t="s">
        <v>261</v>
      </c>
    </row>
    <row r="7" spans="1:6" s="67" customFormat="1" x14ac:dyDescent="0.25">
      <c r="A7" s="67" t="s">
        <v>278</v>
      </c>
      <c r="B7" s="67" t="s">
        <v>279</v>
      </c>
      <c r="C7" s="67">
        <v>12</v>
      </c>
      <c r="D7" s="67" t="s">
        <v>280</v>
      </c>
      <c r="E7" s="67" t="s">
        <v>281</v>
      </c>
      <c r="F7" s="70" t="s">
        <v>282</v>
      </c>
    </row>
    <row r="8" spans="1:6" s="67" customFormat="1" x14ac:dyDescent="0.25">
      <c r="A8" s="67" t="s">
        <v>61</v>
      </c>
      <c r="B8" s="67" t="s">
        <v>62</v>
      </c>
      <c r="C8" s="67">
        <v>6</v>
      </c>
      <c r="D8" s="67" t="s">
        <v>283</v>
      </c>
      <c r="E8" s="67" t="s">
        <v>284</v>
      </c>
      <c r="F8" s="68" t="s">
        <v>261</v>
      </c>
    </row>
    <row r="9" spans="1:6" s="67" customFormat="1" x14ac:dyDescent="0.25">
      <c r="A9" s="67" t="s">
        <v>64</v>
      </c>
      <c r="B9" s="67" t="s">
        <v>59</v>
      </c>
      <c r="C9" s="67"/>
      <c r="D9" s="67" t="s">
        <v>8</v>
      </c>
      <c r="E9" s="67" t="s">
        <v>285</v>
      </c>
      <c r="F9" s="70" t="s">
        <v>286</v>
      </c>
    </row>
    <row r="10" spans="1:6" s="67" customFormat="1" x14ac:dyDescent="0.25">
      <c r="A10" s="67" t="s">
        <v>287</v>
      </c>
      <c r="B10" s="67" t="s">
        <v>288</v>
      </c>
      <c r="C10" s="67">
        <v>35</v>
      </c>
      <c r="D10" s="67" t="s">
        <v>289</v>
      </c>
      <c r="E10" s="67" t="s">
        <v>290</v>
      </c>
      <c r="F10" s="70" t="s">
        <v>282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6" customWidth="1"/>
    <col min="5" max="5" width="46" customWidth="1"/>
  </cols>
  <sheetData>
    <row r="1" spans="1:5" s="66" customFormat="1" x14ac:dyDescent="0.25">
      <c r="A1" s="66" t="s">
        <v>291</v>
      </c>
      <c r="B1" s="66" t="s">
        <v>69</v>
      </c>
      <c r="C1" s="66" t="s">
        <v>292</v>
      </c>
      <c r="D1" s="66" t="s">
        <v>74</v>
      </c>
      <c r="E1" s="66" t="s">
        <v>293</v>
      </c>
    </row>
    <row r="2" spans="1:5" x14ac:dyDescent="0.25">
      <c r="A2" t="s">
        <v>294</v>
      </c>
      <c r="B2" t="s">
        <v>257</v>
      </c>
      <c r="C2" s="71">
        <v>500</v>
      </c>
      <c r="D2" t="s">
        <v>106</v>
      </c>
      <c r="E2" t="s">
        <v>295</v>
      </c>
    </row>
    <row r="3" spans="1:5" x14ac:dyDescent="0.25">
      <c r="A3" t="s">
        <v>294</v>
      </c>
      <c r="B3" t="s">
        <v>296</v>
      </c>
      <c r="C3" t="s">
        <v>136</v>
      </c>
      <c r="D3" t="s">
        <v>8</v>
      </c>
      <c r="E3" t="s">
        <v>295</v>
      </c>
    </row>
    <row r="4" spans="1:5" x14ac:dyDescent="0.25">
      <c r="A4" t="s">
        <v>40</v>
      </c>
      <c r="B4" t="s">
        <v>54</v>
      </c>
      <c r="C4" t="s">
        <v>297</v>
      </c>
      <c r="D4" t="s">
        <v>106</v>
      </c>
      <c r="E4" t="s">
        <v>298</v>
      </c>
    </row>
    <row r="5" spans="1:5" x14ac:dyDescent="0.25">
      <c r="A5" t="s">
        <v>40</v>
      </c>
      <c r="B5" t="s">
        <v>299</v>
      </c>
      <c r="C5" s="72">
        <v>0.25</v>
      </c>
      <c r="D5" t="s">
        <v>83</v>
      </c>
      <c r="E5" s="73" t="s">
        <v>104</v>
      </c>
    </row>
    <row r="6" spans="1:5" x14ac:dyDescent="0.25">
      <c r="A6" t="s">
        <v>40</v>
      </c>
      <c r="B6" t="s">
        <v>300</v>
      </c>
      <c r="C6" s="71">
        <v>1.4</v>
      </c>
      <c r="D6" t="s">
        <v>88</v>
      </c>
      <c r="E6" s="73" t="s">
        <v>104</v>
      </c>
    </row>
    <row r="7" spans="1:5" x14ac:dyDescent="0.25">
      <c r="A7" t="s">
        <v>40</v>
      </c>
      <c r="B7" t="s">
        <v>301</v>
      </c>
      <c r="C7" s="72">
        <v>0.005</v>
      </c>
      <c r="D7" t="s">
        <v>83</v>
      </c>
      <c r="E7" s="73" t="s">
        <v>104</v>
      </c>
    </row>
    <row r="8" spans="1:5" x14ac:dyDescent="0.25">
      <c r="A8" t="s">
        <v>40</v>
      </c>
      <c r="B8" t="s">
        <v>302</v>
      </c>
      <c r="C8" s="71">
        <v>4</v>
      </c>
      <c r="D8" t="s">
        <v>112</v>
      </c>
      <c r="E8" s="73" t="s">
        <v>104</v>
      </c>
    </row>
    <row r="9" spans="1:5" x14ac:dyDescent="0.25">
      <c r="A9" t="s">
        <v>40</v>
      </c>
      <c r="B9" t="s">
        <v>303</v>
      </c>
      <c r="C9" s="71">
        <v>4</v>
      </c>
      <c r="D9" t="s">
        <v>121</v>
      </c>
      <c r="E9" s="73" t="s">
        <v>104</v>
      </c>
    </row>
    <row r="10" spans="1:5" x14ac:dyDescent="0.25">
      <c r="A10" t="s">
        <v>42</v>
      </c>
      <c r="B10" t="s">
        <v>54</v>
      </c>
      <c r="C10" t="s">
        <v>297</v>
      </c>
      <c r="D10" t="s">
        <v>106</v>
      </c>
      <c r="E10" t="s">
        <v>298</v>
      </c>
    </row>
    <row r="11" spans="1:5" x14ac:dyDescent="0.25">
      <c r="A11" t="s">
        <v>42</v>
      </c>
      <c r="B11" t="s">
        <v>304</v>
      </c>
      <c r="C11" s="72">
        <v>0.9</v>
      </c>
      <c r="D11" t="s">
        <v>83</v>
      </c>
      <c r="E11" s="73" t="s">
        <v>104</v>
      </c>
    </row>
    <row r="12" spans="1:5" x14ac:dyDescent="0.25">
      <c r="A12" t="s">
        <v>42</v>
      </c>
      <c r="B12" t="s">
        <v>305</v>
      </c>
      <c r="C12" s="72">
        <v>0.8</v>
      </c>
      <c r="D12" t="s">
        <v>83</v>
      </c>
      <c r="E12" s="73" t="s">
        <v>104</v>
      </c>
    </row>
    <row r="13" spans="1:5" x14ac:dyDescent="0.25">
      <c r="A13" t="s">
        <v>42</v>
      </c>
      <c r="B13" t="s">
        <v>306</v>
      </c>
      <c r="C13" s="72">
        <v>0.55</v>
      </c>
      <c r="D13" t="s">
        <v>83</v>
      </c>
      <c r="E13" s="73" t="s">
        <v>104</v>
      </c>
    </row>
    <row r="14" spans="1:5" x14ac:dyDescent="0.25">
      <c r="A14" t="s">
        <v>42</v>
      </c>
      <c r="B14" t="s">
        <v>307</v>
      </c>
      <c r="C14" s="72">
        <v>0.01</v>
      </c>
      <c r="D14" t="s">
        <v>83</v>
      </c>
      <c r="E14" s="73" t="s">
        <v>104</v>
      </c>
    </row>
    <row r="15" spans="1:5" x14ac:dyDescent="0.25">
      <c r="A15" t="s">
        <v>42</v>
      </c>
      <c r="B15" t="s">
        <v>302</v>
      </c>
      <c r="C15" s="71">
        <v>7</v>
      </c>
      <c r="D15" t="s">
        <v>112</v>
      </c>
      <c r="E15" s="73" t="s">
        <v>104</v>
      </c>
    </row>
    <row r="16" spans="1:5" x14ac:dyDescent="0.25">
      <c r="A16" t="s">
        <v>42</v>
      </c>
      <c r="B16" t="s">
        <v>303</v>
      </c>
      <c r="C16" s="71">
        <v>40</v>
      </c>
      <c r="D16" t="s">
        <v>121</v>
      </c>
      <c r="E16" s="73" t="s">
        <v>104</v>
      </c>
    </row>
    <row r="17" spans="1:5" x14ac:dyDescent="0.25">
      <c r="A17" t="s">
        <v>42</v>
      </c>
      <c r="B17" t="s">
        <v>308</v>
      </c>
      <c r="C17" s="71">
        <v>4.5</v>
      </c>
      <c r="D17" t="s">
        <v>82</v>
      </c>
      <c r="E17" s="73" t="s">
        <v>104</v>
      </c>
    </row>
    <row r="18" spans="1:5" x14ac:dyDescent="0.25">
      <c r="A18" t="s">
        <v>42</v>
      </c>
      <c r="B18" t="s">
        <v>309</v>
      </c>
      <c r="C18" s="72">
        <v>0.05</v>
      </c>
      <c r="D18" t="s">
        <v>83</v>
      </c>
      <c r="E18" s="73" t="s">
        <v>104</v>
      </c>
    </row>
    <row r="19" spans="1:5" x14ac:dyDescent="0.25">
      <c r="A19" t="s">
        <v>28</v>
      </c>
      <c r="B19" t="s">
        <v>54</v>
      </c>
      <c r="C19" t="s">
        <v>297</v>
      </c>
      <c r="D19" t="s">
        <v>106</v>
      </c>
      <c r="E19" t="s">
        <v>298</v>
      </c>
    </row>
    <row r="20" spans="1:5" x14ac:dyDescent="0.25">
      <c r="A20" t="s">
        <v>28</v>
      </c>
      <c r="B20" t="s">
        <v>310</v>
      </c>
      <c r="C20" t="s">
        <v>311</v>
      </c>
      <c r="D20" t="s">
        <v>8</v>
      </c>
      <c r="E20" s="73" t="s">
        <v>104</v>
      </c>
    </row>
    <row r="21" spans="1:5" x14ac:dyDescent="0.25">
      <c r="A21" t="s">
        <v>28</v>
      </c>
      <c r="B21" t="s">
        <v>312</v>
      </c>
      <c r="C21" s="72">
        <v>0.87</v>
      </c>
      <c r="D21" t="s">
        <v>83</v>
      </c>
      <c r="E21" s="73" t="s">
        <v>104</v>
      </c>
    </row>
    <row r="22" spans="1:5" x14ac:dyDescent="0.25">
      <c r="A22" t="s">
        <v>28</v>
      </c>
      <c r="B22" t="s">
        <v>313</v>
      </c>
      <c r="C22" s="72">
        <v>0.05</v>
      </c>
      <c r="D22" t="s">
        <v>83</v>
      </c>
      <c r="E22" s="73" t="s">
        <v>104</v>
      </c>
    </row>
    <row r="23" spans="1:5" x14ac:dyDescent="0.25">
      <c r="A23" t="s">
        <v>28</v>
      </c>
      <c r="B23" t="s">
        <v>314</v>
      </c>
      <c r="C23" s="72">
        <v>0.95</v>
      </c>
      <c r="D23" t="s">
        <v>83</v>
      </c>
      <c r="E23" s="73" t="s">
        <v>104</v>
      </c>
    </row>
    <row r="24" spans="1:5" x14ac:dyDescent="0.25">
      <c r="A24" t="s">
        <v>28</v>
      </c>
      <c r="B24" t="s">
        <v>315</v>
      </c>
      <c r="C24" s="72">
        <v>0.02</v>
      </c>
      <c r="D24" t="s">
        <v>83</v>
      </c>
      <c r="E24" s="73" t="s">
        <v>104</v>
      </c>
    </row>
    <row r="25" spans="1:5" x14ac:dyDescent="0.25">
      <c r="A25" t="s">
        <v>28</v>
      </c>
      <c r="B25" t="s">
        <v>144</v>
      </c>
      <c r="C25" t="s">
        <v>316</v>
      </c>
      <c r="D25" t="s">
        <v>8</v>
      </c>
      <c r="E25" s="73" t="s">
        <v>104</v>
      </c>
    </row>
    <row r="26" spans="1:5" x14ac:dyDescent="0.25">
      <c r="A26" t="s">
        <v>28</v>
      </c>
      <c r="B26" t="s">
        <v>302</v>
      </c>
      <c r="C26" s="71">
        <v>1.2</v>
      </c>
      <c r="D26" t="s">
        <v>113</v>
      </c>
      <c r="E26" s="73" t="s">
        <v>104</v>
      </c>
    </row>
    <row r="27" spans="1:5" x14ac:dyDescent="0.25">
      <c r="A27" t="s">
        <v>28</v>
      </c>
      <c r="B27" t="s">
        <v>303</v>
      </c>
      <c r="C27" s="71">
        <v>1.2</v>
      </c>
      <c r="D27" t="s">
        <v>123</v>
      </c>
      <c r="E27" s="73" t="s">
        <v>104</v>
      </c>
    </row>
    <row r="28" spans="1:5" x14ac:dyDescent="0.25">
      <c r="A28" t="s">
        <v>45</v>
      </c>
      <c r="B28" t="s">
        <v>159</v>
      </c>
      <c r="C28" s="72">
        <v>0.14</v>
      </c>
      <c r="D28" t="s">
        <v>83</v>
      </c>
      <c r="E28" s="73" t="s">
        <v>104</v>
      </c>
    </row>
    <row r="29" spans="1:5" x14ac:dyDescent="0.25">
      <c r="A29" t="s">
        <v>45</v>
      </c>
      <c r="B29" t="s">
        <v>151</v>
      </c>
      <c r="C29" s="72">
        <v>0.7</v>
      </c>
      <c r="D29" t="s">
        <v>83</v>
      </c>
      <c r="E29" s="73" t="s">
        <v>104</v>
      </c>
    </row>
    <row r="30" spans="1:5" x14ac:dyDescent="0.25">
      <c r="A30" t="s">
        <v>45</v>
      </c>
      <c r="B30" t="s">
        <v>153</v>
      </c>
      <c r="C30" s="72">
        <v>0.09</v>
      </c>
      <c r="D30" t="s">
        <v>83</v>
      </c>
      <c r="E30" s="73" t="s">
        <v>104</v>
      </c>
    </row>
    <row r="31" spans="1:5" x14ac:dyDescent="0.25">
      <c r="A31" t="s">
        <v>45</v>
      </c>
      <c r="B31" t="s">
        <v>154</v>
      </c>
      <c r="C31" s="71">
        <v>15</v>
      </c>
      <c r="D31" t="s">
        <v>155</v>
      </c>
      <c r="E31" s="73" t="s">
        <v>104</v>
      </c>
    </row>
    <row r="32" spans="1:5" x14ac:dyDescent="0.25">
      <c r="A32" t="s">
        <v>45</v>
      </c>
      <c r="B32" t="s">
        <v>162</v>
      </c>
      <c r="C32" s="72">
        <v>0.2517</v>
      </c>
      <c r="D32" t="s">
        <v>83</v>
      </c>
      <c r="E32" s="73" t="s">
        <v>104</v>
      </c>
    </row>
    <row r="33" spans="1:5" x14ac:dyDescent="0.25">
      <c r="A33" t="s">
        <v>45</v>
      </c>
      <c r="B33" t="s">
        <v>125</v>
      </c>
      <c r="C33" s="72">
        <v>0.05</v>
      </c>
      <c r="D33" t="s">
        <v>83</v>
      </c>
      <c r="E33" s="73" t="s">
        <v>104</v>
      </c>
    </row>
    <row r="34" spans="1:5" x14ac:dyDescent="0.25">
      <c r="A34" t="s">
        <v>45</v>
      </c>
      <c r="B34" t="s">
        <v>126</v>
      </c>
      <c r="C34" s="72">
        <v>0.003</v>
      </c>
      <c r="D34" t="s">
        <v>83</v>
      </c>
      <c r="E34" s="73" t="s">
        <v>104</v>
      </c>
    </row>
    <row r="35" spans="1:5" x14ac:dyDescent="0.25">
      <c r="A35" t="s">
        <v>45</v>
      </c>
      <c r="B35" t="s">
        <v>102</v>
      </c>
      <c r="C35" s="72">
        <v>0</v>
      </c>
      <c r="D35" t="s">
        <v>83</v>
      </c>
      <c r="E35" s="73" t="s">
        <v>104</v>
      </c>
    </row>
    <row r="36" spans="1:5" x14ac:dyDescent="0.25">
      <c r="A36" t="s">
        <v>45</v>
      </c>
      <c r="B36" t="s">
        <v>317</v>
      </c>
      <c r="C36" s="72">
        <v>0.05</v>
      </c>
      <c r="D36" t="s">
        <v>83</v>
      </c>
      <c r="E36" s="73" t="s">
        <v>104</v>
      </c>
    </row>
    <row r="37" spans="1:5" x14ac:dyDescent="0.25">
      <c r="A37" t="s">
        <v>45</v>
      </c>
      <c r="B37" t="s">
        <v>116</v>
      </c>
      <c r="C37" s="71">
        <v>0</v>
      </c>
      <c r="D37" t="s">
        <v>86</v>
      </c>
      <c r="E37" s="73" t="s">
        <v>104</v>
      </c>
    </row>
    <row r="38" spans="1:5" x14ac:dyDescent="0.25">
      <c r="A38" t="s">
        <v>45</v>
      </c>
      <c r="B38" t="s">
        <v>156</v>
      </c>
      <c r="C38" t="s">
        <v>158</v>
      </c>
      <c r="D38" t="s">
        <v>8</v>
      </c>
      <c r="E38" t="s">
        <v>318</v>
      </c>
    </row>
    <row r="39" spans="1:5" x14ac:dyDescent="0.25">
      <c r="A39" t="s">
        <v>45</v>
      </c>
      <c r="B39" t="s">
        <v>163</v>
      </c>
      <c r="C39" t="s">
        <v>165</v>
      </c>
      <c r="D39" t="s">
        <v>8</v>
      </c>
      <c r="E39" t="s">
        <v>318</v>
      </c>
    </row>
    <row r="40" spans="1:5" x14ac:dyDescent="0.25">
      <c r="A40" t="s">
        <v>45</v>
      </c>
      <c r="B40" t="s">
        <v>166</v>
      </c>
      <c r="C40" s="72">
        <v>0.4</v>
      </c>
      <c r="D40" t="s">
        <v>83</v>
      </c>
      <c r="E40" t="s">
        <v>318</v>
      </c>
    </row>
    <row r="41" spans="1:5" x14ac:dyDescent="0.25">
      <c r="A41" t="s">
        <v>45</v>
      </c>
      <c r="B41" t="s">
        <v>167</v>
      </c>
      <c r="C41" s="71">
        <v>25</v>
      </c>
      <c r="D41" t="s">
        <v>155</v>
      </c>
      <c r="E41" t="s">
        <v>318</v>
      </c>
    </row>
    <row r="42" spans="1:5" x14ac:dyDescent="0.25">
      <c r="A42" t="s">
        <v>45</v>
      </c>
      <c r="B42" t="s">
        <v>168</v>
      </c>
      <c r="C42" s="72">
        <v>0.1</v>
      </c>
      <c r="D42" t="s">
        <v>83</v>
      </c>
      <c r="E42" t="s">
        <v>318</v>
      </c>
    </row>
    <row r="43" spans="1:5" x14ac:dyDescent="0.25">
      <c r="A43" t="s">
        <v>45</v>
      </c>
      <c r="B43" t="s">
        <v>169</v>
      </c>
      <c r="C43" s="71">
        <v>45</v>
      </c>
      <c r="D43" t="s">
        <v>170</v>
      </c>
      <c r="E43" t="s">
        <v>318</v>
      </c>
    </row>
    <row r="44" spans="1:5" x14ac:dyDescent="0.25">
      <c r="A44" t="s">
        <v>45</v>
      </c>
      <c r="B44" t="s">
        <v>319</v>
      </c>
      <c r="C44" s="72">
        <v>0.1</v>
      </c>
      <c r="D44" t="s">
        <v>83</v>
      </c>
      <c r="E44" t="s">
        <v>318</v>
      </c>
    </row>
    <row r="45" spans="1:5" x14ac:dyDescent="0.25">
      <c r="A45" t="s">
        <v>320</v>
      </c>
      <c r="B45" t="s">
        <v>321</v>
      </c>
      <c r="C45" t="s">
        <v>136</v>
      </c>
      <c r="D45" t="s">
        <v>8</v>
      </c>
      <c r="E45" s="73" t="s">
        <v>104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1" width="40" customWidth="1"/>
    <col min="2" max="2" width="18" customWidth="1"/>
    <col min="3" max="3" width="50" customWidth="1"/>
  </cols>
  <sheetData>
    <row r="1" spans="1:3" s="66" customFormat="1" x14ac:dyDescent="0.25">
      <c r="A1" s="66" t="s">
        <v>322</v>
      </c>
      <c r="B1" s="66" t="s">
        <v>292</v>
      </c>
      <c r="C1" s="66" t="s">
        <v>323</v>
      </c>
    </row>
    <row r="2" spans="1:3" x14ac:dyDescent="0.25">
      <c r="A2" t="s">
        <v>30</v>
      </c>
      <c r="B2" s="11">
        <v>500</v>
      </c>
      <c r="C2" t="s">
        <v>31</v>
      </c>
    </row>
    <row r="3" spans="1:3" x14ac:dyDescent="0.25">
      <c r="A3" t="s">
        <v>32</v>
      </c>
      <c r="B3" s="11">
        <v>1484.3823608169218</v>
      </c>
      <c r="C3" t="s">
        <v>33</v>
      </c>
    </row>
    <row r="4" spans="1:3" x14ac:dyDescent="0.25">
      <c r="A4" t="s">
        <v>34</v>
      </c>
      <c r="B4" s="11">
        <v>170.12629598950573</v>
      </c>
      <c r="C4" t="s">
        <v>35</v>
      </c>
    </row>
    <row r="5" spans="1:3" x14ac:dyDescent="0.25">
      <c r="A5" t="s">
        <v>36</v>
      </c>
      <c r="B5" s="11">
        <v>1205.7426353165583</v>
      </c>
      <c r="C5" t="s">
        <v>8</v>
      </c>
    </row>
    <row r="6" spans="1:3" x14ac:dyDescent="0.25">
      <c r="A6" t="s">
        <v>37</v>
      </c>
      <c r="B6" s="11">
        <v>4822.970541266233</v>
      </c>
      <c r="C6" t="s">
        <v>8</v>
      </c>
    </row>
    <row r="8" spans="1:3" s="66" customFormat="1" x14ac:dyDescent="0.25">
      <c r="A8" s="66" t="s">
        <v>302</v>
      </c>
      <c r="B8" s="66" t="s">
        <v>324</v>
      </c>
      <c r="C8" s="66" t="s">
        <v>323</v>
      </c>
    </row>
    <row r="9" spans="1:3" x14ac:dyDescent="0.25">
      <c r="A9" t="s">
        <v>40</v>
      </c>
      <c r="B9" s="8">
        <v>6234.405915431072</v>
      </c>
      <c r="C9" t="s">
        <v>8</v>
      </c>
    </row>
    <row r="10" spans="1:3" x14ac:dyDescent="0.25">
      <c r="A10" t="s">
        <v>42</v>
      </c>
      <c r="B10" s="8">
        <v>1250.4282755228671</v>
      </c>
      <c r="C10" t="s">
        <v>8</v>
      </c>
    </row>
    <row r="11" spans="1:3" x14ac:dyDescent="0.25">
      <c r="A11" t="s">
        <v>28</v>
      </c>
      <c r="B11" s="8">
        <v>6076.942881995454</v>
      </c>
      <c r="C11" t="s">
        <v>8</v>
      </c>
    </row>
    <row r="12" spans="1:3" x14ac:dyDescent="0.25">
      <c r="A12" t="s">
        <v>116</v>
      </c>
      <c r="B12" s="8">
        <v>0</v>
      </c>
      <c r="C12" t="s">
        <v>8</v>
      </c>
    </row>
    <row r="13" spans="1:3" x14ac:dyDescent="0.25">
      <c r="A13" t="s">
        <v>325</v>
      </c>
      <c r="B13" s="8">
        <v>13561.777072949393</v>
      </c>
      <c r="C13" t="s">
        <v>326</v>
      </c>
    </row>
    <row r="14" spans="1:3" x14ac:dyDescent="0.25">
      <c r="A14" t="s">
        <v>94</v>
      </c>
      <c r="B14" s="8">
        <v>9493.243951064575</v>
      </c>
      <c r="C14" t="s">
        <v>327</v>
      </c>
    </row>
    <row r="15" spans="1:3" x14ac:dyDescent="0.25">
      <c r="A15" t="s">
        <v>95</v>
      </c>
      <c r="B15" s="8">
        <v>4068.5331218848187</v>
      </c>
      <c r="C15" t="s">
        <v>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
  <sheetViews>
    <sheetView workbookViewId="0">
      <pane xSplit="3" ySplit="1" topLeftCell="D2" activePane="bottomRight" state="frozen"/>
      <selection pane="bottomRight"/>
    </sheetView>
  </sheetViews>
  <sheetFormatPr defaultRowHeight="15" outlineLevelRow="0" outlineLevelCol="0" x14ac:dyDescent="55"/>
  <cols>
    <col min="1" max="1" width="38" customWidth="1"/>
    <col min="3" max="28" width="12" customWidth="1"/>
  </cols>
  <sheetData>
    <row r="1" spans="1:28" s="66" customFormat="1" x14ac:dyDescent="0.25">
      <c r="A1" s="66" t="s">
        <v>73</v>
      </c>
      <c r="B1" s="66" t="s">
        <v>74</v>
      </c>
      <c r="C1" s="66" t="s">
        <v>328</v>
      </c>
      <c r="D1" s="66" t="s">
        <v>329</v>
      </c>
      <c r="E1" s="66" t="s">
        <v>330</v>
      </c>
      <c r="F1" s="66" t="s">
        <v>331</v>
      </c>
      <c r="G1" s="66" t="s">
        <v>332</v>
      </c>
      <c r="H1" s="66" t="s">
        <v>333</v>
      </c>
      <c r="I1" s="66" t="s">
        <v>334</v>
      </c>
      <c r="J1" s="66" t="s">
        <v>335</v>
      </c>
      <c r="K1" s="66" t="s">
        <v>336</v>
      </c>
      <c r="L1" s="66" t="s">
        <v>337</v>
      </c>
      <c r="M1" s="66" t="s">
        <v>338</v>
      </c>
      <c r="N1" s="66" t="s">
        <v>339</v>
      </c>
      <c r="O1" s="66" t="s">
        <v>340</v>
      </c>
      <c r="P1" s="66" t="s">
        <v>341</v>
      </c>
      <c r="Q1" s="66" t="s">
        <v>342</v>
      </c>
      <c r="R1" s="66" t="s">
        <v>343</v>
      </c>
      <c r="S1" s="66" t="s">
        <v>344</v>
      </c>
      <c r="T1" s="66" t="s">
        <v>345</v>
      </c>
      <c r="U1" s="66" t="s">
        <v>346</v>
      </c>
      <c r="V1" s="66" t="s">
        <v>347</v>
      </c>
      <c r="W1" s="66" t="s">
        <v>348</v>
      </c>
      <c r="X1" s="66" t="s">
        <v>349</v>
      </c>
      <c r="Y1" s="66" t="s">
        <v>350</v>
      </c>
      <c r="Z1" s="66" t="s">
        <v>351</v>
      </c>
      <c r="AA1" s="66" t="s">
        <v>352</v>
      </c>
      <c r="AB1" s="66" t="s">
        <v>353</v>
      </c>
    </row>
    <row r="2" spans="1:1" s="5" customFormat="1" x14ac:dyDescent="0.25">
      <c r="A2" s="5" t="s">
        <v>354</v>
      </c>
    </row>
    <row r="3" spans="1:28" x14ac:dyDescent="0.25">
      <c r="A3" t="s">
        <v>181</v>
      </c>
      <c r="B3" t="s">
        <v>182</v>
      </c>
      <c r="C3" s="74">
        <v>109500</v>
      </c>
      <c r="D3" s="74">
        <v>4380</v>
      </c>
      <c r="E3" s="74">
        <v>4380</v>
      </c>
      <c r="F3" s="74">
        <v>4380</v>
      </c>
      <c r="G3" s="74">
        <v>4380</v>
      </c>
      <c r="H3" s="74">
        <v>4380</v>
      </c>
      <c r="I3" s="74">
        <v>4380</v>
      </c>
      <c r="J3" s="74">
        <v>4380</v>
      </c>
      <c r="K3" s="74">
        <v>4380</v>
      </c>
      <c r="L3" s="74">
        <v>4380</v>
      </c>
      <c r="M3" s="74">
        <v>4380</v>
      </c>
      <c r="N3" s="74">
        <v>4380</v>
      </c>
      <c r="O3" s="74">
        <v>4380</v>
      </c>
      <c r="P3" s="74">
        <v>4380</v>
      </c>
      <c r="Q3" s="74">
        <v>4380</v>
      </c>
      <c r="R3" s="74">
        <v>4380</v>
      </c>
      <c r="S3" s="74">
        <v>4380</v>
      </c>
      <c r="T3" s="74">
        <v>4380</v>
      </c>
      <c r="U3" s="74">
        <v>4380</v>
      </c>
      <c r="V3" s="74">
        <v>4380</v>
      </c>
      <c r="W3" s="74">
        <v>4380</v>
      </c>
      <c r="X3" s="74">
        <v>4380</v>
      </c>
      <c r="Y3" s="74">
        <v>4380</v>
      </c>
      <c r="Z3" s="74">
        <v>4380</v>
      </c>
      <c r="AA3" s="74">
        <v>4380</v>
      </c>
      <c r="AB3" s="74">
        <v>4380</v>
      </c>
    </row>
    <row r="4" spans="1:28" x14ac:dyDescent="0.25">
      <c r="A4" t="s">
        <v>183</v>
      </c>
      <c r="B4" t="s">
        <v>182</v>
      </c>
      <c r="C4" s="74">
        <v>95845.5937149564</v>
      </c>
      <c r="D4" s="74">
        <v>3951.2447821711726</v>
      </c>
      <c r="E4" s="74">
        <v>3941.4596960400963</v>
      </c>
      <c r="F4" s="74">
        <v>3931.6746099090196</v>
      </c>
      <c r="G4" s="74">
        <v>3921.889523777943</v>
      </c>
      <c r="H4" s="74">
        <v>3912.104437646867</v>
      </c>
      <c r="I4" s="74">
        <v>3902.3193515157905</v>
      </c>
      <c r="J4" s="74">
        <v>3892.534265384714</v>
      </c>
      <c r="K4" s="74">
        <v>3882.7491792536375</v>
      </c>
      <c r="L4" s="74">
        <v>3872.9640931225613</v>
      </c>
      <c r="M4" s="74">
        <v>3863.1790069914846</v>
      </c>
      <c r="N4" s="74">
        <v>3853.3939208604083</v>
      </c>
      <c r="O4" s="74">
        <v>3843.6088347293326</v>
      </c>
      <c r="P4" s="74">
        <v>3833.823748598256</v>
      </c>
      <c r="Q4" s="74">
        <v>3824.038662467179</v>
      </c>
      <c r="R4" s="74">
        <v>3814.253576336103</v>
      </c>
      <c r="S4" s="74">
        <v>3804.4684902050262</v>
      </c>
      <c r="T4" s="74">
        <v>3794.68340407395</v>
      </c>
      <c r="U4" s="74">
        <v>3784.898317942874</v>
      </c>
      <c r="V4" s="74">
        <v>3775.113231811797</v>
      </c>
      <c r="W4" s="74">
        <v>3765.328145680721</v>
      </c>
      <c r="X4" s="74">
        <v>3755.543059549644</v>
      </c>
      <c r="Y4" s="74">
        <v>3745.757973418568</v>
      </c>
      <c r="Z4" s="74">
        <v>3735.972887287492</v>
      </c>
      <c r="AA4" s="74">
        <v>3726.187801156415</v>
      </c>
      <c r="AB4" s="74">
        <v>3716.4027150253387</v>
      </c>
    </row>
    <row r="5" spans="1:28" x14ac:dyDescent="0.25">
      <c r="A5" t="s">
        <v>184</v>
      </c>
      <c r="B5" t="s">
        <v>8</v>
      </c>
      <c r="D5" s="72">
        <v>0.9021106808609983</v>
      </c>
      <c r="E5" s="72">
        <v>0.8998766429315288</v>
      </c>
      <c r="F5" s="72">
        <v>0.8976426050020593</v>
      </c>
      <c r="G5" s="72">
        <v>0.8954085670725898</v>
      </c>
      <c r="H5" s="72">
        <v>0.8931745291431203</v>
      </c>
      <c r="I5" s="72">
        <v>0.8909404912136508</v>
      </c>
      <c r="J5" s="72">
        <v>0.8887064532841813</v>
      </c>
      <c r="K5" s="72">
        <v>0.8864724153547118</v>
      </c>
      <c r="L5" s="72">
        <v>0.8842383774252424</v>
      </c>
      <c r="M5" s="72">
        <v>0.8820043394957727</v>
      </c>
      <c r="N5" s="72">
        <v>0.8797703015663033</v>
      </c>
      <c r="O5" s="72">
        <v>0.8775362636368339</v>
      </c>
      <c r="P5" s="72">
        <v>0.8753022257073643</v>
      </c>
      <c r="Q5" s="72">
        <v>0.8730681877778949</v>
      </c>
      <c r="R5" s="72">
        <v>0.8708341498484253</v>
      </c>
      <c r="S5" s="72">
        <v>0.8686001119189558</v>
      </c>
      <c r="T5" s="72">
        <v>0.8663660739894863</v>
      </c>
      <c r="U5" s="72">
        <v>0.8641320360600169</v>
      </c>
      <c r="V5" s="72">
        <v>0.8618979981305473</v>
      </c>
      <c r="W5" s="72">
        <v>0.8596639602010778</v>
      </c>
      <c r="X5" s="72">
        <v>0.8574299222716083</v>
      </c>
      <c r="Y5" s="72">
        <v>0.8551958843421388</v>
      </c>
      <c r="Z5" s="72">
        <v>0.8529618464126694</v>
      </c>
      <c r="AA5" s="72">
        <v>0.8507278084831998</v>
      </c>
      <c r="AB5" s="72">
        <v>0.8484937705537303</v>
      </c>
    </row>
    <row r="6" spans="1:28" x14ac:dyDescent="0.25">
      <c r="A6" t="s">
        <v>186</v>
      </c>
      <c r="B6" t="s">
        <v>182</v>
      </c>
      <c r="C6" s="74">
        <v>0</v>
      </c>
      <c r="D6" s="74">
        <v>0</v>
      </c>
      <c r="E6" s="74">
        <v>0</v>
      </c>
      <c r="F6" s="74">
        <v>0</v>
      </c>
      <c r="G6" s="74">
        <v>0</v>
      </c>
      <c r="H6" s="74">
        <v>0</v>
      </c>
      <c r="I6" s="74">
        <v>0</v>
      </c>
      <c r="J6" s="74">
        <v>0</v>
      </c>
      <c r="K6" s="74">
        <v>0</v>
      </c>
      <c r="L6" s="74">
        <v>0</v>
      </c>
      <c r="M6" s="74">
        <v>0</v>
      </c>
      <c r="N6" s="74">
        <v>0</v>
      </c>
      <c r="O6" s="74">
        <v>0</v>
      </c>
      <c r="P6" s="74">
        <v>0</v>
      </c>
      <c r="Q6" s="74">
        <v>0</v>
      </c>
      <c r="R6" s="74">
        <v>0</v>
      </c>
      <c r="S6" s="74">
        <v>0</v>
      </c>
      <c r="T6" s="74">
        <v>0</v>
      </c>
      <c r="U6" s="74">
        <v>0</v>
      </c>
      <c r="V6" s="74">
        <v>0</v>
      </c>
      <c r="W6" s="74">
        <v>0</v>
      </c>
      <c r="X6" s="74">
        <v>0</v>
      </c>
      <c r="Y6" s="74">
        <v>0</v>
      </c>
      <c r="Z6" s="74">
        <v>0</v>
      </c>
      <c r="AA6" s="74">
        <v>0</v>
      </c>
      <c r="AB6" s="74">
        <v>0</v>
      </c>
    </row>
    <row r="7" spans="1:28" x14ac:dyDescent="0.25">
      <c r="A7" t="s">
        <v>187</v>
      </c>
      <c r="B7" t="s">
        <v>182</v>
      </c>
      <c r="C7" s="74">
        <v>28958.546983835877</v>
      </c>
      <c r="D7" s="74">
        <v>1192.2450822946919</v>
      </c>
      <c r="E7" s="74">
        <v>1189.4198153829204</v>
      </c>
      <c r="F7" s="74">
        <v>1186.594548471149</v>
      </c>
      <c r="G7" s="74">
        <v>1183.7692815593778</v>
      </c>
      <c r="H7" s="74">
        <v>1180.9440146476063</v>
      </c>
      <c r="I7" s="74">
        <v>1178.1187477358349</v>
      </c>
      <c r="J7" s="74">
        <v>1175.2934808240636</v>
      </c>
      <c r="K7" s="74">
        <v>1172.4682139122922</v>
      </c>
      <c r="L7" s="74">
        <v>1169.642947000521</v>
      </c>
      <c r="M7" s="74">
        <v>1166.8176800887493</v>
      </c>
      <c r="N7" s="74">
        <v>1163.992413176978</v>
      </c>
      <c r="O7" s="74">
        <v>1161.1671462652068</v>
      </c>
      <c r="P7" s="74">
        <v>1158.3418793534352</v>
      </c>
      <c r="Q7" s="74">
        <v>1155.516612441664</v>
      </c>
      <c r="R7" s="74">
        <v>1152.6913455298927</v>
      </c>
      <c r="S7" s="74">
        <v>1149.8660786181213</v>
      </c>
      <c r="T7" s="74">
        <v>1147.04081170635</v>
      </c>
      <c r="U7" s="74">
        <v>1144.2155447945786</v>
      </c>
      <c r="V7" s="74">
        <v>1141.390277882807</v>
      </c>
      <c r="W7" s="74">
        <v>1138.565010971036</v>
      </c>
      <c r="X7" s="74">
        <v>1135.7397440592645</v>
      </c>
      <c r="Y7" s="74">
        <v>1132.914477147493</v>
      </c>
      <c r="Z7" s="74">
        <v>1130.0892102357216</v>
      </c>
      <c r="AA7" s="74">
        <v>1127.2639433239503</v>
      </c>
      <c r="AB7" s="74">
        <v>1124.438676412179</v>
      </c>
    </row>
    <row r="8" spans="1:28" x14ac:dyDescent="0.25">
      <c r="A8" t="s">
        <v>100</v>
      </c>
      <c r="B8" t="s">
        <v>82</v>
      </c>
      <c r="D8" s="75">
        <v>7.523313468327059</v>
      </c>
      <c r="E8" s="75">
        <v>7.523313468327059</v>
      </c>
      <c r="F8" s="75">
        <v>7.523313468327059</v>
      </c>
      <c r="G8" s="75">
        <v>7.523313468327059</v>
      </c>
      <c r="H8" s="75">
        <v>7.523313468327059</v>
      </c>
      <c r="I8" s="75">
        <v>7.523313468327059</v>
      </c>
      <c r="J8" s="75">
        <v>7.523313468327059</v>
      </c>
      <c r="K8" s="75">
        <v>7.523313468327059</v>
      </c>
      <c r="L8" s="75">
        <v>7.523313468327059</v>
      </c>
      <c r="M8" s="75">
        <v>7.523313468327059</v>
      </c>
      <c r="N8" s="75">
        <v>7.523313468327059</v>
      </c>
      <c r="O8" s="75">
        <v>7.523313468327059</v>
      </c>
      <c r="P8" s="75">
        <v>7.523313468327059</v>
      </c>
      <c r="Q8" s="75">
        <v>7.523313468327059</v>
      </c>
      <c r="R8" s="75">
        <v>7.523313468327059</v>
      </c>
      <c r="S8" s="75">
        <v>7.523313468327059</v>
      </c>
      <c r="T8" s="75">
        <v>7.523313468327059</v>
      </c>
      <c r="U8" s="75">
        <v>7.523313468327059</v>
      </c>
      <c r="V8" s="75">
        <v>7.523313468327059</v>
      </c>
      <c r="W8" s="75">
        <v>7.523313468327059</v>
      </c>
      <c r="X8" s="75">
        <v>7.523313468327059</v>
      </c>
      <c r="Y8" s="75">
        <v>7.523313468327059</v>
      </c>
      <c r="Z8" s="75">
        <v>7.523313468327059</v>
      </c>
      <c r="AA8" s="75">
        <v>7.523313468327059</v>
      </c>
      <c r="AB8" s="75">
        <v>7.523313468327059</v>
      </c>
    </row>
    <row r="9" spans="1:1" s="5" customFormat="1" x14ac:dyDescent="0.25">
      <c r="A9" s="5" t="s">
        <v>192</v>
      </c>
    </row>
    <row r="10" spans="1:28" x14ac:dyDescent="0.25">
      <c r="A10" t="s">
        <v>193</v>
      </c>
      <c r="B10" t="s">
        <v>8</v>
      </c>
      <c r="C10" s="76">
        <v>72107.64460755346</v>
      </c>
      <c r="D10" s="76">
        <v>2972.64530863654</v>
      </c>
      <c r="E10" s="76">
        <v>2965.2836816086733</v>
      </c>
      <c r="F10" s="76">
        <v>2957.922054580806</v>
      </c>
      <c r="G10" s="76">
        <v>2950.56042755294</v>
      </c>
      <c r="H10" s="76">
        <v>2943.1988005250732</v>
      </c>
      <c r="I10" s="76">
        <v>2935.837173497206</v>
      </c>
      <c r="J10" s="76">
        <v>2928.4755464693394</v>
      </c>
      <c r="K10" s="76">
        <v>2921.1139194414727</v>
      </c>
      <c r="L10" s="76">
        <v>2913.7522924136065</v>
      </c>
      <c r="M10" s="76">
        <v>2906.3906653857393</v>
      </c>
      <c r="N10" s="76">
        <v>2899.029038357872</v>
      </c>
      <c r="O10" s="76">
        <v>2891.667411330006</v>
      </c>
      <c r="P10" s="76">
        <v>2884.3057843021393</v>
      </c>
      <c r="Q10" s="76">
        <v>2876.9441572742726</v>
      </c>
      <c r="R10" s="76">
        <v>2869.582530246406</v>
      </c>
      <c r="S10" s="76">
        <v>2862.2209032185383</v>
      </c>
      <c r="T10" s="76">
        <v>2854.8592761906716</v>
      </c>
      <c r="U10" s="76">
        <v>2847.4976491628054</v>
      </c>
      <c r="V10" s="76">
        <v>2840.1360221349387</v>
      </c>
      <c r="W10" s="76">
        <v>2832.774395107072</v>
      </c>
      <c r="X10" s="76">
        <v>2825.412768079205</v>
      </c>
      <c r="Y10" s="76">
        <v>2818.051141051338</v>
      </c>
      <c r="Z10" s="76">
        <v>2810.689514023472</v>
      </c>
      <c r="AA10" s="76">
        <v>2803.327886995605</v>
      </c>
      <c r="AB10" s="76">
        <v>2795.966259967738</v>
      </c>
    </row>
    <row r="11" spans="1:28" x14ac:dyDescent="0.25">
      <c r="A11" t="s">
        <v>194</v>
      </c>
      <c r="B11" t="s">
        <v>8</v>
      </c>
      <c r="C11" s="76">
        <v>0</v>
      </c>
      <c r="D11" s="76">
        <v>0</v>
      </c>
      <c r="E11" s="76">
        <v>0</v>
      </c>
      <c r="F11" s="76">
        <v>0</v>
      </c>
      <c r="G11" s="76">
        <v>0</v>
      </c>
      <c r="H11" s="76">
        <v>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row>
    <row r="12" spans="1:28" x14ac:dyDescent="0.25">
      <c r="A12" t="s">
        <v>141</v>
      </c>
      <c r="B12" t="s">
        <v>8</v>
      </c>
      <c r="C12" s="76">
        <v>0</v>
      </c>
      <c r="D12" s="76">
        <v>0</v>
      </c>
      <c r="E12" s="76">
        <v>0</v>
      </c>
      <c r="F12" s="76">
        <v>0</v>
      </c>
      <c r="G12" s="76">
        <v>0</v>
      </c>
      <c r="H12" s="76">
        <v>0</v>
      </c>
      <c r="I12" s="76">
        <v>0</v>
      </c>
      <c r="J12" s="76">
        <v>0</v>
      </c>
      <c r="K12" s="76">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row>
    <row r="13" spans="1:28" s="14" customFormat="1" x14ac:dyDescent="0.25">
      <c r="A13" s="14" t="s">
        <v>195</v>
      </c>
      <c r="B13" s="14" t="s">
        <v>8</v>
      </c>
      <c r="C13" s="77">
        <v>72107.64460755346</v>
      </c>
      <c r="D13" s="77">
        <v>2972.64530863654</v>
      </c>
      <c r="E13" s="77">
        <v>2965.2836816086733</v>
      </c>
      <c r="F13" s="77">
        <v>2957.922054580806</v>
      </c>
      <c r="G13" s="77">
        <v>2950.56042755294</v>
      </c>
      <c r="H13" s="77">
        <v>2943.1988005250732</v>
      </c>
      <c r="I13" s="77">
        <v>2935.837173497206</v>
      </c>
      <c r="J13" s="77">
        <v>2928.4755464693394</v>
      </c>
      <c r="K13" s="77">
        <v>2921.1139194414727</v>
      </c>
      <c r="L13" s="77">
        <v>2913.7522924136065</v>
      </c>
      <c r="M13" s="77">
        <v>2906.3906653857393</v>
      </c>
      <c r="N13" s="77">
        <v>2899.029038357872</v>
      </c>
      <c r="O13" s="77">
        <v>2891.667411330006</v>
      </c>
      <c r="P13" s="77">
        <v>2884.3057843021393</v>
      </c>
      <c r="Q13" s="77">
        <v>2876.9441572742726</v>
      </c>
      <c r="R13" s="77">
        <v>2869.582530246406</v>
      </c>
      <c r="S13" s="77">
        <v>2862.2209032185383</v>
      </c>
      <c r="T13" s="77">
        <v>2854.8592761906716</v>
      </c>
      <c r="U13" s="77">
        <v>2847.4976491628054</v>
      </c>
      <c r="V13" s="77">
        <v>2840.1360221349387</v>
      </c>
      <c r="W13" s="77">
        <v>2832.774395107072</v>
      </c>
      <c r="X13" s="77">
        <v>2825.412768079205</v>
      </c>
      <c r="Y13" s="77">
        <v>2818.051141051338</v>
      </c>
      <c r="Z13" s="77">
        <v>2810.689514023472</v>
      </c>
      <c r="AA13" s="77">
        <v>2803.327886995605</v>
      </c>
      <c r="AB13" s="77">
        <v>2795.966259967738</v>
      </c>
    </row>
    <row r="14" spans="1:1" s="5" customFormat="1" x14ac:dyDescent="0.25">
      <c r="A14" s="5" t="s">
        <v>196</v>
      </c>
    </row>
    <row r="15" spans="1:28" x14ac:dyDescent="0.25">
      <c r="A15" t="s">
        <v>303</v>
      </c>
      <c r="B15" t="s">
        <v>8</v>
      </c>
      <c r="C15" s="76">
        <v>8843.90106025832</v>
      </c>
      <c r="D15" s="76">
        <v>185.30145932367395</v>
      </c>
      <c r="E15" s="76">
        <v>194.56653228985766</v>
      </c>
      <c r="F15" s="76">
        <v>204.29485890435055</v>
      </c>
      <c r="G15" s="76">
        <v>214.50960184956807</v>
      </c>
      <c r="H15" s="76">
        <v>225.2350819420465</v>
      </c>
      <c r="I15" s="76">
        <v>236.49683603914886</v>
      </c>
      <c r="J15" s="76">
        <v>248.3216778411063</v>
      </c>
      <c r="K15" s="76">
        <v>260.7377617331616</v>
      </c>
      <c r="L15" s="76">
        <v>273.77464981981973</v>
      </c>
      <c r="M15" s="76">
        <v>287.4633823108107</v>
      </c>
      <c r="N15" s="76">
        <v>301.83655142635126</v>
      </c>
      <c r="O15" s="76">
        <v>316.9283789976688</v>
      </c>
      <c r="P15" s="76">
        <v>332.77479794755226</v>
      </c>
      <c r="Q15" s="76">
        <v>349.4135378449299</v>
      </c>
      <c r="R15" s="76">
        <v>366.8842147371764</v>
      </c>
      <c r="S15" s="76">
        <v>385.2284254740353</v>
      </c>
      <c r="T15" s="76">
        <v>404.48984674773703</v>
      </c>
      <c r="U15" s="76">
        <v>424.7143390851239</v>
      </c>
      <c r="V15" s="76">
        <v>445.9500560393801</v>
      </c>
      <c r="W15" s="76">
        <v>468.2475588413492</v>
      </c>
      <c r="X15" s="76">
        <v>491.6599367834166</v>
      </c>
      <c r="Y15" s="76">
        <v>516.2429336225874</v>
      </c>
      <c r="Z15" s="76">
        <v>542.0550803037169</v>
      </c>
      <c r="AA15" s="76">
        <v>569.1578343189027</v>
      </c>
      <c r="AB15" s="76">
        <v>597.6157260348479</v>
      </c>
    </row>
    <row r="16" spans="1:28" x14ac:dyDescent="0.25">
      <c r="A16" t="s">
        <v>126</v>
      </c>
      <c r="B16" t="s">
        <v>8</v>
      </c>
      <c r="C16" s="76">
        <v>968.6983623535276</v>
      </c>
      <c r="D16" s="76">
        <v>38.74793449414113</v>
      </c>
      <c r="E16" s="76">
        <v>38.74793449414113</v>
      </c>
      <c r="F16" s="76">
        <v>38.74793449414113</v>
      </c>
      <c r="G16" s="76">
        <v>38.74793449414113</v>
      </c>
      <c r="H16" s="76">
        <v>38.74793449414113</v>
      </c>
      <c r="I16" s="76">
        <v>38.74793449414113</v>
      </c>
      <c r="J16" s="76">
        <v>38.74793449414113</v>
      </c>
      <c r="K16" s="76">
        <v>38.74793449414113</v>
      </c>
      <c r="L16" s="76">
        <v>38.74793449414113</v>
      </c>
      <c r="M16" s="76">
        <v>38.74793449414113</v>
      </c>
      <c r="N16" s="76">
        <v>38.74793449414113</v>
      </c>
      <c r="O16" s="76">
        <v>38.74793449414113</v>
      </c>
      <c r="P16" s="76">
        <v>38.74793449414113</v>
      </c>
      <c r="Q16" s="76">
        <v>38.74793449414113</v>
      </c>
      <c r="R16" s="76">
        <v>38.74793449414113</v>
      </c>
      <c r="S16" s="76">
        <v>38.74793449414113</v>
      </c>
      <c r="T16" s="76">
        <v>38.74793449414113</v>
      </c>
      <c r="U16" s="76">
        <v>38.74793449414113</v>
      </c>
      <c r="V16" s="76">
        <v>38.74793449414113</v>
      </c>
      <c r="W16" s="76">
        <v>38.74793449414113</v>
      </c>
      <c r="X16" s="76">
        <v>38.74793449414113</v>
      </c>
      <c r="Y16" s="76">
        <v>38.74793449414113</v>
      </c>
      <c r="Z16" s="76">
        <v>38.74793449414113</v>
      </c>
      <c r="AA16" s="76">
        <v>38.74793449414113</v>
      </c>
      <c r="AB16" s="76">
        <v>38.74793449414113</v>
      </c>
    </row>
    <row r="17" spans="1:28" x14ac:dyDescent="0.25">
      <c r="A17" t="s">
        <v>128</v>
      </c>
      <c r="B17" t="s">
        <v>8</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v>0</v>
      </c>
    </row>
    <row r="18" spans="1:28" x14ac:dyDescent="0.25">
      <c r="A18" t="s">
        <v>131</v>
      </c>
      <c r="B18" t="s">
        <v>8</v>
      </c>
      <c r="C18" s="76">
        <v>24727.6792033703</v>
      </c>
      <c r="D18" s="76">
        <v>536.5102870326114</v>
      </c>
      <c r="E18" s="76">
        <v>562.0008627684299</v>
      </c>
      <c r="F18" s="76">
        <v>588.6992203602489</v>
      </c>
      <c r="G18" s="76">
        <v>616.6624115543286</v>
      </c>
      <c r="H18" s="76">
        <v>645.9501738169158</v>
      </c>
      <c r="I18" s="76">
        <v>676.6250562768759</v>
      </c>
      <c r="J18" s="76">
        <v>708.7525515482896</v>
      </c>
      <c r="K18" s="76">
        <v>742.4012337061524</v>
      </c>
      <c r="L18" s="76">
        <v>777.642902700931</v>
      </c>
      <c r="M18" s="76">
        <v>814.5527355109218</v>
      </c>
      <c r="N18" s="76">
        <v>853.2094443451595</v>
      </c>
      <c r="O18" s="76">
        <v>893.6954422240439</v>
      </c>
      <c r="P18" s="76">
        <v>936.0970162799534</v>
      </c>
      <c r="Q18" s="76">
        <v>980.504509135894</v>
      </c>
      <c r="R18" s="76">
        <v>1027.012508736729</v>
      </c>
      <c r="S18" s="76">
        <v>1075.7200470248074</v>
      </c>
      <c r="T18" s="76">
        <v>1126.7308078698516</v>
      </c>
      <c r="U18" s="76">
        <v>1180.1533446818387</v>
      </c>
      <c r="V18" s="76">
        <v>1236.1013081553492</v>
      </c>
      <c r="W18" s="76">
        <v>1294.6936846145072</v>
      </c>
      <c r="X18" s="76">
        <v>1356.055045449192</v>
      </c>
      <c r="Y18" s="76">
        <v>1420.3158081558092</v>
      </c>
      <c r="Z18" s="76">
        <v>1487.612509519465</v>
      </c>
      <c r="AA18" s="76">
        <v>1558.088091499097</v>
      </c>
      <c r="AB18" s="76">
        <v>1631.8922004028927</v>
      </c>
    </row>
    <row r="19" spans="1:28" s="14" customFormat="1" x14ac:dyDescent="0.25">
      <c r="A19" s="14" t="s">
        <v>197</v>
      </c>
      <c r="B19" s="14" t="s">
        <v>8</v>
      </c>
      <c r="C19" s="77">
        <v>34540.278625982144</v>
      </c>
      <c r="D19" s="77">
        <v>760.5596808504265</v>
      </c>
      <c r="E19" s="77">
        <v>795.3153295524287</v>
      </c>
      <c r="F19" s="77">
        <v>831.7420137587405</v>
      </c>
      <c r="G19" s="77">
        <v>869.9199478980379</v>
      </c>
      <c r="H19" s="77">
        <v>909.9331902531035</v>
      </c>
      <c r="I19" s="77">
        <v>951.8698268101658</v>
      </c>
      <c r="J19" s="77">
        <v>995.8221638835371</v>
      </c>
      <c r="K19" s="77">
        <v>1041.8869299334551</v>
      </c>
      <c r="L19" s="77">
        <v>1090.1654870148918</v>
      </c>
      <c r="M19" s="77">
        <v>1140.7640523158736</v>
      </c>
      <c r="N19" s="77">
        <v>1193.7939302656519</v>
      </c>
      <c r="O19" s="77">
        <v>1249.3717557158539</v>
      </c>
      <c r="P19" s="77">
        <v>1307.6197487216468</v>
      </c>
      <c r="Q19" s="77">
        <v>1368.665981474965</v>
      </c>
      <c r="R19" s="77">
        <v>1432.6446579680464</v>
      </c>
      <c r="S19" s="77">
        <v>1499.6964069929838</v>
      </c>
      <c r="T19" s="77">
        <v>1569.9685891117297</v>
      </c>
      <c r="U19" s="77">
        <v>1643.6156182611037</v>
      </c>
      <c r="V19" s="77">
        <v>1720.7992986888705</v>
      </c>
      <c r="W19" s="77">
        <v>1801.6891779499974</v>
      </c>
      <c r="X19" s="77">
        <v>1886.4629167267497</v>
      </c>
      <c r="Y19" s="77">
        <v>1975.3066762725377</v>
      </c>
      <c r="Z19" s="77">
        <v>2068.4155243173227</v>
      </c>
      <c r="AA19" s="77">
        <v>2165.993860312141</v>
      </c>
      <c r="AB19" s="77">
        <v>2268.2558609318817</v>
      </c>
    </row>
    <row r="20" spans="1:1" s="5" customFormat="1" x14ac:dyDescent="0.25">
      <c r="A20" s="5" t="s">
        <v>355</v>
      </c>
    </row>
    <row r="21" spans="1:28" x14ac:dyDescent="0.25">
      <c r="A21" t="s">
        <v>143</v>
      </c>
      <c r="B21" t="s">
        <v>8</v>
      </c>
      <c r="C21" s="76">
        <v>2778.0310317693506</v>
      </c>
      <c r="D21" s="76">
        <v>0</v>
      </c>
      <c r="E21" s="76">
        <v>115.7512929903896</v>
      </c>
      <c r="F21" s="76">
        <v>115.7512929903896</v>
      </c>
      <c r="G21" s="76">
        <v>115.7512929903896</v>
      </c>
      <c r="H21" s="76">
        <v>115.7512929903896</v>
      </c>
      <c r="I21" s="76">
        <v>115.7512929903896</v>
      </c>
      <c r="J21" s="76">
        <v>115.7512929903896</v>
      </c>
      <c r="K21" s="76">
        <v>115.7512929903896</v>
      </c>
      <c r="L21" s="76">
        <v>115.7512929903896</v>
      </c>
      <c r="M21" s="76">
        <v>115.7512929903896</v>
      </c>
      <c r="N21" s="76">
        <v>115.7512929903896</v>
      </c>
      <c r="O21" s="76">
        <v>115.7512929903896</v>
      </c>
      <c r="P21" s="76">
        <v>115.7512929903896</v>
      </c>
      <c r="Q21" s="76">
        <v>115.7512929903896</v>
      </c>
      <c r="R21" s="76">
        <v>115.7512929903896</v>
      </c>
      <c r="S21" s="76">
        <v>115.7512929903896</v>
      </c>
      <c r="T21" s="76">
        <v>115.7512929903896</v>
      </c>
      <c r="U21" s="76">
        <v>115.7512929903896</v>
      </c>
      <c r="V21" s="76">
        <v>115.7512929903896</v>
      </c>
      <c r="W21" s="76">
        <v>115.7512929903896</v>
      </c>
      <c r="X21" s="76">
        <v>115.7512929903896</v>
      </c>
      <c r="Y21" s="76">
        <v>115.7512929903896</v>
      </c>
      <c r="Z21" s="76">
        <v>115.7512929903896</v>
      </c>
      <c r="AA21" s="76">
        <v>115.7512929903896</v>
      </c>
      <c r="AB21" s="76">
        <v>115.7512929903896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3"/>
  <sheetViews>
    <sheetView workbookViewId="0">
      <pane xSplit="3" ySplit="1" topLeftCell="D2" activePane="bottomRight" state="frozen"/>
      <selection pane="bottomRight"/>
    </sheetView>
  </sheetViews>
  <sheetFormatPr defaultRowHeight="15" outlineLevelRow="0" outlineLevelCol="0" x14ac:dyDescent="55"/>
  <cols>
    <col min="1" max="1" width="38" customWidth="1"/>
    <col min="3" max="28" width="12" customWidth="1"/>
  </cols>
  <sheetData>
    <row r="1" spans="1:28" s="66" customFormat="1" x14ac:dyDescent="0.25">
      <c r="A1" s="66" t="s">
        <v>73</v>
      </c>
      <c r="B1" s="66" t="s">
        <v>74</v>
      </c>
      <c r="C1" s="66" t="s">
        <v>328</v>
      </c>
      <c r="D1" s="66" t="s">
        <v>329</v>
      </c>
      <c r="E1" s="66" t="s">
        <v>330</v>
      </c>
      <c r="F1" s="66" t="s">
        <v>331</v>
      </c>
      <c r="G1" s="66" t="s">
        <v>332</v>
      </c>
      <c r="H1" s="66" t="s">
        <v>333</v>
      </c>
      <c r="I1" s="66" t="s">
        <v>334</v>
      </c>
      <c r="J1" s="66" t="s">
        <v>335</v>
      </c>
      <c r="K1" s="66" t="s">
        <v>336</v>
      </c>
      <c r="L1" s="66" t="s">
        <v>337</v>
      </c>
      <c r="M1" s="66" t="s">
        <v>338</v>
      </c>
      <c r="N1" s="66" t="s">
        <v>339</v>
      </c>
      <c r="O1" s="66" t="s">
        <v>340</v>
      </c>
      <c r="P1" s="66" t="s">
        <v>341</v>
      </c>
      <c r="Q1" s="66" t="s">
        <v>342</v>
      </c>
      <c r="R1" s="66" t="s">
        <v>343</v>
      </c>
      <c r="S1" s="66" t="s">
        <v>344</v>
      </c>
      <c r="T1" s="66" t="s">
        <v>345</v>
      </c>
      <c r="U1" s="66" t="s">
        <v>346</v>
      </c>
      <c r="V1" s="66" t="s">
        <v>347</v>
      </c>
      <c r="W1" s="66" t="s">
        <v>348</v>
      </c>
      <c r="X1" s="66" t="s">
        <v>349</v>
      </c>
      <c r="Y1" s="66" t="s">
        <v>350</v>
      </c>
      <c r="Z1" s="66" t="s">
        <v>351</v>
      </c>
      <c r="AA1" s="66" t="s">
        <v>352</v>
      </c>
      <c r="AB1" s="66" t="s">
        <v>353</v>
      </c>
    </row>
    <row r="2" spans="1:1" s="5" customFormat="1" x14ac:dyDescent="0.25">
      <c r="A2" s="5" t="s">
        <v>354</v>
      </c>
    </row>
    <row r="3" spans="1:28" x14ac:dyDescent="0.25">
      <c r="A3" t="s">
        <v>181</v>
      </c>
      <c r="B3" t="s">
        <v>182</v>
      </c>
      <c r="C3" s="74">
        <v>109500</v>
      </c>
      <c r="D3" s="74">
        <v>4380</v>
      </c>
      <c r="E3" s="74">
        <v>4380</v>
      </c>
      <c r="F3" s="74">
        <v>4380</v>
      </c>
      <c r="G3" s="74">
        <v>4380</v>
      </c>
      <c r="H3" s="74">
        <v>4380</v>
      </c>
      <c r="I3" s="74">
        <v>4380</v>
      </c>
      <c r="J3" s="74">
        <v>4380</v>
      </c>
      <c r="K3" s="74">
        <v>4380</v>
      </c>
      <c r="L3" s="74">
        <v>4380</v>
      </c>
      <c r="M3" s="74">
        <v>4380</v>
      </c>
      <c r="N3" s="74">
        <v>4380</v>
      </c>
      <c r="O3" s="74">
        <v>4380</v>
      </c>
      <c r="P3" s="74">
        <v>4380</v>
      </c>
      <c r="Q3" s="74">
        <v>4380</v>
      </c>
      <c r="R3" s="74">
        <v>4380</v>
      </c>
      <c r="S3" s="74">
        <v>4380</v>
      </c>
      <c r="T3" s="74">
        <v>4380</v>
      </c>
      <c r="U3" s="74">
        <v>4380</v>
      </c>
      <c r="V3" s="74">
        <v>4380</v>
      </c>
      <c r="W3" s="74">
        <v>4380</v>
      </c>
      <c r="X3" s="74">
        <v>4380</v>
      </c>
      <c r="Y3" s="74">
        <v>4380</v>
      </c>
      <c r="Z3" s="74">
        <v>4380</v>
      </c>
      <c r="AA3" s="74">
        <v>4380</v>
      </c>
      <c r="AB3" s="74">
        <v>4380</v>
      </c>
    </row>
    <row r="4" spans="1:28" x14ac:dyDescent="0.25">
      <c r="A4" t="s">
        <v>183</v>
      </c>
      <c r="B4" t="s">
        <v>182</v>
      </c>
      <c r="C4" s="74">
        <v>95845.5937149564</v>
      </c>
      <c r="D4" s="74">
        <v>3951.2447821711726</v>
      </c>
      <c r="E4" s="74">
        <v>3941.4596960400963</v>
      </c>
      <c r="F4" s="74">
        <v>3931.6746099090196</v>
      </c>
      <c r="G4" s="74">
        <v>3921.889523777943</v>
      </c>
      <c r="H4" s="74">
        <v>3912.104437646867</v>
      </c>
      <c r="I4" s="74">
        <v>3902.3193515157905</v>
      </c>
      <c r="J4" s="74">
        <v>3892.534265384714</v>
      </c>
      <c r="K4" s="74">
        <v>3882.7491792536375</v>
      </c>
      <c r="L4" s="74">
        <v>3872.9640931225613</v>
      </c>
      <c r="M4" s="74">
        <v>3863.1790069914846</v>
      </c>
      <c r="N4" s="74">
        <v>3853.3939208604083</v>
      </c>
      <c r="O4" s="74">
        <v>3843.6088347293326</v>
      </c>
      <c r="P4" s="74">
        <v>3833.823748598256</v>
      </c>
      <c r="Q4" s="74">
        <v>3824.038662467179</v>
      </c>
      <c r="R4" s="74">
        <v>3814.253576336103</v>
      </c>
      <c r="S4" s="74">
        <v>3804.4684902050262</v>
      </c>
      <c r="T4" s="74">
        <v>3794.68340407395</v>
      </c>
      <c r="U4" s="74">
        <v>3784.898317942874</v>
      </c>
      <c r="V4" s="74">
        <v>3775.113231811797</v>
      </c>
      <c r="W4" s="74">
        <v>3765.328145680721</v>
      </c>
      <c r="X4" s="74">
        <v>3755.543059549644</v>
      </c>
      <c r="Y4" s="74">
        <v>3745.757973418568</v>
      </c>
      <c r="Z4" s="74">
        <v>3735.972887287492</v>
      </c>
      <c r="AA4" s="74">
        <v>3726.187801156415</v>
      </c>
      <c r="AB4" s="74">
        <v>3716.4027150253387</v>
      </c>
    </row>
    <row r="5" spans="1:28" x14ac:dyDescent="0.25">
      <c r="A5" t="s">
        <v>184</v>
      </c>
      <c r="B5" t="s">
        <v>8</v>
      </c>
      <c r="D5" s="72">
        <v>0.9021106808609983</v>
      </c>
      <c r="E5" s="72">
        <v>0.8998766429315288</v>
      </c>
      <c r="F5" s="72">
        <v>0.8976426050020593</v>
      </c>
      <c r="G5" s="72">
        <v>0.8954085670725898</v>
      </c>
      <c r="H5" s="72">
        <v>0.8931745291431203</v>
      </c>
      <c r="I5" s="72">
        <v>0.8909404912136508</v>
      </c>
      <c r="J5" s="72">
        <v>0.8887064532841813</v>
      </c>
      <c r="K5" s="72">
        <v>0.8864724153547118</v>
      </c>
      <c r="L5" s="72">
        <v>0.8842383774252424</v>
      </c>
      <c r="M5" s="72">
        <v>0.8820043394957727</v>
      </c>
      <c r="N5" s="72">
        <v>0.8797703015663033</v>
      </c>
      <c r="O5" s="72">
        <v>0.8775362636368339</v>
      </c>
      <c r="P5" s="72">
        <v>0.8753022257073643</v>
      </c>
      <c r="Q5" s="72">
        <v>0.8730681877778949</v>
      </c>
      <c r="R5" s="72">
        <v>0.8708341498484253</v>
      </c>
      <c r="S5" s="72">
        <v>0.8686001119189558</v>
      </c>
      <c r="T5" s="72">
        <v>0.8663660739894863</v>
      </c>
      <c r="U5" s="72">
        <v>0.8641320360600169</v>
      </c>
      <c r="V5" s="72">
        <v>0.8618979981305473</v>
      </c>
      <c r="W5" s="72">
        <v>0.8596639602010778</v>
      </c>
      <c r="X5" s="72">
        <v>0.8574299222716083</v>
      </c>
      <c r="Y5" s="72">
        <v>0.8551958843421388</v>
      </c>
      <c r="Z5" s="72">
        <v>0.8529618464126694</v>
      </c>
      <c r="AA5" s="72">
        <v>0.8507278084831998</v>
      </c>
      <c r="AB5" s="72">
        <v>0.8484937705537303</v>
      </c>
    </row>
    <row r="6" spans="1:28" x14ac:dyDescent="0.25">
      <c r="A6" t="s">
        <v>186</v>
      </c>
      <c r="B6" t="s">
        <v>182</v>
      </c>
      <c r="C6" s="74">
        <v>0</v>
      </c>
      <c r="D6" s="74">
        <v>0</v>
      </c>
      <c r="E6" s="74">
        <v>0</v>
      </c>
      <c r="F6" s="74">
        <v>0</v>
      </c>
      <c r="G6" s="74">
        <v>0</v>
      </c>
      <c r="H6" s="74">
        <v>0</v>
      </c>
      <c r="I6" s="74">
        <v>0</v>
      </c>
      <c r="J6" s="74">
        <v>0</v>
      </c>
      <c r="K6" s="74">
        <v>0</v>
      </c>
      <c r="L6" s="74">
        <v>0</v>
      </c>
      <c r="M6" s="74">
        <v>0</v>
      </c>
      <c r="N6" s="74">
        <v>0</v>
      </c>
      <c r="O6" s="74">
        <v>0</v>
      </c>
      <c r="P6" s="74">
        <v>0</v>
      </c>
      <c r="Q6" s="74">
        <v>0</v>
      </c>
      <c r="R6" s="74">
        <v>0</v>
      </c>
      <c r="S6" s="74">
        <v>0</v>
      </c>
      <c r="T6" s="74">
        <v>0</v>
      </c>
      <c r="U6" s="74">
        <v>0</v>
      </c>
      <c r="V6" s="74">
        <v>0</v>
      </c>
      <c r="W6" s="74">
        <v>0</v>
      </c>
      <c r="X6" s="74">
        <v>0</v>
      </c>
      <c r="Y6" s="74">
        <v>0</v>
      </c>
      <c r="Z6" s="74">
        <v>0</v>
      </c>
      <c r="AA6" s="74">
        <v>0</v>
      </c>
      <c r="AB6" s="74">
        <v>0</v>
      </c>
    </row>
    <row r="7" spans="1:28" x14ac:dyDescent="0.25">
      <c r="A7" t="s">
        <v>187</v>
      </c>
      <c r="B7" t="s">
        <v>182</v>
      </c>
      <c r="C7" s="74">
        <v>28958.546983835877</v>
      </c>
      <c r="D7" s="74">
        <v>1192.2450822946919</v>
      </c>
      <c r="E7" s="74">
        <v>1189.4198153829204</v>
      </c>
      <c r="F7" s="74">
        <v>1186.594548471149</v>
      </c>
      <c r="G7" s="74">
        <v>1183.7692815593778</v>
      </c>
      <c r="H7" s="74">
        <v>1180.9440146476063</v>
      </c>
      <c r="I7" s="74">
        <v>1178.1187477358349</v>
      </c>
      <c r="J7" s="74">
        <v>1175.2934808240636</v>
      </c>
      <c r="K7" s="74">
        <v>1172.4682139122922</v>
      </c>
      <c r="L7" s="74">
        <v>1169.642947000521</v>
      </c>
      <c r="M7" s="74">
        <v>1166.8176800887493</v>
      </c>
      <c r="N7" s="74">
        <v>1163.992413176978</v>
      </c>
      <c r="O7" s="74">
        <v>1161.1671462652068</v>
      </c>
      <c r="P7" s="74">
        <v>1158.3418793534352</v>
      </c>
      <c r="Q7" s="74">
        <v>1155.516612441664</v>
      </c>
      <c r="R7" s="74">
        <v>1152.6913455298927</v>
      </c>
      <c r="S7" s="74">
        <v>1149.8660786181213</v>
      </c>
      <c r="T7" s="74">
        <v>1147.04081170635</v>
      </c>
      <c r="U7" s="74">
        <v>1144.2155447945786</v>
      </c>
      <c r="V7" s="74">
        <v>1141.390277882807</v>
      </c>
      <c r="W7" s="74">
        <v>1138.565010971036</v>
      </c>
      <c r="X7" s="74">
        <v>1135.7397440592645</v>
      </c>
      <c r="Y7" s="74">
        <v>1132.914477147493</v>
      </c>
      <c r="Z7" s="74">
        <v>1130.0892102357216</v>
      </c>
      <c r="AA7" s="74">
        <v>1127.2639433239503</v>
      </c>
      <c r="AB7" s="74">
        <v>1124.438676412179</v>
      </c>
    </row>
    <row r="8" spans="1:28" x14ac:dyDescent="0.25">
      <c r="A8" t="s">
        <v>100</v>
      </c>
      <c r="B8" t="s">
        <v>82</v>
      </c>
      <c r="D8" s="75">
        <v>7.523313468327059</v>
      </c>
      <c r="E8" s="75">
        <v>7.523313468327059</v>
      </c>
      <c r="F8" s="75">
        <v>7.523313468327059</v>
      </c>
      <c r="G8" s="75">
        <v>7.523313468327059</v>
      </c>
      <c r="H8" s="75">
        <v>7.523313468327059</v>
      </c>
      <c r="I8" s="75">
        <v>7.523313468327059</v>
      </c>
      <c r="J8" s="75">
        <v>7.523313468327059</v>
      </c>
      <c r="K8" s="75">
        <v>7.523313468327059</v>
      </c>
      <c r="L8" s="75">
        <v>7.523313468327059</v>
      </c>
      <c r="M8" s="75">
        <v>7.523313468327059</v>
      </c>
      <c r="N8" s="75">
        <v>7.523313468327059</v>
      </c>
      <c r="O8" s="75">
        <v>7.523313468327059</v>
      </c>
      <c r="P8" s="75">
        <v>7.523313468327059</v>
      </c>
      <c r="Q8" s="75">
        <v>7.523313468327059</v>
      </c>
      <c r="R8" s="75">
        <v>7.523313468327059</v>
      </c>
      <c r="S8" s="75">
        <v>7.523313468327059</v>
      </c>
      <c r="T8" s="75">
        <v>7.523313468327059</v>
      </c>
      <c r="U8" s="75">
        <v>7.523313468327059</v>
      </c>
      <c r="V8" s="75">
        <v>7.523313468327059</v>
      </c>
      <c r="W8" s="75">
        <v>7.523313468327059</v>
      </c>
      <c r="X8" s="75">
        <v>7.523313468327059</v>
      </c>
      <c r="Y8" s="75">
        <v>7.523313468327059</v>
      </c>
      <c r="Z8" s="75">
        <v>7.523313468327059</v>
      </c>
      <c r="AA8" s="75">
        <v>7.523313468327059</v>
      </c>
      <c r="AB8" s="75">
        <v>7.523313468327059</v>
      </c>
    </row>
    <row r="9" spans="1:1" s="5" customFormat="1" x14ac:dyDescent="0.25">
      <c r="A9" s="5" t="s">
        <v>192</v>
      </c>
    </row>
    <row r="10" spans="1:28" x14ac:dyDescent="0.25">
      <c r="A10" t="s">
        <v>193</v>
      </c>
      <c r="B10" t="s">
        <v>8</v>
      </c>
      <c r="C10" s="76">
        <v>72107.64460755346</v>
      </c>
      <c r="D10" s="76">
        <v>2972.64530863654</v>
      </c>
      <c r="E10" s="76">
        <v>2965.2836816086733</v>
      </c>
      <c r="F10" s="76">
        <v>2957.922054580806</v>
      </c>
      <c r="G10" s="76">
        <v>2950.56042755294</v>
      </c>
      <c r="H10" s="76">
        <v>2943.1988005250732</v>
      </c>
      <c r="I10" s="76">
        <v>2935.837173497206</v>
      </c>
      <c r="J10" s="76">
        <v>2928.4755464693394</v>
      </c>
      <c r="K10" s="76">
        <v>2921.1139194414727</v>
      </c>
      <c r="L10" s="76">
        <v>2913.7522924136065</v>
      </c>
      <c r="M10" s="76">
        <v>2906.3906653857393</v>
      </c>
      <c r="N10" s="76">
        <v>2899.029038357872</v>
      </c>
      <c r="O10" s="76">
        <v>2891.667411330006</v>
      </c>
      <c r="P10" s="76">
        <v>2884.3057843021393</v>
      </c>
      <c r="Q10" s="76">
        <v>2876.9441572742726</v>
      </c>
      <c r="R10" s="76">
        <v>2869.582530246406</v>
      </c>
      <c r="S10" s="76">
        <v>2862.2209032185383</v>
      </c>
      <c r="T10" s="76">
        <v>2854.8592761906716</v>
      </c>
      <c r="U10" s="76">
        <v>2847.4976491628054</v>
      </c>
      <c r="V10" s="76">
        <v>2840.1360221349387</v>
      </c>
      <c r="W10" s="76">
        <v>2832.774395107072</v>
      </c>
      <c r="X10" s="76">
        <v>2825.412768079205</v>
      </c>
      <c r="Y10" s="76">
        <v>2818.051141051338</v>
      </c>
      <c r="Z10" s="76">
        <v>2810.689514023472</v>
      </c>
      <c r="AA10" s="76">
        <v>2803.327886995605</v>
      </c>
      <c r="AB10" s="76">
        <v>2795.966259967738</v>
      </c>
    </row>
    <row r="11" spans="1:28" x14ac:dyDescent="0.25">
      <c r="A11" t="s">
        <v>194</v>
      </c>
      <c r="B11" t="s">
        <v>8</v>
      </c>
      <c r="C11" s="76">
        <v>0</v>
      </c>
      <c r="D11" s="76">
        <v>0</v>
      </c>
      <c r="E11" s="76">
        <v>0</v>
      </c>
      <c r="F11" s="76">
        <v>0</v>
      </c>
      <c r="G11" s="76">
        <v>0</v>
      </c>
      <c r="H11" s="76">
        <v>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row>
    <row r="12" spans="1:28" x14ac:dyDescent="0.25">
      <c r="A12" t="s">
        <v>141</v>
      </c>
      <c r="B12" t="s">
        <v>8</v>
      </c>
      <c r="C12" s="76">
        <v>0</v>
      </c>
      <c r="D12" s="76">
        <v>0</v>
      </c>
      <c r="E12" s="76">
        <v>0</v>
      </c>
      <c r="F12" s="76">
        <v>0</v>
      </c>
      <c r="G12" s="76">
        <v>0</v>
      </c>
      <c r="H12" s="76">
        <v>0</v>
      </c>
      <c r="I12" s="76">
        <v>0</v>
      </c>
      <c r="J12" s="76">
        <v>0</v>
      </c>
      <c r="K12" s="76">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row>
    <row r="13" spans="1:28" s="14" customFormat="1" x14ac:dyDescent="0.25">
      <c r="A13" s="14" t="s">
        <v>195</v>
      </c>
      <c r="B13" s="14" t="s">
        <v>8</v>
      </c>
      <c r="C13" s="77">
        <v>72107.64460755346</v>
      </c>
      <c r="D13" s="77">
        <v>2972.64530863654</v>
      </c>
      <c r="E13" s="77">
        <v>2965.2836816086733</v>
      </c>
      <c r="F13" s="77">
        <v>2957.922054580806</v>
      </c>
      <c r="G13" s="77">
        <v>2950.56042755294</v>
      </c>
      <c r="H13" s="77">
        <v>2943.1988005250732</v>
      </c>
      <c r="I13" s="77">
        <v>2935.837173497206</v>
      </c>
      <c r="J13" s="77">
        <v>2928.4755464693394</v>
      </c>
      <c r="K13" s="77">
        <v>2921.1139194414727</v>
      </c>
      <c r="L13" s="77">
        <v>2913.7522924136065</v>
      </c>
      <c r="M13" s="77">
        <v>2906.3906653857393</v>
      </c>
      <c r="N13" s="77">
        <v>2899.029038357872</v>
      </c>
      <c r="O13" s="77">
        <v>2891.667411330006</v>
      </c>
      <c r="P13" s="77">
        <v>2884.3057843021393</v>
      </c>
      <c r="Q13" s="77">
        <v>2876.9441572742726</v>
      </c>
      <c r="R13" s="77">
        <v>2869.582530246406</v>
      </c>
      <c r="S13" s="77">
        <v>2862.2209032185383</v>
      </c>
      <c r="T13" s="77">
        <v>2854.8592761906716</v>
      </c>
      <c r="U13" s="77">
        <v>2847.4976491628054</v>
      </c>
      <c r="V13" s="77">
        <v>2840.1360221349387</v>
      </c>
      <c r="W13" s="77">
        <v>2832.774395107072</v>
      </c>
      <c r="X13" s="77">
        <v>2825.412768079205</v>
      </c>
      <c r="Y13" s="77">
        <v>2818.051141051338</v>
      </c>
      <c r="Z13" s="77">
        <v>2810.689514023472</v>
      </c>
      <c r="AA13" s="77">
        <v>2803.327886995605</v>
      </c>
      <c r="AB13" s="77">
        <v>2795.966259967738</v>
      </c>
    </row>
    <row r="14" spans="1:1" s="5" customFormat="1" x14ac:dyDescent="0.25">
      <c r="A14" s="5" t="s">
        <v>196</v>
      </c>
    </row>
    <row r="15" spans="1:28" x14ac:dyDescent="0.25">
      <c r="A15" t="s">
        <v>303</v>
      </c>
      <c r="B15" t="s">
        <v>8</v>
      </c>
      <c r="C15" s="76">
        <v>8843.90106025832</v>
      </c>
      <c r="D15" s="76">
        <v>185.30145932367395</v>
      </c>
      <c r="E15" s="76">
        <v>194.56653228985766</v>
      </c>
      <c r="F15" s="76">
        <v>204.29485890435055</v>
      </c>
      <c r="G15" s="76">
        <v>214.50960184956807</v>
      </c>
      <c r="H15" s="76">
        <v>225.2350819420465</v>
      </c>
      <c r="I15" s="76">
        <v>236.49683603914886</v>
      </c>
      <c r="J15" s="76">
        <v>248.3216778411063</v>
      </c>
      <c r="K15" s="76">
        <v>260.7377617331616</v>
      </c>
      <c r="L15" s="76">
        <v>273.77464981981973</v>
      </c>
      <c r="M15" s="76">
        <v>287.4633823108107</v>
      </c>
      <c r="N15" s="76">
        <v>301.83655142635126</v>
      </c>
      <c r="O15" s="76">
        <v>316.9283789976688</v>
      </c>
      <c r="P15" s="76">
        <v>332.77479794755226</v>
      </c>
      <c r="Q15" s="76">
        <v>349.4135378449299</v>
      </c>
      <c r="R15" s="76">
        <v>366.8842147371764</v>
      </c>
      <c r="S15" s="76">
        <v>385.2284254740353</v>
      </c>
      <c r="T15" s="76">
        <v>404.48984674773703</v>
      </c>
      <c r="U15" s="76">
        <v>424.7143390851239</v>
      </c>
      <c r="V15" s="76">
        <v>445.9500560393801</v>
      </c>
      <c r="W15" s="76">
        <v>468.2475588413492</v>
      </c>
      <c r="X15" s="76">
        <v>491.6599367834166</v>
      </c>
      <c r="Y15" s="76">
        <v>516.2429336225874</v>
      </c>
      <c r="Z15" s="76">
        <v>542.0550803037169</v>
      </c>
      <c r="AA15" s="76">
        <v>569.1578343189027</v>
      </c>
      <c r="AB15" s="76">
        <v>597.6157260348479</v>
      </c>
    </row>
    <row r="16" spans="1:28" x14ac:dyDescent="0.25">
      <c r="A16" t="s">
        <v>126</v>
      </c>
      <c r="B16" t="s">
        <v>8</v>
      </c>
      <c r="C16" s="76">
        <v>968.6983623535276</v>
      </c>
      <c r="D16" s="76">
        <v>38.74793449414113</v>
      </c>
      <c r="E16" s="76">
        <v>38.74793449414113</v>
      </c>
      <c r="F16" s="76">
        <v>38.74793449414113</v>
      </c>
      <c r="G16" s="76">
        <v>38.74793449414113</v>
      </c>
      <c r="H16" s="76">
        <v>38.74793449414113</v>
      </c>
      <c r="I16" s="76">
        <v>38.74793449414113</v>
      </c>
      <c r="J16" s="76">
        <v>38.74793449414113</v>
      </c>
      <c r="K16" s="76">
        <v>38.74793449414113</v>
      </c>
      <c r="L16" s="76">
        <v>38.74793449414113</v>
      </c>
      <c r="M16" s="76">
        <v>38.74793449414113</v>
      </c>
      <c r="N16" s="76">
        <v>38.74793449414113</v>
      </c>
      <c r="O16" s="76">
        <v>38.74793449414113</v>
      </c>
      <c r="P16" s="76">
        <v>38.74793449414113</v>
      </c>
      <c r="Q16" s="76">
        <v>38.74793449414113</v>
      </c>
      <c r="R16" s="76">
        <v>38.74793449414113</v>
      </c>
      <c r="S16" s="76">
        <v>38.74793449414113</v>
      </c>
      <c r="T16" s="76">
        <v>38.74793449414113</v>
      </c>
      <c r="U16" s="76">
        <v>38.74793449414113</v>
      </c>
      <c r="V16" s="76">
        <v>38.74793449414113</v>
      </c>
      <c r="W16" s="76">
        <v>38.74793449414113</v>
      </c>
      <c r="X16" s="76">
        <v>38.74793449414113</v>
      </c>
      <c r="Y16" s="76">
        <v>38.74793449414113</v>
      </c>
      <c r="Z16" s="76">
        <v>38.74793449414113</v>
      </c>
      <c r="AA16" s="76">
        <v>38.74793449414113</v>
      </c>
      <c r="AB16" s="76">
        <v>38.74793449414113</v>
      </c>
    </row>
    <row r="17" spans="1:28" x14ac:dyDescent="0.25">
      <c r="A17" t="s">
        <v>128</v>
      </c>
      <c r="B17" t="s">
        <v>8</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v>0</v>
      </c>
    </row>
    <row r="18" spans="1:28" x14ac:dyDescent="0.25">
      <c r="A18" t="s">
        <v>131</v>
      </c>
      <c r="B18" t="s">
        <v>8</v>
      </c>
      <c r="C18" s="76">
        <v>24727.6792033703</v>
      </c>
      <c r="D18" s="76">
        <v>536.5102870326114</v>
      </c>
      <c r="E18" s="76">
        <v>562.0008627684299</v>
      </c>
      <c r="F18" s="76">
        <v>588.6992203602489</v>
      </c>
      <c r="G18" s="76">
        <v>616.6624115543286</v>
      </c>
      <c r="H18" s="76">
        <v>645.9501738169158</v>
      </c>
      <c r="I18" s="76">
        <v>676.6250562768759</v>
      </c>
      <c r="J18" s="76">
        <v>708.7525515482896</v>
      </c>
      <c r="K18" s="76">
        <v>742.4012337061524</v>
      </c>
      <c r="L18" s="76">
        <v>777.642902700931</v>
      </c>
      <c r="M18" s="76">
        <v>814.5527355109218</v>
      </c>
      <c r="N18" s="76">
        <v>853.2094443451595</v>
      </c>
      <c r="O18" s="76">
        <v>893.6954422240439</v>
      </c>
      <c r="P18" s="76">
        <v>936.0970162799534</v>
      </c>
      <c r="Q18" s="76">
        <v>980.504509135894</v>
      </c>
      <c r="R18" s="76">
        <v>1027.012508736729</v>
      </c>
      <c r="S18" s="76">
        <v>1075.7200470248074</v>
      </c>
      <c r="T18" s="76">
        <v>1126.7308078698516</v>
      </c>
      <c r="U18" s="76">
        <v>1180.1533446818387</v>
      </c>
      <c r="V18" s="76">
        <v>1236.1013081553492</v>
      </c>
      <c r="W18" s="76">
        <v>1294.6936846145072</v>
      </c>
      <c r="X18" s="76">
        <v>1356.055045449192</v>
      </c>
      <c r="Y18" s="76">
        <v>1420.3158081558092</v>
      </c>
      <c r="Z18" s="76">
        <v>1487.612509519465</v>
      </c>
      <c r="AA18" s="76">
        <v>1558.088091499097</v>
      </c>
      <c r="AB18" s="76">
        <v>1631.8922004028927</v>
      </c>
    </row>
    <row r="19" spans="1:28" s="14" customFormat="1" x14ac:dyDescent="0.25">
      <c r="A19" s="14" t="s">
        <v>197</v>
      </c>
      <c r="B19" s="14" t="s">
        <v>8</v>
      </c>
      <c r="C19" s="77">
        <v>34540.278625982144</v>
      </c>
      <c r="D19" s="77">
        <v>760.5596808504265</v>
      </c>
      <c r="E19" s="77">
        <v>795.3153295524287</v>
      </c>
      <c r="F19" s="77">
        <v>831.7420137587405</v>
      </c>
      <c r="G19" s="77">
        <v>869.9199478980379</v>
      </c>
      <c r="H19" s="77">
        <v>909.9331902531035</v>
      </c>
      <c r="I19" s="77">
        <v>951.8698268101658</v>
      </c>
      <c r="J19" s="77">
        <v>995.8221638835371</v>
      </c>
      <c r="K19" s="77">
        <v>1041.8869299334551</v>
      </c>
      <c r="L19" s="77">
        <v>1090.1654870148918</v>
      </c>
      <c r="M19" s="77">
        <v>1140.7640523158736</v>
      </c>
      <c r="N19" s="77">
        <v>1193.7939302656519</v>
      </c>
      <c r="O19" s="77">
        <v>1249.3717557158539</v>
      </c>
      <c r="P19" s="77">
        <v>1307.6197487216468</v>
      </c>
      <c r="Q19" s="77">
        <v>1368.665981474965</v>
      </c>
      <c r="R19" s="77">
        <v>1432.6446579680464</v>
      </c>
      <c r="S19" s="77">
        <v>1499.6964069929838</v>
      </c>
      <c r="T19" s="77">
        <v>1569.9685891117297</v>
      </c>
      <c r="U19" s="77">
        <v>1643.6156182611037</v>
      </c>
      <c r="V19" s="77">
        <v>1720.7992986888705</v>
      </c>
      <c r="W19" s="77">
        <v>1801.6891779499974</v>
      </c>
      <c r="X19" s="77">
        <v>1886.4629167267497</v>
      </c>
      <c r="Y19" s="77">
        <v>1975.3066762725377</v>
      </c>
      <c r="Z19" s="77">
        <v>2068.4155243173227</v>
      </c>
      <c r="AA19" s="77">
        <v>2165.993860312141</v>
      </c>
      <c r="AB19" s="77">
        <v>2268.2558609318817</v>
      </c>
    </row>
    <row r="20" spans="1:1" s="5" customFormat="1" x14ac:dyDescent="0.25">
      <c r="A20" s="5" t="s">
        <v>213</v>
      </c>
    </row>
    <row r="21" spans="1:28" s="14" customFormat="1" x14ac:dyDescent="0.25">
      <c r="A21" s="14" t="s">
        <v>198</v>
      </c>
      <c r="B21" s="14" t="s">
        <v>8</v>
      </c>
      <c r="C21" s="77">
        <v>37567.365981571325</v>
      </c>
      <c r="D21" s="77">
        <v>2212.0856277861135</v>
      </c>
      <c r="E21" s="77">
        <v>2169.968352056245</v>
      </c>
      <c r="F21" s="77">
        <v>2126.1800408220656</v>
      </c>
      <c r="G21" s="77">
        <v>2080.6404796549023</v>
      </c>
      <c r="H21" s="77">
        <v>2033.2656102719698</v>
      </c>
      <c r="I21" s="77">
        <v>1983.9673466870404</v>
      </c>
      <c r="J21" s="77">
        <v>1932.6533825858023</v>
      </c>
      <c r="K21" s="77">
        <v>1879.2269895080176</v>
      </c>
      <c r="L21" s="77">
        <v>1823.5868053987147</v>
      </c>
      <c r="M21" s="77">
        <v>1765.6266130698657</v>
      </c>
      <c r="N21" s="77">
        <v>1705.2351080922203</v>
      </c>
      <c r="O21" s="77">
        <v>1642.295655614152</v>
      </c>
      <c r="P21" s="77">
        <v>1576.6860355804924</v>
      </c>
      <c r="Q21" s="77">
        <v>1508.2781757993075</v>
      </c>
      <c r="R21" s="77">
        <v>1436.9378722783595</v>
      </c>
      <c r="S21" s="77">
        <v>1362.5244962255545</v>
      </c>
      <c r="T21" s="77">
        <v>1284.890687078942</v>
      </c>
      <c r="U21" s="77">
        <v>1203.8820309017017</v>
      </c>
      <c r="V21" s="77">
        <v>1119.3367234460682</v>
      </c>
      <c r="W21" s="77">
        <v>1031.0852171570746</v>
      </c>
      <c r="X21" s="77">
        <v>938.9498513524552</v>
      </c>
      <c r="Y21" s="77">
        <v>842.7444647788004</v>
      </c>
      <c r="Z21" s="77">
        <v>742.2739897061492</v>
      </c>
      <c r="AA21" s="77">
        <v>637.3340266834639</v>
      </c>
      <c r="AB21" s="77">
        <v>527.7103990358564</v>
      </c>
    </row>
    <row r="22" spans="1:28" x14ac:dyDescent="0.25">
      <c r="A22" t="s">
        <v>201</v>
      </c>
      <c r="B22" t="s">
        <v>8</v>
      </c>
      <c r="C22" s="76">
        <v>14983.630397423804</v>
      </c>
      <c r="D22" s="76">
        <v>488.2239746261782</v>
      </c>
      <c r="E22" s="76">
        <v>493.0469451674444</v>
      </c>
      <c r="F22" s="76">
        <v>498.07961008007004</v>
      </c>
      <c r="G22" s="76">
        <v>503.3410324887241</v>
      </c>
      <c r="H22" s="76">
        <v>508.85299882159984</v>
      </c>
      <c r="I22" s="76">
        <v>514.6405634711193</v>
      </c>
      <c r="J22" s="76">
        <v>520.7327367864029</v>
      </c>
      <c r="K22" s="76">
        <v>527.1633641747579</v>
      </c>
      <c r="L22" s="76">
        <v>533.9722637624279</v>
      </c>
      <c r="M22" s="76">
        <v>541.2067195743273</v>
      </c>
      <c r="N22" s="76">
        <v>548.9234724403532</v>
      </c>
      <c r="O22" s="76">
        <v>557.1914219396667</v>
      </c>
      <c r="P22" s="76">
        <v>566.0953675543121</v>
      </c>
      <c r="Q22" s="76">
        <v>575.7413086368446</v>
      </c>
      <c r="R22" s="76">
        <v>586.2641534541527</v>
      </c>
      <c r="S22" s="76">
        <v>597.8392827531917</v>
      </c>
      <c r="T22" s="76">
        <v>610.7005375299017</v>
      </c>
      <c r="U22" s="76">
        <v>625.1694491537004</v>
      </c>
      <c r="V22" s="76">
        <v>641.7053481523275</v>
      </c>
      <c r="W22" s="76">
        <v>660.9972303173925</v>
      </c>
      <c r="X22" s="76">
        <v>684.1474889154704</v>
      </c>
      <c r="Y22" s="76">
        <v>713.0853121630678</v>
      </c>
      <c r="Z22" s="76">
        <v>751.6690764931975</v>
      </c>
      <c r="AA22" s="76">
        <v>809.5447229883923</v>
      </c>
      <c r="AB22" s="76">
        <v>925.296015978782</v>
      </c>
    </row>
    <row r="23" spans="1:28" x14ac:dyDescent="0.25">
      <c r="A23" t="s">
        <v>206</v>
      </c>
      <c r="B23" t="s">
        <v>8</v>
      </c>
      <c r="C23" s="76">
        <v>6835.135644766497</v>
      </c>
      <c r="D23" s="76">
        <v>854.3919555958116</v>
      </c>
      <c r="E23" s="76">
        <v>797.4324918894242</v>
      </c>
      <c r="F23" s="76">
        <v>740.4730281830368</v>
      </c>
      <c r="G23" s="76">
        <v>683.5135644766494</v>
      </c>
      <c r="H23" s="76">
        <v>626.554100770262</v>
      </c>
      <c r="I23" s="76">
        <v>569.5946370638746</v>
      </c>
      <c r="J23" s="76">
        <v>512.6351733574872</v>
      </c>
      <c r="K23" s="76">
        <v>455.6757096510998</v>
      </c>
      <c r="L23" s="76">
        <v>398.7162459447124</v>
      </c>
      <c r="M23" s="76">
        <v>341.75678223832494</v>
      </c>
      <c r="N23" s="76">
        <v>284.7973185319375</v>
      </c>
      <c r="O23" s="76">
        <v>227.83785482555</v>
      </c>
      <c r="P23" s="76">
        <v>170.87839111916256</v>
      </c>
      <c r="Q23" s="76">
        <v>113.9189274127751</v>
      </c>
      <c r="R23" s="76">
        <v>56.959463706387666</v>
      </c>
      <c r="S23" s="76">
        <v>2.2509993868879974e-13</v>
      </c>
      <c r="T23" s="76">
        <v>2.2509993868879974e-13</v>
      </c>
      <c r="U23" s="76">
        <v>2.2509993868879974e-13</v>
      </c>
      <c r="V23" s="76">
        <v>2.2509993868879974e-13</v>
      </c>
      <c r="W23" s="76">
        <v>2.2509993868879974e-13</v>
      </c>
      <c r="X23" s="76">
        <v>2.2509993868879974e-13</v>
      </c>
      <c r="Y23" s="76">
        <v>2.2509993868879974e-13</v>
      </c>
      <c r="Z23" s="76">
        <v>2.2509993868879974e-13</v>
      </c>
      <c r="AA23" s="76">
        <v>2.2509993868879974e-13</v>
      </c>
      <c r="AB23" s="76">
        <v>2.2509993868879974e-13</v>
      </c>
    </row>
    <row r="24" spans="1:28" x14ac:dyDescent="0.25">
      <c r="A24" t="s">
        <v>216</v>
      </c>
      <c r="B24" t="s">
        <v>8</v>
      </c>
      <c r="C24" s="76">
        <v>15748.59993938103</v>
      </c>
      <c r="D24" s="76">
        <v>869.4696975641236</v>
      </c>
      <c r="E24" s="76">
        <v>879.4889149993762</v>
      </c>
      <c r="F24" s="76">
        <v>887.6274025589587</v>
      </c>
      <c r="G24" s="76">
        <v>893.7858826895288</v>
      </c>
      <c r="H24" s="76">
        <v>897.8585106801079</v>
      </c>
      <c r="I24" s="76">
        <v>899.7321461520464</v>
      </c>
      <c r="J24" s="76">
        <v>899.2854724419121</v>
      </c>
      <c r="K24" s="76">
        <v>896.3879156821597</v>
      </c>
      <c r="L24" s="76">
        <v>890.8982956915743</v>
      </c>
      <c r="M24" s="76">
        <v>882.6631112572135</v>
      </c>
      <c r="N24" s="76">
        <v>871.5143171199297</v>
      </c>
      <c r="O24" s="76">
        <v>857.2663788489353</v>
      </c>
      <c r="P24" s="76">
        <v>839.7122769070178</v>
      </c>
      <c r="Q24" s="76">
        <v>818.6179397496878</v>
      </c>
      <c r="R24" s="76">
        <v>793.7142551178191</v>
      </c>
      <c r="S24" s="76">
        <v>764.6852134723625</v>
      </c>
      <c r="T24" s="76">
        <v>674.19014954904</v>
      </c>
      <c r="U24" s="76">
        <v>578.7125817480011</v>
      </c>
      <c r="V24" s="76">
        <v>477.63137529374046</v>
      </c>
      <c r="W24" s="76">
        <v>370.0879868396819</v>
      </c>
      <c r="X24" s="76">
        <v>254.8023624369846</v>
      </c>
      <c r="Y24" s="76">
        <v>129.6591526157324</v>
      </c>
      <c r="Z24" s="76">
        <v>-9.39508678704851</v>
      </c>
      <c r="AA24" s="76">
        <v>-172.21069630492866</v>
      </c>
      <c r="AB24" s="76">
        <v>-397.58561694292575</v>
      </c>
    </row>
    <row r="25" spans="1:28" x14ac:dyDescent="0.25">
      <c r="A25" t="s">
        <v>163</v>
      </c>
      <c r="B25" t="s">
        <v>8</v>
      </c>
      <c r="C25" s="76">
        <v>16166.14343142097</v>
      </c>
      <c r="D25" s="76">
        <v>5424.710829179758</v>
      </c>
      <c r="E25" s="76">
        <v>3301.1270147040104</v>
      </c>
      <c r="F25" s="76">
        <v>2026.9767260185617</v>
      </c>
      <c r="G25" s="76">
        <v>1262.486552807293</v>
      </c>
      <c r="H25" s="76">
        <v>803.7924488805315</v>
      </c>
      <c r="I25" s="76">
        <v>528.5759865244748</v>
      </c>
      <c r="J25" s="76">
        <v>363.4461091108407</v>
      </c>
      <c r="K25" s="76">
        <v>264.3681826626603</v>
      </c>
      <c r="L25" s="76">
        <v>204.92142679375203</v>
      </c>
      <c r="M25" s="76">
        <v>169.25337327240706</v>
      </c>
      <c r="N25" s="76">
        <v>147.85254115960007</v>
      </c>
      <c r="O25" s="76">
        <v>135.01204189191589</v>
      </c>
      <c r="P25" s="76">
        <v>127.30774233130538</v>
      </c>
      <c r="Q25" s="76">
        <v>122.68516259493907</v>
      </c>
      <c r="R25" s="76">
        <v>119.9116147531193</v>
      </c>
      <c r="S25" s="76">
        <v>118.2474860480274</v>
      </c>
      <c r="T25" s="76">
        <v>117.24900882497228</v>
      </c>
      <c r="U25" s="76">
        <v>116.64992249113921</v>
      </c>
      <c r="V25" s="76">
        <v>116.29047069083936</v>
      </c>
      <c r="W25" s="76">
        <v>116.07479961065947</v>
      </c>
      <c r="X25" s="76">
        <v>115.94539696255151</v>
      </c>
      <c r="Y25" s="76">
        <v>115.86775537368676</v>
      </c>
      <c r="Z25" s="76">
        <v>115.82117042036789</v>
      </c>
      <c r="AA25" s="76">
        <v>115.79321944837658</v>
      </c>
      <c r="AB25" s="76">
        <v>115.77644886518179</v>
      </c>
    </row>
    <row r="26" spans="1:28" x14ac:dyDescent="0.25">
      <c r="A26" t="s">
        <v>222</v>
      </c>
      <c r="B26" t="s">
        <v>8</v>
      </c>
      <c r="C26" s="76">
        <v>3666.284074085118</v>
      </c>
      <c r="D26" s="76">
        <v>0</v>
      </c>
      <c r="E26" s="76">
        <v>0</v>
      </c>
      <c r="F26" s="76">
        <v>0</v>
      </c>
      <c r="G26" s="76">
        <v>0</v>
      </c>
      <c r="H26" s="76">
        <v>0</v>
      </c>
      <c r="I26" s="76">
        <v>0</v>
      </c>
      <c r="J26" s="76">
        <v>0</v>
      </c>
      <c r="K26" s="76">
        <v>0</v>
      </c>
      <c r="L26" s="76">
        <v>0</v>
      </c>
      <c r="M26" s="76">
        <v>0</v>
      </c>
      <c r="N26" s="76">
        <v>238.9599923462093</v>
      </c>
      <c r="O26" s="76">
        <v>322.0364975142959</v>
      </c>
      <c r="P26" s="76">
        <v>321.7984253661271</v>
      </c>
      <c r="Q26" s="76">
        <v>320.08036739374404</v>
      </c>
      <c r="R26" s="76">
        <v>317.1588120042052</v>
      </c>
      <c r="S26" s="76">
        <v>313.18452346168345</v>
      </c>
      <c r="T26" s="76">
        <v>293.8954104165241</v>
      </c>
      <c r="U26" s="76">
        <v>273.6563216869385</v>
      </c>
      <c r="V26" s="76">
        <v>252.46674181849102</v>
      </c>
      <c r="W26" s="76">
        <v>230.30812209643258</v>
      </c>
      <c r="X26" s="76">
        <v>207.15022116993867</v>
      </c>
      <c r="Y26" s="76">
        <v>182.95486775726704</v>
      </c>
      <c r="Z26" s="76">
        <v>157.67817461423107</v>
      </c>
      <c r="AA26" s="76">
        <v>131.2718211810714</v>
      </c>
      <c r="AB26" s="76">
        <v>103.68377525795874</v>
      </c>
    </row>
    <row r="27" spans="1:28" s="14" customFormat="1" x14ac:dyDescent="0.25">
      <c r="A27" s="14" t="s">
        <v>223</v>
      </c>
      <c r="B27" s="14" t="s">
        <v>8</v>
      </c>
      <c r="C27" s="77">
        <v>12082.315865295916</v>
      </c>
      <c r="D27" s="77">
        <v>869.4696975641236</v>
      </c>
      <c r="E27" s="77">
        <v>879.4889149993762</v>
      </c>
      <c r="F27" s="77">
        <v>887.6274025589587</v>
      </c>
      <c r="G27" s="77">
        <v>893.7858826895288</v>
      </c>
      <c r="H27" s="77">
        <v>897.8585106801079</v>
      </c>
      <c r="I27" s="77">
        <v>899.7321461520464</v>
      </c>
      <c r="J27" s="77">
        <v>899.2854724419121</v>
      </c>
      <c r="K27" s="77">
        <v>896.3879156821597</v>
      </c>
      <c r="L27" s="77">
        <v>890.8982956915743</v>
      </c>
      <c r="M27" s="77">
        <v>882.6631112572135</v>
      </c>
      <c r="N27" s="77">
        <v>632.5543247737204</v>
      </c>
      <c r="O27" s="77">
        <v>535.2298813346395</v>
      </c>
      <c r="P27" s="77">
        <v>517.9138515408906</v>
      </c>
      <c r="Q27" s="77">
        <v>498.5375723559438</v>
      </c>
      <c r="R27" s="77">
        <v>476.55544311361393</v>
      </c>
      <c r="S27" s="77">
        <v>451.5006900106791</v>
      </c>
      <c r="T27" s="77">
        <v>380.29473913251593</v>
      </c>
      <c r="U27" s="77">
        <v>305.0562600610626</v>
      </c>
      <c r="V27" s="77">
        <v>225.16463347524945</v>
      </c>
      <c r="W27" s="77">
        <v>139.7798647432493</v>
      </c>
      <c r="X27" s="77">
        <v>47.65214126704592</v>
      </c>
      <c r="Y27" s="77">
        <v>-53.29571514153463</v>
      </c>
      <c r="Z27" s="77">
        <v>-167.07326140127958</v>
      </c>
      <c r="AA27" s="77">
        <v>-303.48251748600006</v>
      </c>
      <c r="AB27" s="77">
        <v>-501.2693922008845</v>
      </c>
    </row>
    <row r="28" spans="1:1" s="5" customFormat="1" x14ac:dyDescent="0.25">
      <c r="A28" s="5" t="s">
        <v>224</v>
      </c>
    </row>
    <row r="29" spans="1:28" x14ac:dyDescent="0.25">
      <c r="A29" t="s">
        <v>225</v>
      </c>
      <c r="B29" t="s">
        <v>86</v>
      </c>
      <c r="D29" s="76">
        <v>366.4905175031351</v>
      </c>
      <c r="E29" s="76">
        <v>365.5829196503844</v>
      </c>
      <c r="F29" s="76">
        <v>364.6753217976336</v>
      </c>
      <c r="G29" s="76">
        <v>363.767723944883</v>
      </c>
      <c r="H29" s="76">
        <v>362.8601260921323</v>
      </c>
      <c r="I29" s="76">
        <v>361.95252823938154</v>
      </c>
      <c r="J29" s="76">
        <v>361.0449303866309</v>
      </c>
      <c r="K29" s="76">
        <v>360.13733253388017</v>
      </c>
      <c r="L29" s="76">
        <v>359.22973468112957</v>
      </c>
      <c r="M29" s="76">
        <v>358.3221368283788</v>
      </c>
      <c r="N29" s="76">
        <v>357.4145389756281</v>
      </c>
      <c r="O29" s="76">
        <v>356.50694112287744</v>
      </c>
      <c r="P29" s="76">
        <v>355.5993432701267</v>
      </c>
      <c r="Q29" s="76">
        <v>354.69174541737607</v>
      </c>
      <c r="R29" s="76">
        <v>353.7841475646254</v>
      </c>
      <c r="S29" s="76">
        <v>352.8765497118746</v>
      </c>
      <c r="T29" s="76">
        <v>351.96895185912393</v>
      </c>
      <c r="U29" s="76">
        <v>351.0613540063733</v>
      </c>
      <c r="V29" s="76">
        <v>350.1537561536226</v>
      </c>
      <c r="W29" s="76">
        <v>349.2461583008719</v>
      </c>
      <c r="X29" s="76">
        <v>348.33856044812114</v>
      </c>
      <c r="Y29" s="76">
        <v>347.4309625953705</v>
      </c>
      <c r="Z29" s="76">
        <v>346.52336474261983</v>
      </c>
      <c r="AA29" s="76">
        <v>345.61576688986906</v>
      </c>
      <c r="AB29" s="76">
        <v>344.7081690371184</v>
      </c>
    </row>
    <row r="30" spans="1:28" x14ac:dyDescent="0.25">
      <c r="A30" t="s">
        <v>356</v>
      </c>
      <c r="B30" t="s">
        <v>8</v>
      </c>
      <c r="C30" s="76">
        <v>344.7081690371184</v>
      </c>
      <c r="D30" s="76">
        <v>366.4905175031351</v>
      </c>
      <c r="E30" s="76">
        <v>-0.9075978527507118</v>
      </c>
      <c r="F30" s="76">
        <v>-0.9075978527507687</v>
      </c>
      <c r="G30" s="76">
        <v>-0.9075978527505981</v>
      </c>
      <c r="H30" s="76">
        <v>-0.9075978527507118</v>
      </c>
      <c r="I30" s="76">
        <v>-0.9075978527507687</v>
      </c>
      <c r="J30" s="76">
        <v>-0.907597852750655</v>
      </c>
      <c r="K30" s="76">
        <v>-0.9075978527507118</v>
      </c>
      <c r="L30" s="76">
        <v>-0.9075978527505981</v>
      </c>
      <c r="M30" s="76">
        <v>-0.9075978527507687</v>
      </c>
      <c r="N30" s="76">
        <v>-0.9075978527507118</v>
      </c>
      <c r="O30" s="76">
        <v>-0.907597852750655</v>
      </c>
      <c r="P30" s="76">
        <v>-0.9075978527507118</v>
      </c>
      <c r="Q30" s="76">
        <v>-0.907597852750655</v>
      </c>
      <c r="R30" s="76">
        <v>-0.907597852750655</v>
      </c>
      <c r="S30" s="76">
        <v>-0.9075978527508255</v>
      </c>
      <c r="T30" s="76">
        <v>-0.907597852750655</v>
      </c>
      <c r="U30" s="76">
        <v>-0.907597852750655</v>
      </c>
      <c r="V30" s="76">
        <v>-0.907597852750655</v>
      </c>
      <c r="W30" s="76">
        <v>-0.9075978527507118</v>
      </c>
      <c r="X30" s="76">
        <v>-0.9075978527507687</v>
      </c>
      <c r="Y30" s="76">
        <v>-0.907597852750655</v>
      </c>
      <c r="Z30" s="76">
        <v>-0.907597852750655</v>
      </c>
      <c r="AA30" s="76">
        <v>-0.9075978527507687</v>
      </c>
      <c r="AB30" s="76">
        <v>-0.907597852750655</v>
      </c>
    </row>
    <row r="31" spans="1:28" x14ac:dyDescent="0.25">
      <c r="A31" t="s">
        <v>143</v>
      </c>
      <c r="B31" t="s">
        <v>8</v>
      </c>
      <c r="C31" s="76">
        <v>2778.0310317693506</v>
      </c>
      <c r="D31" s="76">
        <v>0</v>
      </c>
      <c r="E31" s="76">
        <v>115.7512929903896</v>
      </c>
      <c r="F31" s="76">
        <v>115.7512929903896</v>
      </c>
      <c r="G31" s="76">
        <v>115.7512929903896</v>
      </c>
      <c r="H31" s="76">
        <v>115.7512929903896</v>
      </c>
      <c r="I31" s="76">
        <v>115.7512929903896</v>
      </c>
      <c r="J31" s="76">
        <v>115.7512929903896</v>
      </c>
      <c r="K31" s="76">
        <v>115.7512929903896</v>
      </c>
      <c r="L31" s="76">
        <v>115.7512929903896</v>
      </c>
      <c r="M31" s="76">
        <v>115.7512929903896</v>
      </c>
      <c r="N31" s="76">
        <v>115.7512929903896</v>
      </c>
      <c r="O31" s="76">
        <v>115.7512929903896</v>
      </c>
      <c r="P31" s="76">
        <v>115.7512929903896</v>
      </c>
      <c r="Q31" s="76">
        <v>115.7512929903896</v>
      </c>
      <c r="R31" s="76">
        <v>115.7512929903896</v>
      </c>
      <c r="S31" s="76">
        <v>115.7512929903896</v>
      </c>
      <c r="T31" s="76">
        <v>115.7512929903896</v>
      </c>
      <c r="U31" s="76">
        <v>115.7512929903896</v>
      </c>
      <c r="V31" s="76">
        <v>115.7512929903896</v>
      </c>
      <c r="W31" s="76">
        <v>115.7512929903896</v>
      </c>
      <c r="X31" s="76">
        <v>115.7512929903896</v>
      </c>
      <c r="Y31" s="76">
        <v>115.7512929903896</v>
      </c>
      <c r="Z31" s="76">
        <v>115.7512929903896</v>
      </c>
      <c r="AA31" s="76">
        <v>115.7512929903896</v>
      </c>
      <c r="AB31" s="76">
        <v>115.7512929903896</v>
      </c>
    </row>
    <row r="32" spans="1:28" s="14" customFormat="1" x14ac:dyDescent="0.25">
      <c r="A32" s="14" t="s">
        <v>357</v>
      </c>
      <c r="B32" s="14" t="s">
        <v>8</v>
      </c>
      <c r="C32" s="77">
        <v>30778.342706679745</v>
      </c>
      <c r="D32" s="77">
        <v>1845.5951102829783</v>
      </c>
      <c r="E32" s="77">
        <v>2055.124656918606</v>
      </c>
      <c r="F32" s="77">
        <v>2011.3363456844268</v>
      </c>
      <c r="G32" s="77">
        <v>1965.7967845172634</v>
      </c>
      <c r="H32" s="77">
        <v>1918.421915134331</v>
      </c>
      <c r="I32" s="77">
        <v>1869.1236515494015</v>
      </c>
      <c r="J32" s="77">
        <v>1817.8096874481635</v>
      </c>
      <c r="K32" s="77">
        <v>1764.3832943703787</v>
      </c>
      <c r="L32" s="77">
        <v>1708.7431102610756</v>
      </c>
      <c r="M32" s="77">
        <v>1650.7829179322268</v>
      </c>
      <c r="N32" s="77">
        <v>1351.4314206083723</v>
      </c>
      <c r="O32" s="77">
        <v>1205.4154629622171</v>
      </c>
      <c r="P32" s="77">
        <v>1140.0439150767265</v>
      </c>
      <c r="Q32" s="77">
        <v>1073.3541132679247</v>
      </c>
      <c r="R32" s="77">
        <v>1004.9353651365154</v>
      </c>
      <c r="S32" s="77">
        <v>934.4962776262321</v>
      </c>
      <c r="T32" s="77">
        <v>876.1515815247789</v>
      </c>
      <c r="U32" s="77">
        <v>815.3820140771242</v>
      </c>
      <c r="V32" s="77">
        <v>752.0262864899381</v>
      </c>
      <c r="W32" s="77">
        <v>685.933399923003</v>
      </c>
      <c r="X32" s="77">
        <v>616.9559350448776</v>
      </c>
      <c r="Y32" s="77">
        <v>544.9459018838944</v>
      </c>
      <c r="Z32" s="77">
        <v>469.75211995427924</v>
      </c>
      <c r="AA32" s="77">
        <v>391.2185103647537</v>
      </c>
      <c r="AB32" s="77">
        <v>309.18292864025875</v>
      </c>
    </row>
    <row r="33" spans="1:28" x14ac:dyDescent="0.25">
      <c r="A33" t="s">
        <v>209</v>
      </c>
      <c r="B33" t="s">
        <v>8</v>
      </c>
      <c r="C33" s="76">
        <v>16328.379595831066</v>
      </c>
      <c r="D33" s="76">
        <v>1487.2748856667831</v>
      </c>
      <c r="E33" s="76">
        <v>1430.3154219603957</v>
      </c>
      <c r="F33" s="76">
        <v>1373.3559582540083</v>
      </c>
      <c r="G33" s="76">
        <v>1316.396494547621</v>
      </c>
      <c r="H33" s="76">
        <v>1259.4370308412335</v>
      </c>
      <c r="I33" s="76">
        <v>1202.4775671348461</v>
      </c>
      <c r="J33" s="76">
        <v>1145.5181034284587</v>
      </c>
      <c r="K33" s="76">
        <v>1088.5586397220713</v>
      </c>
      <c r="L33" s="76">
        <v>1031.599176015684</v>
      </c>
      <c r="M33" s="76">
        <v>974.6397123092966</v>
      </c>
      <c r="N33" s="76">
        <v>917.6802486029092</v>
      </c>
      <c r="O33" s="76">
        <v>860.7207848965216</v>
      </c>
      <c r="P33" s="76">
        <v>803.7613211901341</v>
      </c>
      <c r="Q33" s="76">
        <v>746.8018574837467</v>
      </c>
      <c r="R33" s="76">
        <v>689.8423937773592</v>
      </c>
      <c r="S33" s="76">
        <v>2.2509993868879974e-13</v>
      </c>
      <c r="T33" s="76">
        <v>2.2509993868879974e-13</v>
      </c>
      <c r="U33" s="76">
        <v>2.2509993868879974e-13</v>
      </c>
      <c r="V33" s="76">
        <v>2.2509993868879974e-13</v>
      </c>
      <c r="W33" s="76">
        <v>2.2509993868879974e-13</v>
      </c>
      <c r="X33" s="76">
        <v>2.2509993868879974e-13</v>
      </c>
      <c r="Y33" s="76">
        <v>2.2509993868879974e-13</v>
      </c>
      <c r="Z33" s="76">
        <v>2.2509993868879974e-13</v>
      </c>
      <c r="AA33" s="76">
        <v>2.2509993868879974e-13</v>
      </c>
      <c r="AB33" s="76">
        <v>2.2509993868879974e-13</v>
      </c>
    </row>
    <row r="34" spans="1:28" s="14" customFormat="1" x14ac:dyDescent="0.25">
      <c r="A34" s="14" t="s">
        <v>358</v>
      </c>
      <c r="B34" s="14" t="s">
        <v>8</v>
      </c>
      <c r="C34" s="77">
        <v>16150.84898718073</v>
      </c>
      <c r="D34" s="77">
        <v>358.3202246161952</v>
      </c>
      <c r="E34" s="77">
        <v>624.8092349582103</v>
      </c>
      <c r="F34" s="77">
        <v>637.9803874304184</v>
      </c>
      <c r="G34" s="77">
        <v>649.4002899696425</v>
      </c>
      <c r="H34" s="77">
        <v>658.9848842930974</v>
      </c>
      <c r="I34" s="77">
        <v>666.6460844145554</v>
      </c>
      <c r="J34" s="77">
        <v>672.2915840197047</v>
      </c>
      <c r="K34" s="77">
        <v>675.8246546483074</v>
      </c>
      <c r="L34" s="77">
        <v>677.1439342453916</v>
      </c>
      <c r="M34" s="77">
        <v>676.1432056229303</v>
      </c>
      <c r="N34" s="77">
        <v>433.7511720054631</v>
      </c>
      <c r="O34" s="77">
        <v>344.6946780656955</v>
      </c>
      <c r="P34" s="77">
        <v>336.2825938865924</v>
      </c>
      <c r="Q34" s="77">
        <v>326.552255784178</v>
      </c>
      <c r="R34" s="77">
        <v>315.0929713591562</v>
      </c>
      <c r="S34" s="77">
        <v>934.4962776262319</v>
      </c>
      <c r="T34" s="77">
        <v>876.1515815247786</v>
      </c>
      <c r="U34" s="77">
        <v>815.3820140771239</v>
      </c>
      <c r="V34" s="77">
        <v>752.0262864899379</v>
      </c>
      <c r="W34" s="77">
        <v>685.9333999230028</v>
      </c>
      <c r="X34" s="77">
        <v>616.9559350448774</v>
      </c>
      <c r="Y34" s="77">
        <v>544.9459018838942</v>
      </c>
      <c r="Z34" s="77">
        <v>469.752119954279</v>
      </c>
      <c r="AA34" s="77">
        <v>391.21851036475346</v>
      </c>
      <c r="AB34" s="77">
        <v>2010.0688049723137</v>
      </c>
    </row>
    <row r="35" spans="1:28" x14ac:dyDescent="0.25">
      <c r="A35" t="s">
        <v>233</v>
      </c>
      <c r="B35" t="s">
        <v>86</v>
      </c>
      <c r="D35" s="76">
        <v>-3710.2128972686232</v>
      </c>
      <c r="E35" s="76">
        <v>-3085.403662310413</v>
      </c>
      <c r="F35" s="76">
        <v>-2447.4232748799946</v>
      </c>
      <c r="G35" s="76">
        <v>-1798.022984910352</v>
      </c>
      <c r="H35" s="76">
        <v>-1139.0381006172547</v>
      </c>
      <c r="I35" s="76">
        <v>-472.3920162026993</v>
      </c>
      <c r="J35" s="76">
        <v>199.8995678170054</v>
      </c>
      <c r="K35" s="76">
        <v>875.7242224653128</v>
      </c>
      <c r="L35" s="76">
        <v>1552.8681567107044</v>
      </c>
      <c r="M35" s="76">
        <v>2229.0113623336347</v>
      </c>
      <c r="N35" s="76">
        <v>2662.762534339098</v>
      </c>
      <c r="O35" s="76">
        <v>3007.457212404793</v>
      </c>
      <c r="P35" s="76">
        <v>3343.7398062913853</v>
      </c>
      <c r="Q35" s="76">
        <v>3670.292062075563</v>
      </c>
      <c r="R35" s="76">
        <v>3985.3850334347194</v>
      </c>
      <c r="S35" s="76">
        <v>4919.881311060952</v>
      </c>
      <c r="T35" s="76">
        <v>5796.03289258573</v>
      </c>
      <c r="U35" s="76">
        <v>6611.414906662854</v>
      </c>
      <c r="V35" s="76">
        <v>7363.441193152792</v>
      </c>
      <c r="W35" s="76">
        <v>8049.374593075795</v>
      </c>
      <c r="X35" s="76">
        <v>8666.330528120672</v>
      </c>
      <c r="Y35" s="76">
        <v>9211.276430004566</v>
      </c>
      <c r="Z35" s="76">
        <v>9681.028549958844</v>
      </c>
      <c r="AA35" s="76">
        <v>10072.247060323598</v>
      </c>
      <c r="AB35" s="76">
        <v>12082.315865295912</v>
      </c>
    </row>
    <row r="36" spans="1:28" x14ac:dyDescent="0.25">
      <c r="A36" t="s">
        <v>359</v>
      </c>
      <c r="B36" t="s">
        <v>8</v>
      </c>
      <c r="C36" s="76">
        <v>29665.494542644854</v>
      </c>
      <c r="D36" s="76">
        <v>1845.5951102829783</v>
      </c>
      <c r="E36" s="76">
        <v>2055.124656918606</v>
      </c>
      <c r="F36" s="76">
        <v>1986.3668713483848</v>
      </c>
      <c r="G36" s="76">
        <v>1759.86744112972</v>
      </c>
      <c r="H36" s="76">
        <v>1608.963520412106</v>
      </c>
      <c r="I36" s="76">
        <v>1502.801646196484</v>
      </c>
      <c r="J36" s="76">
        <v>1422.8402167145155</v>
      </c>
      <c r="K36" s="76">
        <v>1357.9233326874023</v>
      </c>
      <c r="L36" s="76">
        <v>1301.3250344662065</v>
      </c>
      <c r="M36" s="76">
        <v>1248.9757734752066</v>
      </c>
      <c r="N36" s="76">
        <v>1198.398220857641</v>
      </c>
      <c r="O36" s="76">
        <v>1148.0686749026263</v>
      </c>
      <c r="P36" s="76">
        <v>1097.0338240320332</v>
      </c>
      <c r="Q36" s="76">
        <v>1044.6807192381289</v>
      </c>
      <c r="R36" s="76">
        <v>990.5986681216177</v>
      </c>
      <c r="S36" s="76">
        <v>934.4962776262321</v>
      </c>
      <c r="T36" s="76">
        <v>876.1515815247789</v>
      </c>
      <c r="U36" s="76">
        <v>815.3820140771242</v>
      </c>
      <c r="V36" s="76">
        <v>752.0262864899381</v>
      </c>
      <c r="W36" s="76">
        <v>685.933399923003</v>
      </c>
      <c r="X36" s="76">
        <v>616.9559350448776</v>
      </c>
      <c r="Y36" s="76">
        <v>544.9459018838944</v>
      </c>
      <c r="Z36" s="76">
        <v>469.7521199542791</v>
      </c>
      <c r="AA36" s="76">
        <v>391.21851036475357</v>
      </c>
      <c r="AB36" s="76">
        <v>2010.0688049723162</v>
      </c>
    </row>
    <row r="37" spans="1:1" s="5" customFormat="1" x14ac:dyDescent="0.25">
      <c r="A37" s="5" t="s">
        <v>94</v>
      </c>
    </row>
    <row r="38" spans="1:28" x14ac:dyDescent="0.25">
      <c r="A38" t="s">
        <v>205</v>
      </c>
      <c r="B38" t="s">
        <v>86</v>
      </c>
      <c r="D38" s="76">
        <v>9493.243951064575</v>
      </c>
      <c r="E38" s="76">
        <v>8860.361020993603</v>
      </c>
      <c r="F38" s="76">
        <v>8227.478090922632</v>
      </c>
      <c r="G38" s="76">
        <v>7594.595160851661</v>
      </c>
      <c r="H38" s="76">
        <v>6961.712230780689</v>
      </c>
      <c r="I38" s="76">
        <v>6328.829300709718</v>
      </c>
      <c r="J38" s="76">
        <v>5695.946370638747</v>
      </c>
      <c r="K38" s="76">
        <v>5063.063440567776</v>
      </c>
      <c r="L38" s="76">
        <v>4430.180510496804</v>
      </c>
      <c r="M38" s="76">
        <v>3797.2975804258326</v>
      </c>
      <c r="N38" s="76">
        <v>3164.414650354861</v>
      </c>
      <c r="O38" s="76">
        <v>2531.531720283889</v>
      </c>
      <c r="P38" s="76">
        <v>1898.6487902129174</v>
      </c>
      <c r="Q38" s="76">
        <v>1265.7658601419457</v>
      </c>
      <c r="R38" s="76">
        <v>632.8829300709741</v>
      </c>
      <c r="S38" s="76">
        <v>2.5011104298755527e-12</v>
      </c>
      <c r="T38" s="76">
        <v>2.5011104298755527e-12</v>
      </c>
      <c r="U38" s="76">
        <v>2.5011104298755527e-12</v>
      </c>
      <c r="V38" s="76">
        <v>2.5011104298755527e-12</v>
      </c>
      <c r="W38" s="76">
        <v>2.5011104298755527e-12</v>
      </c>
      <c r="X38" s="76">
        <v>2.5011104298755527e-12</v>
      </c>
      <c r="Y38" s="76">
        <v>2.5011104298755527e-12</v>
      </c>
      <c r="Z38" s="76">
        <v>2.5011104298755527e-12</v>
      </c>
      <c r="AA38" s="76">
        <v>2.5011104298755527e-12</v>
      </c>
      <c r="AB38" s="76">
        <v>2.5011104298755527e-12</v>
      </c>
    </row>
    <row r="39" spans="1:28" x14ac:dyDescent="0.25">
      <c r="A39" t="s">
        <v>206</v>
      </c>
      <c r="B39" t="s">
        <v>8</v>
      </c>
      <c r="C39" s="76">
        <v>6835.135644766497</v>
      </c>
      <c r="D39" s="76">
        <v>854.3919555958116</v>
      </c>
      <c r="E39" s="76">
        <v>797.4324918894242</v>
      </c>
      <c r="F39" s="76">
        <v>740.4730281830368</v>
      </c>
      <c r="G39" s="76">
        <v>683.5135644766494</v>
      </c>
      <c r="H39" s="76">
        <v>626.554100770262</v>
      </c>
      <c r="I39" s="76">
        <v>569.5946370638746</v>
      </c>
      <c r="J39" s="76">
        <v>512.6351733574872</v>
      </c>
      <c r="K39" s="76">
        <v>455.6757096510998</v>
      </c>
      <c r="L39" s="76">
        <v>398.7162459447124</v>
      </c>
      <c r="M39" s="76">
        <v>341.75678223832494</v>
      </c>
      <c r="N39" s="76">
        <v>284.7973185319375</v>
      </c>
      <c r="O39" s="76">
        <v>227.83785482555</v>
      </c>
      <c r="P39" s="76">
        <v>170.87839111916256</v>
      </c>
      <c r="Q39" s="76">
        <v>113.9189274127751</v>
      </c>
      <c r="R39" s="76">
        <v>56.959463706387666</v>
      </c>
      <c r="S39" s="76">
        <v>2.2509993868879974e-13</v>
      </c>
      <c r="T39" s="76">
        <v>2.2509993868879974e-13</v>
      </c>
      <c r="U39" s="76">
        <v>2.2509993868879974e-13</v>
      </c>
      <c r="V39" s="76">
        <v>2.2509993868879974e-13</v>
      </c>
      <c r="W39" s="76">
        <v>2.2509993868879974e-13</v>
      </c>
      <c r="X39" s="76">
        <v>2.2509993868879974e-13</v>
      </c>
      <c r="Y39" s="76">
        <v>2.2509993868879974e-13</v>
      </c>
      <c r="Z39" s="76">
        <v>2.2509993868879974e-13</v>
      </c>
      <c r="AA39" s="76">
        <v>2.2509993868879974e-13</v>
      </c>
      <c r="AB39" s="76">
        <v>2.2509993868879974e-13</v>
      </c>
    </row>
    <row r="40" spans="1:28" x14ac:dyDescent="0.25">
      <c r="A40" t="s">
        <v>207</v>
      </c>
      <c r="B40" t="s">
        <v>8</v>
      </c>
      <c r="C40" s="76">
        <v>9493.243951064573</v>
      </c>
      <c r="D40" s="76">
        <v>632.8829300709716</v>
      </c>
      <c r="E40" s="76">
        <v>632.8829300709716</v>
      </c>
      <c r="F40" s="76">
        <v>632.8829300709716</v>
      </c>
      <c r="G40" s="76">
        <v>632.8829300709716</v>
      </c>
      <c r="H40" s="76">
        <v>632.8829300709716</v>
      </c>
      <c r="I40" s="76">
        <v>632.8829300709716</v>
      </c>
      <c r="J40" s="76">
        <v>632.8829300709716</v>
      </c>
      <c r="K40" s="76">
        <v>632.8829300709716</v>
      </c>
      <c r="L40" s="76">
        <v>632.8829300709716</v>
      </c>
      <c r="M40" s="76">
        <v>632.8829300709716</v>
      </c>
      <c r="N40" s="76">
        <v>632.8829300709716</v>
      </c>
      <c r="O40" s="76">
        <v>632.8829300709716</v>
      </c>
      <c r="P40" s="76">
        <v>632.8829300709716</v>
      </c>
      <c r="Q40" s="76">
        <v>632.8829300709716</v>
      </c>
      <c r="R40" s="76">
        <v>632.8829300709716</v>
      </c>
      <c r="S40" s="76">
        <v>0</v>
      </c>
      <c r="T40" s="76">
        <v>0</v>
      </c>
      <c r="U40" s="76">
        <v>0</v>
      </c>
      <c r="V40" s="76">
        <v>0</v>
      </c>
      <c r="W40" s="76">
        <v>0</v>
      </c>
      <c r="X40" s="76">
        <v>0</v>
      </c>
      <c r="Y40" s="76">
        <v>0</v>
      </c>
      <c r="Z40" s="76">
        <v>0</v>
      </c>
      <c r="AA40" s="76">
        <v>0</v>
      </c>
      <c r="AB40" s="76">
        <v>0</v>
      </c>
    </row>
    <row r="41" spans="1:28" x14ac:dyDescent="0.25">
      <c r="A41" t="s">
        <v>208</v>
      </c>
      <c r="B41" t="s">
        <v>86</v>
      </c>
      <c r="D41" s="76">
        <v>8860.361020993603</v>
      </c>
      <c r="E41" s="76">
        <v>8227.478090922632</v>
      </c>
      <c r="F41" s="76">
        <v>7594.595160851661</v>
      </c>
      <c r="G41" s="76">
        <v>6961.712230780689</v>
      </c>
      <c r="H41" s="76">
        <v>6328.829300709718</v>
      </c>
      <c r="I41" s="76">
        <v>5695.946370638747</v>
      </c>
      <c r="J41" s="76">
        <v>5063.063440567776</v>
      </c>
      <c r="K41" s="76">
        <v>4430.180510496804</v>
      </c>
      <c r="L41" s="76">
        <v>3797.2975804258326</v>
      </c>
      <c r="M41" s="76">
        <v>3164.414650354861</v>
      </c>
      <c r="N41" s="76">
        <v>2531.531720283889</v>
      </c>
      <c r="O41" s="76">
        <v>1898.6487902129174</v>
      </c>
      <c r="P41" s="76">
        <v>1265.7658601419457</v>
      </c>
      <c r="Q41" s="76">
        <v>632.8829300709741</v>
      </c>
      <c r="R41" s="76">
        <v>2.5011104298755527e-12</v>
      </c>
      <c r="S41" s="76">
        <v>2.5011104298755527e-12</v>
      </c>
      <c r="T41" s="76">
        <v>2.5011104298755527e-12</v>
      </c>
      <c r="U41" s="76">
        <v>2.5011104298755527e-12</v>
      </c>
      <c r="V41" s="76">
        <v>2.5011104298755527e-12</v>
      </c>
      <c r="W41" s="76">
        <v>2.5011104298755527e-12</v>
      </c>
      <c r="X41" s="76">
        <v>2.5011104298755527e-12</v>
      </c>
      <c r="Y41" s="76">
        <v>2.5011104298755527e-12</v>
      </c>
      <c r="Z41" s="76">
        <v>2.5011104298755527e-12</v>
      </c>
      <c r="AA41" s="76">
        <v>2.5011104298755527e-12</v>
      </c>
      <c r="AB41" s="76">
        <v>2.5011104298755527e-12</v>
      </c>
    </row>
    <row r="42" spans="1:28" x14ac:dyDescent="0.25">
      <c r="A42" t="s">
        <v>229</v>
      </c>
      <c r="B42" t="s">
        <v>88</v>
      </c>
      <c r="D42" s="78">
        <v>1.2409240067652667</v>
      </c>
      <c r="E42" s="78">
        <v>1.4368331805454801</v>
      </c>
      <c r="F42" s="78">
        <v>1.4645411727353652</v>
      </c>
      <c r="G42" s="78">
        <v>1.4933166357244128</v>
      </c>
      <c r="H42" s="78">
        <v>1.5232376594905521</v>
      </c>
      <c r="I42" s="78">
        <v>1.554393780503514</v>
      </c>
      <c r="J42" s="78">
        <v>1.586888659382668</v>
      </c>
      <c r="K42" s="78">
        <v>1.6208435907695864</v>
      </c>
      <c r="L42" s="78">
        <v>1.6564021666445152</v>
      </c>
      <c r="M42" s="78">
        <v>1.6937365644796956</v>
      </c>
      <c r="N42" s="78">
        <v>1.472660463887953</v>
      </c>
      <c r="O42" s="78">
        <v>1.4004721207088495</v>
      </c>
      <c r="P42" s="78">
        <v>1.4183861365568784</v>
      </c>
      <c r="Q42" s="78">
        <v>1.4372675998483104</v>
      </c>
      <c r="R42" s="78">
        <v>1.4567608111670356</v>
      </c>
    </row>
    <row r="44" spans="1:1" s="5" customFormat="1" x14ac:dyDescent="0.25">
      <c r="A44" s="5" t="s">
        <v>360</v>
      </c>
    </row>
    <row r="45" spans="1:28" s="66" customFormat="1" x14ac:dyDescent="0.25">
      <c r="A45" s="66" t="s">
        <v>224</v>
      </c>
      <c r="B45" s="66" t="s">
        <v>74</v>
      </c>
      <c r="C45" s="66" t="s">
        <v>76</v>
      </c>
      <c r="D45" s="66" t="s">
        <v>329</v>
      </c>
      <c r="E45" s="66" t="s">
        <v>330</v>
      </c>
      <c r="F45" s="66" t="s">
        <v>331</v>
      </c>
      <c r="G45" s="66" t="s">
        <v>332</v>
      </c>
      <c r="H45" s="66" t="s">
        <v>333</v>
      </c>
      <c r="I45" s="66" t="s">
        <v>334</v>
      </c>
      <c r="J45" s="66" t="s">
        <v>335</v>
      </c>
      <c r="K45" s="66" t="s">
        <v>336</v>
      </c>
      <c r="L45" s="66" t="s">
        <v>337</v>
      </c>
      <c r="M45" s="66" t="s">
        <v>338</v>
      </c>
      <c r="N45" s="66" t="s">
        <v>339</v>
      </c>
      <c r="O45" s="66" t="s">
        <v>340</v>
      </c>
      <c r="P45" s="66" t="s">
        <v>341</v>
      </c>
      <c r="Q45" s="66" t="s">
        <v>342</v>
      </c>
      <c r="R45" s="66" t="s">
        <v>343</v>
      </c>
      <c r="S45" s="66" t="s">
        <v>344</v>
      </c>
      <c r="T45" s="66" t="s">
        <v>345</v>
      </c>
      <c r="U45" s="66" t="s">
        <v>346</v>
      </c>
      <c r="V45" s="66" t="s">
        <v>347</v>
      </c>
      <c r="W45" s="66" t="s">
        <v>348</v>
      </c>
      <c r="X45" s="66" t="s">
        <v>349</v>
      </c>
      <c r="Y45" s="66" t="s">
        <v>350</v>
      </c>
      <c r="Z45" s="66" t="s">
        <v>351</v>
      </c>
      <c r="AA45" s="66" t="s">
        <v>352</v>
      </c>
      <c r="AB45" s="66" t="s">
        <v>353</v>
      </c>
    </row>
    <row r="46" spans="1:28" x14ac:dyDescent="0.25">
      <c r="A46" t="s">
        <v>361</v>
      </c>
      <c r="B46" t="s">
        <v>86</v>
      </c>
      <c r="C46" s="76">
        <v>-4068.5331218848187</v>
      </c>
      <c r="D46" s="76">
        <v>358.3202246161952</v>
      </c>
      <c r="E46" s="76">
        <v>624.8092349582103</v>
      </c>
      <c r="F46" s="76">
        <v>637.9803874304184</v>
      </c>
      <c r="G46" s="76">
        <v>649.4002899696425</v>
      </c>
      <c r="H46" s="76">
        <v>658.9848842930974</v>
      </c>
      <c r="I46" s="76">
        <v>666.6460844145554</v>
      </c>
      <c r="J46" s="76">
        <v>672.2915840197047</v>
      </c>
      <c r="K46" s="76">
        <v>675.8246546483074</v>
      </c>
      <c r="L46" s="76">
        <v>677.1439342453916</v>
      </c>
      <c r="M46" s="76">
        <v>676.1432056229303</v>
      </c>
      <c r="N46" s="76">
        <v>433.7511720054631</v>
      </c>
      <c r="O46" s="76">
        <v>344.6946780656955</v>
      </c>
      <c r="P46" s="76">
        <v>336.2825938865924</v>
      </c>
      <c r="Q46" s="76">
        <v>326.552255784178</v>
      </c>
      <c r="R46" s="76">
        <v>315.0929713591562</v>
      </c>
      <c r="S46" s="76">
        <v>934.4962776262319</v>
      </c>
      <c r="T46" s="76">
        <v>876.1515815247786</v>
      </c>
      <c r="U46" s="76">
        <v>815.3820140771239</v>
      </c>
      <c r="V46" s="76">
        <v>752.0262864899379</v>
      </c>
      <c r="W46" s="76">
        <v>685.9333999230028</v>
      </c>
      <c r="X46" s="76">
        <v>616.9559350448774</v>
      </c>
      <c r="Y46" s="76">
        <v>544.9459018838942</v>
      </c>
      <c r="Z46" s="76">
        <v>469.752119954279</v>
      </c>
      <c r="AA46" s="76">
        <v>391.21851036475346</v>
      </c>
      <c r="AB46" s="76">
        <v>2010.0688049723137</v>
      </c>
    </row>
    <row r="47" spans="1:28" x14ac:dyDescent="0.25">
      <c r="A47" t="s">
        <v>359</v>
      </c>
      <c r="B47" t="s">
        <v>86</v>
      </c>
      <c r="C47" s="76">
        <v>-13561.777072949393</v>
      </c>
      <c r="D47" s="76">
        <v>1845.5951102829783</v>
      </c>
      <c r="E47" s="76">
        <v>2055.124656918606</v>
      </c>
      <c r="F47" s="76">
        <v>1986.3668713483848</v>
      </c>
      <c r="G47" s="76">
        <v>1759.86744112972</v>
      </c>
      <c r="H47" s="76">
        <v>1608.963520412106</v>
      </c>
      <c r="I47" s="76">
        <v>1502.801646196484</v>
      </c>
      <c r="J47" s="76">
        <v>1422.8402167145155</v>
      </c>
      <c r="K47" s="76">
        <v>1357.9233326874023</v>
      </c>
      <c r="L47" s="76">
        <v>1301.3250344662065</v>
      </c>
      <c r="M47" s="76">
        <v>1248.9757734752066</v>
      </c>
      <c r="N47" s="76">
        <v>1198.398220857641</v>
      </c>
      <c r="O47" s="76">
        <v>1148.0686749026263</v>
      </c>
      <c r="P47" s="76">
        <v>1097.0338240320332</v>
      </c>
      <c r="Q47" s="76">
        <v>1044.6807192381289</v>
      </c>
      <c r="R47" s="76">
        <v>990.5986681216177</v>
      </c>
      <c r="S47" s="76">
        <v>934.4962776262321</v>
      </c>
      <c r="T47" s="76">
        <v>876.1515815247789</v>
      </c>
      <c r="U47" s="76">
        <v>815.3820140771242</v>
      </c>
      <c r="V47" s="76">
        <v>752.0262864899381</v>
      </c>
      <c r="W47" s="76">
        <v>685.933399923003</v>
      </c>
      <c r="X47" s="76">
        <v>616.9559350448776</v>
      </c>
      <c r="Y47" s="76">
        <v>544.9459018838944</v>
      </c>
      <c r="Z47" s="76">
        <v>469.7521199542791</v>
      </c>
      <c r="AA47" s="76">
        <v>391.21851036475357</v>
      </c>
      <c r="AB47" s="76">
        <v>2010.0688049723162</v>
      </c>
    </row>
    <row r="48" spans="1:3" x14ac:dyDescent="0.25">
      <c r="A48" t="s">
        <v>7</v>
      </c>
      <c r="B48" s="7">
        <v>0.13999999993597156</v>
      </c>
      <c r="C48" t="s">
        <v>8</v>
      </c>
    </row>
    <row r="49" spans="1:3" x14ac:dyDescent="0.25">
      <c r="A49" t="s">
        <v>9</v>
      </c>
      <c r="B49" s="7">
        <v>0.09450460552820006</v>
      </c>
      <c r="C49" t="s">
        <v>8</v>
      </c>
    </row>
    <row r="50" spans="1:3" x14ac:dyDescent="0.25">
      <c r="A50" t="s">
        <v>10</v>
      </c>
      <c r="B50" s="8">
        <v>1.3358203432289883e-12</v>
      </c>
      <c r="C50" t="s">
        <v>8</v>
      </c>
    </row>
    <row r="51" spans="1:3" x14ac:dyDescent="0.25">
      <c r="A51" t="s">
        <v>11</v>
      </c>
      <c r="B51" s="9">
        <v>1.2409240067652667</v>
      </c>
      <c r="C51" t="s">
        <v>8</v>
      </c>
    </row>
    <row r="52" spans="1:3" x14ac:dyDescent="0.25">
      <c r="A52" t="s">
        <v>12</v>
      </c>
      <c r="B52" s="9">
        <v>1.497110969947339</v>
      </c>
      <c r="C52" t="s">
        <v>8</v>
      </c>
    </row>
    <row r="53" spans="1:3" x14ac:dyDescent="0.25">
      <c r="A53" t="s">
        <v>13</v>
      </c>
      <c r="B53" s="10">
        <v>7</v>
      </c>
      <c r="C53" t="s">
        <v>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Live model</vt:lpstr>
      <vt:lpstr>Tender conditions</vt:lpstr>
      <vt:lpstr>Inputs</vt:lpstr>
      <vt:lpstr>Plant and capex</vt:lpstr>
      <vt:lpstr>Revenue and costs (values)</vt:lpstr>
      <vt:lpstr>Financial model (values)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TenderOS · Tender to Bid</dc:creator>
  <dc:title/>
  <dc:subject/>
  <dc:description/>
  <cp:keywords/>
  <cp:category/>
  <cp:lastModifiedBy>Unknown</cp:lastModifiedBy>
  <dcterms:created xsi:type="dcterms:W3CDTF">2026-10-24T12:43:34Z</dcterms:created>
  <dcterms:modified xsi:type="dcterms:W3CDTF">2026-10-24T12:43:34Z</dcterms:modified>
</cp:coreProperties>
</file>